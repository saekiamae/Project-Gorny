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85106AD5-7665-2F1B-BB0A-E31DD656B090}"/>
  <workbookPr filterPrivacy="1" codeName="ThisWorkbook" defaultThemeVersion="124226"/>
  <xr:revisionPtr revIDLastSave="0" documentId="13_ncr:1_{BC60EDD6-43F5-424E-BD3C-A9C008EBBBE0}" xr6:coauthVersionLast="45" xr6:coauthVersionMax="45" xr10:uidLastSave="{00000000-0000-0000-0000-000000000000}"/>
  <bookViews>
    <workbookView xWindow="-120" yWindow="-120" windowWidth="38640" windowHeight="21240" tabRatio="538" activeTab="3" xr2:uid="{00000000-000D-0000-FFFF-FFFF00000000}"/>
  </bookViews>
  <sheets>
    <sheet name="Lotz" sheetId="38" r:id="rId1"/>
    <sheet name="Internal Data" sheetId="39" r:id="rId2"/>
    <sheet name="Internal radii" sheetId="40" r:id="rId3"/>
    <sheet name="AB" sheetId="47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4" hidden="1">ABn!$A$1:$AQ$27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6">ABBA!$A$2:$X$12,ABBA!$AP$2:$BG$31</definedName>
    <definedName name="_xlnm.Print_Area" localSheetId="5">ABC!$A$2:$BI$51</definedName>
    <definedName name="_xlnm.Print_Area" localSheetId="4">ABn!$A$2:$AH$48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6" hidden="1">ABBA!$DD$4:$DD$12,ABBA!$DH$4:$DH$12</definedName>
    <definedName name="solver_adj" localSheetId="5" hidden="1">ABC!$CV$4:$CV$33,ABC!$CZ$4:$CZ$33</definedName>
    <definedName name="solver_adj" localSheetId="4" hidden="1">ABn!$BC$4:$BC$27</definedName>
    <definedName name="solver_adj" localSheetId="7" hidden="1">CH3F!$BK$4:$BK$15,CH3F!$BO$4:$BO$15</definedName>
    <definedName name="solver_adj" localSheetId="8" hidden="1">Rotation!$U$2:$X$51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6" hidden="1">ABBA!$U$4:$X$12</definedName>
    <definedName name="solver_lhs1" localSheetId="5" hidden="1">ABC!$AG$15:$AG$17</definedName>
    <definedName name="solver_lhs1" localSheetId="4" hidden="1">ABn!$BA$4:$BB$27</definedName>
    <definedName name="solver_lhs1" localSheetId="7" hidden="1">CH3F!$K$4:$N$15</definedName>
    <definedName name="solver_lhs1" localSheetId="8" hidden="1">Rotation!$U$2:$X$157</definedName>
    <definedName name="solver_lhs2" localSheetId="6" hidden="1">ABBA!$U$4:$X$12</definedName>
    <definedName name="solver_lhs2" localSheetId="5" hidden="1">ABC!$AG$15:$AG$17</definedName>
    <definedName name="solver_lhs2" localSheetId="4" hidden="1">ABn!$BC$4:$BC$27</definedName>
    <definedName name="solver_lhs2" localSheetId="7" hidden="1">CH3F!$K$4:$N$15</definedName>
    <definedName name="solver_lhs2" localSheetId="8" hidden="1">Rotation!$U$2:$X$157</definedName>
    <definedName name="solver_lhs3" localSheetId="6" hidden="1">ABBA!$AK$4:$AK$12</definedName>
    <definedName name="solver_lhs3" localSheetId="5" hidden="1">ABC!$AS$12:$AW$17</definedName>
    <definedName name="solver_lhs3" localSheetId="4" hidden="1">ABn!$BC$4:$BC$27</definedName>
    <definedName name="solver_lhs3" localSheetId="7" hidden="1">CH3F!#REF!</definedName>
    <definedName name="solver_lhs4" localSheetId="6" hidden="1">ABBA!$AF$4:$AF$12</definedName>
    <definedName name="solver_lhs4" localSheetId="5" hidden="1">ABC!$AH$11:$AJ$11</definedName>
    <definedName name="solver_lhs4" localSheetId="4" hidden="1">ABn!$BC$4:$BC$27</definedName>
    <definedName name="solver_lhs4" localSheetId="7" hidden="1">CH3F!#REF!</definedName>
    <definedName name="solver_lhs5" localSheetId="6" hidden="1">ABBA!$AG$4:$AG$12</definedName>
    <definedName name="solver_lhs5" localSheetId="5" hidden="1">ABC!$AA$22:$AA$33</definedName>
    <definedName name="solver_lhs5" localSheetId="4" hidden="1">ABn!$U$27</definedName>
    <definedName name="solver_lhs5" localSheetId="7" hidden="1">CH3F!#REF!</definedName>
    <definedName name="solver_lhs6" localSheetId="6" hidden="1">ABBA!$N$10:$U$12</definedName>
    <definedName name="solver_lhs6" localSheetId="5" hidden="1">ABC!$N$22:$X$33</definedName>
    <definedName name="solver_lhs6" localSheetId="4" hidden="1">ABn!$AC$27</definedName>
    <definedName name="solver_lhs6" localSheetId="7" hidden="1">CH3F!$H$4:$N$5</definedName>
    <definedName name="solver_lhs7" localSheetId="6" hidden="1">ABBA!$AU$10:$AU$12</definedName>
    <definedName name="solver_lhs7" localSheetId="5" hidden="1">ABC!$AU$22:$AV$33</definedName>
    <definedName name="solver_lhs7" localSheetId="4" hidden="1">ABn!$BC$27</definedName>
    <definedName name="solver_lhs7" localSheetId="7" hidden="1">CH3F!$AE$4:$AF$5</definedName>
    <definedName name="solver_lhs8" localSheetId="6" hidden="1">ABBA!$AU$10:$AU$12</definedName>
    <definedName name="solver_lhs8" localSheetId="5" hidden="1">ABC!$AU$22:$AV$33</definedName>
    <definedName name="solver_lhs8" localSheetId="4" hidden="1">ABn!$BC$27</definedName>
    <definedName name="solver_lhs8" localSheetId="7" hidden="1">CH3F!$AE$4:$AF$5</definedName>
    <definedName name="solver_lhs9" localSheetId="6" hidden="1">ABBA!#REF!</definedName>
    <definedName name="solver_lhs9" localSheetId="5" hidden="1">ABC!$AA$22:$AA$33</definedName>
    <definedName name="solver_lhs9" localSheetId="4" hidden="1">ABn!$O$4:$O$13</definedName>
    <definedName name="solver_lhs9" localSheetId="7" hidden="1">CH3F!#REF!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6" hidden="1">ABBA!$DB$1</definedName>
    <definedName name="solver_opt" localSheetId="5" hidden="1">ABC!$CT$1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6" hidden="1">ABBA!$AD$4:$AG$12</definedName>
    <definedName name="solver_rhs1" localSheetId="5" hidden="1">ABC!$AL$15:$AL$17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6" hidden="1">ABBA!$AD$4:$AG$12</definedName>
    <definedName name="solver_rhs2" localSheetId="5" hidden="1">ABC!$AL$15:$AL$17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6" hidden="1">ABBA!$AD$4:$AD$12</definedName>
    <definedName name="solver_rhs4" localSheetId="5" hidden="1">ABC!$AP$11:$AR$11</definedName>
    <definedName name="solver_rhs4" localSheetId="4" hidden="1">0.01</definedName>
    <definedName name="solver_rhs4" localSheetId="7" hidden="1">CH3F!#REF!</definedName>
    <definedName name="solver_rhs5" localSheetId="6" hidden="1">ABBA!$AD$4:$AD$12</definedName>
    <definedName name="solver_rhs5" localSheetId="5" hidden="1">ABC!$X$22:$X$33</definedName>
    <definedName name="solver_rhs5" localSheetId="4" hidden="1">ABn!$T$27</definedName>
    <definedName name="solver_rhs5" localSheetId="7" hidden="1">CH3F!#REF!</definedName>
    <definedName name="solver_rhs6" localSheetId="6" hidden="1">ABBA!$AA$10:$AD$12</definedName>
    <definedName name="solver_rhs6" localSheetId="5" hidden="1">ABC!$AD$22:$AG$33</definedName>
    <definedName name="solver_rhs6" localSheetId="4" hidden="1">0.01</definedName>
    <definedName name="solver_rhs6" localSheetId="7" hidden="1">CH3F!$Q$4:$S$5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6" hidden="1">ABBA!$AD$10:$AD$12</definedName>
    <definedName name="solver_rhs9" localSheetId="5" hidden="1">ABC!$AG$22:$AG$33</definedName>
    <definedName name="solver_rhs9" localSheetId="4" hidden="1">ABn!$T$4:$T$13</definedName>
    <definedName name="solver_rhs9" localSheetId="7" hidden="1">CH3F!#REF!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85" i="47" l="1"/>
  <c r="AJ85" i="47"/>
  <c r="AI85" i="47"/>
  <c r="AA85" i="47"/>
  <c r="Z85" i="47"/>
  <c r="Y85" i="47"/>
  <c r="V85" i="47"/>
  <c r="U85" i="47"/>
  <c r="Q85" i="47"/>
  <c r="F85" i="47"/>
  <c r="M85" i="47" s="1"/>
  <c r="AK84" i="47"/>
  <c r="AJ84" i="47"/>
  <c r="AI84" i="47"/>
  <c r="AA84" i="47"/>
  <c r="Z84" i="47"/>
  <c r="Y84" i="47"/>
  <c r="V84" i="47"/>
  <c r="U84" i="47"/>
  <c r="Q84" i="47"/>
  <c r="F84" i="47"/>
  <c r="M84" i="47" s="1"/>
  <c r="AK83" i="47"/>
  <c r="AJ83" i="47"/>
  <c r="AI83" i="47"/>
  <c r="AA83" i="47"/>
  <c r="Z83" i="47"/>
  <c r="Q83" i="47" s="1"/>
  <c r="Y83" i="47"/>
  <c r="V83" i="47"/>
  <c r="U83" i="47"/>
  <c r="F83" i="47"/>
  <c r="AK82" i="47"/>
  <c r="AJ82" i="47"/>
  <c r="AI82" i="47"/>
  <c r="AA82" i="47"/>
  <c r="Z82" i="47"/>
  <c r="Y82" i="47"/>
  <c r="V82" i="47"/>
  <c r="U82" i="47"/>
  <c r="Q82" i="47"/>
  <c r="F82" i="47"/>
  <c r="M82" i="47" s="1"/>
  <c r="AK81" i="47"/>
  <c r="AJ81" i="47"/>
  <c r="AI81" i="47"/>
  <c r="AA81" i="47"/>
  <c r="Z81" i="47"/>
  <c r="Y81" i="47"/>
  <c r="V81" i="47"/>
  <c r="U81" i="47"/>
  <c r="Q81" i="47"/>
  <c r="F81" i="47"/>
  <c r="M81" i="47" s="1"/>
  <c r="J80" i="47"/>
  <c r="AK79" i="47"/>
  <c r="AJ79" i="47"/>
  <c r="AI79" i="47"/>
  <c r="AA79" i="47"/>
  <c r="Y79" i="47"/>
  <c r="V79" i="47"/>
  <c r="U79" i="47"/>
  <c r="Q79" i="47"/>
  <c r="F79" i="47"/>
  <c r="M79" i="47" s="1"/>
  <c r="AK78" i="47"/>
  <c r="AJ78" i="47"/>
  <c r="AI78" i="47"/>
  <c r="AA78" i="47"/>
  <c r="Y78" i="47"/>
  <c r="X78" i="47"/>
  <c r="V78" i="47"/>
  <c r="U78" i="47"/>
  <c r="Q78" i="47"/>
  <c r="L78" i="47"/>
  <c r="F78" i="47"/>
  <c r="W78" i="47" s="1"/>
  <c r="AK77" i="47"/>
  <c r="AJ77" i="47"/>
  <c r="AI77" i="47"/>
  <c r="AA77" i="47"/>
  <c r="Y77" i="47"/>
  <c r="V77" i="47"/>
  <c r="U77" i="47"/>
  <c r="Q77" i="47"/>
  <c r="M77" i="47" s="1"/>
  <c r="F77" i="47"/>
  <c r="X77" i="47" s="1"/>
  <c r="AK76" i="47"/>
  <c r="AJ76" i="47"/>
  <c r="AI76" i="47"/>
  <c r="AA76" i="47"/>
  <c r="Y76" i="47"/>
  <c r="V76" i="47"/>
  <c r="U76" i="47"/>
  <c r="Q76" i="47"/>
  <c r="F76" i="47"/>
  <c r="W76" i="47" s="1"/>
  <c r="AK75" i="47"/>
  <c r="AJ75" i="47"/>
  <c r="AI75" i="47"/>
  <c r="AA75" i="47"/>
  <c r="Z75" i="47"/>
  <c r="Y75" i="47"/>
  <c r="V75" i="47"/>
  <c r="U75" i="47"/>
  <c r="Q75" i="47"/>
  <c r="M75" i="47" s="1"/>
  <c r="L75" i="47"/>
  <c r="F75" i="47"/>
  <c r="W75" i="47" s="1"/>
  <c r="AK74" i="47"/>
  <c r="AJ74" i="47"/>
  <c r="AI74" i="47"/>
  <c r="AA74" i="47"/>
  <c r="Z74" i="47"/>
  <c r="Y74" i="47"/>
  <c r="V74" i="47"/>
  <c r="U74" i="47"/>
  <c r="Q74" i="47"/>
  <c r="M74" i="47" s="1"/>
  <c r="F74" i="47"/>
  <c r="W74" i="47" s="1"/>
  <c r="AK73" i="47"/>
  <c r="AJ73" i="47"/>
  <c r="AI73" i="47"/>
  <c r="AA73" i="47"/>
  <c r="Z73" i="47"/>
  <c r="Y73" i="47"/>
  <c r="V73" i="47"/>
  <c r="U73" i="47"/>
  <c r="Q73" i="47"/>
  <c r="M73" i="47" s="1"/>
  <c r="F73" i="47"/>
  <c r="W73" i="47" s="1"/>
  <c r="AK72" i="47"/>
  <c r="AJ72" i="47"/>
  <c r="AI72" i="47"/>
  <c r="AA72" i="47"/>
  <c r="Z72" i="47"/>
  <c r="Y72" i="47"/>
  <c r="V72" i="47"/>
  <c r="U72" i="47"/>
  <c r="Q72" i="47"/>
  <c r="M72" i="47" s="1"/>
  <c r="F72" i="47"/>
  <c r="W72" i="47" s="1"/>
  <c r="AK71" i="47"/>
  <c r="AJ71" i="47"/>
  <c r="AI71" i="47"/>
  <c r="AA71" i="47"/>
  <c r="Z71" i="47"/>
  <c r="Y71" i="47"/>
  <c r="V71" i="47"/>
  <c r="U71" i="47"/>
  <c r="Q71" i="47"/>
  <c r="F71" i="47"/>
  <c r="W71" i="47" s="1"/>
  <c r="AK70" i="47"/>
  <c r="AJ70" i="47"/>
  <c r="AI70" i="47"/>
  <c r="AA70" i="47"/>
  <c r="Z70" i="47"/>
  <c r="Y70" i="47"/>
  <c r="V70" i="47"/>
  <c r="U70" i="47"/>
  <c r="Q70" i="47"/>
  <c r="L70" i="47" s="1"/>
  <c r="F70" i="47"/>
  <c r="W70" i="47" s="1"/>
  <c r="AK69" i="47"/>
  <c r="AJ69" i="47"/>
  <c r="AI69" i="47"/>
  <c r="AA69" i="47"/>
  <c r="Z69" i="47"/>
  <c r="Y69" i="47"/>
  <c r="V69" i="47"/>
  <c r="U69" i="47"/>
  <c r="Q69" i="47"/>
  <c r="M69" i="47" s="1"/>
  <c r="L69" i="47"/>
  <c r="F69" i="47"/>
  <c r="W69" i="47" s="1"/>
  <c r="AK68" i="47"/>
  <c r="AJ68" i="47"/>
  <c r="AI68" i="47"/>
  <c r="AA68" i="47"/>
  <c r="Z68" i="47"/>
  <c r="Y68" i="47"/>
  <c r="X68" i="47"/>
  <c r="V68" i="47"/>
  <c r="U68" i="47"/>
  <c r="Q68" i="47"/>
  <c r="M68" i="47" s="1"/>
  <c r="L68" i="47"/>
  <c r="F68" i="47"/>
  <c r="W68" i="47" s="1"/>
  <c r="AK67" i="47"/>
  <c r="AJ67" i="47"/>
  <c r="AI67" i="47"/>
  <c r="AA67" i="47"/>
  <c r="Z67" i="47"/>
  <c r="Y67" i="47"/>
  <c r="V67" i="47"/>
  <c r="U67" i="47"/>
  <c r="Q67" i="47"/>
  <c r="M67" i="47"/>
  <c r="F67" i="47"/>
  <c r="X67" i="47" s="1"/>
  <c r="AK66" i="47"/>
  <c r="AJ66" i="47"/>
  <c r="AI66" i="47"/>
  <c r="AA66" i="47"/>
  <c r="Z66" i="47"/>
  <c r="Y66" i="47"/>
  <c r="V66" i="47"/>
  <c r="U66" i="47"/>
  <c r="Q66" i="47"/>
  <c r="F66" i="47"/>
  <c r="M66" i="47" s="1"/>
  <c r="AK65" i="47"/>
  <c r="AJ65" i="47"/>
  <c r="AI65" i="47"/>
  <c r="AA65" i="47"/>
  <c r="Z65" i="47"/>
  <c r="Q65" i="47" s="1"/>
  <c r="Y65" i="47"/>
  <c r="V65" i="47"/>
  <c r="U65" i="47"/>
  <c r="F65" i="47"/>
  <c r="M65" i="47" s="1"/>
  <c r="AK64" i="47"/>
  <c r="AJ64" i="47"/>
  <c r="AI64" i="47"/>
  <c r="AA64" i="47"/>
  <c r="Z64" i="47"/>
  <c r="Q64" i="47" s="1"/>
  <c r="Y64" i="47"/>
  <c r="V64" i="47"/>
  <c r="U64" i="47"/>
  <c r="F64" i="47"/>
  <c r="M64" i="47" s="1"/>
  <c r="AK63" i="47"/>
  <c r="AJ63" i="47"/>
  <c r="AI63" i="47"/>
  <c r="AA63" i="47"/>
  <c r="Z63" i="47"/>
  <c r="Q63" i="47" s="1"/>
  <c r="Y63" i="47"/>
  <c r="V63" i="47"/>
  <c r="U63" i="47"/>
  <c r="F63" i="47"/>
  <c r="AK62" i="47"/>
  <c r="AJ62" i="47"/>
  <c r="AI62" i="47"/>
  <c r="AA62" i="47"/>
  <c r="Z62" i="47"/>
  <c r="Q62" i="47" s="1"/>
  <c r="Y62" i="47"/>
  <c r="V62" i="47"/>
  <c r="U62" i="47"/>
  <c r="F62" i="47"/>
  <c r="AK61" i="47"/>
  <c r="AJ61" i="47"/>
  <c r="AI61" i="47"/>
  <c r="AA61" i="47"/>
  <c r="Z61" i="47"/>
  <c r="Q61" i="47" s="1"/>
  <c r="Y61" i="47"/>
  <c r="V61" i="47"/>
  <c r="U61" i="47"/>
  <c r="F61" i="47"/>
  <c r="AK60" i="47"/>
  <c r="AJ60" i="47"/>
  <c r="AI60" i="47"/>
  <c r="AA60" i="47"/>
  <c r="Z60" i="47"/>
  <c r="Y60" i="47"/>
  <c r="V60" i="47"/>
  <c r="U60" i="47"/>
  <c r="Q60" i="47"/>
  <c r="F60" i="47"/>
  <c r="AK59" i="47"/>
  <c r="AJ59" i="47"/>
  <c r="AI59" i="47"/>
  <c r="AA59" i="47"/>
  <c r="Z59" i="47"/>
  <c r="Q59" i="47" s="1"/>
  <c r="Y59" i="47"/>
  <c r="V59" i="47"/>
  <c r="U59" i="47"/>
  <c r="F59" i="47"/>
  <c r="AK58" i="47"/>
  <c r="AJ58" i="47"/>
  <c r="AI58" i="47"/>
  <c r="AA58" i="47"/>
  <c r="Z58" i="47"/>
  <c r="Q58" i="47" s="1"/>
  <c r="Y58" i="47"/>
  <c r="V58" i="47"/>
  <c r="U58" i="47"/>
  <c r="F58" i="47"/>
  <c r="AK56" i="47"/>
  <c r="AJ56" i="47"/>
  <c r="AI56" i="47"/>
  <c r="AA56" i="47"/>
  <c r="Z56" i="47"/>
  <c r="Q56" i="47" s="1"/>
  <c r="Y56" i="47"/>
  <c r="V56" i="47"/>
  <c r="U56" i="47"/>
  <c r="F56" i="47"/>
  <c r="AK55" i="47"/>
  <c r="AJ55" i="47"/>
  <c r="AI55" i="47"/>
  <c r="AA55" i="47"/>
  <c r="Z55" i="47"/>
  <c r="Q55" i="47" s="1"/>
  <c r="Y55" i="47"/>
  <c r="V55" i="47"/>
  <c r="U55" i="47"/>
  <c r="F55" i="47"/>
  <c r="AK53" i="47"/>
  <c r="AJ53" i="47"/>
  <c r="AI53" i="47"/>
  <c r="AA53" i="47"/>
  <c r="Z53" i="47"/>
  <c r="Q53" i="47" s="1"/>
  <c r="Y53" i="47"/>
  <c r="V53" i="47"/>
  <c r="U53" i="47"/>
  <c r="F53" i="47"/>
  <c r="AK52" i="47"/>
  <c r="AJ52" i="47"/>
  <c r="AI52" i="47"/>
  <c r="AA52" i="47"/>
  <c r="Z52" i="47"/>
  <c r="Y52" i="47"/>
  <c r="V52" i="47"/>
  <c r="U52" i="47"/>
  <c r="F52" i="47"/>
  <c r="X52" i="47" s="1"/>
  <c r="Q52" i="47" s="1"/>
  <c r="AK51" i="47"/>
  <c r="AJ51" i="47"/>
  <c r="AI51" i="47"/>
  <c r="AA51" i="47"/>
  <c r="Z51" i="47"/>
  <c r="Y51" i="47"/>
  <c r="V51" i="47"/>
  <c r="U51" i="47"/>
  <c r="F51" i="47"/>
  <c r="X51" i="47" s="1"/>
  <c r="Q51" i="47" s="1"/>
  <c r="AK50" i="47"/>
  <c r="AJ50" i="47"/>
  <c r="AI50" i="47"/>
  <c r="AA50" i="47"/>
  <c r="Z50" i="47"/>
  <c r="Q50" i="47" s="1"/>
  <c r="M50" i="47" s="1"/>
  <c r="Y50" i="47"/>
  <c r="V50" i="47"/>
  <c r="U50" i="47"/>
  <c r="F50" i="47"/>
  <c r="X50" i="47" s="1"/>
  <c r="AK49" i="47"/>
  <c r="AJ49" i="47"/>
  <c r="AI49" i="47"/>
  <c r="AA49" i="47"/>
  <c r="Z49" i="47"/>
  <c r="Q49" i="47" s="1"/>
  <c r="Y49" i="47"/>
  <c r="V49" i="47"/>
  <c r="U49" i="47"/>
  <c r="F49" i="47"/>
  <c r="X49" i="47" s="1"/>
  <c r="AK48" i="47"/>
  <c r="AJ48" i="47"/>
  <c r="AI48" i="47"/>
  <c r="AA48" i="47"/>
  <c r="Z48" i="47"/>
  <c r="Q48" i="47" s="1"/>
  <c r="M48" i="47" s="1"/>
  <c r="Y48" i="47"/>
  <c r="V48" i="47"/>
  <c r="U48" i="47"/>
  <c r="F48" i="47"/>
  <c r="X48" i="47" s="1"/>
  <c r="AK47" i="47"/>
  <c r="AJ47" i="47"/>
  <c r="AI47" i="47"/>
  <c r="AA47" i="47"/>
  <c r="Z47" i="47"/>
  <c r="Y47" i="47"/>
  <c r="V47" i="47"/>
  <c r="U47" i="47"/>
  <c r="Q47" i="47"/>
  <c r="F47" i="47"/>
  <c r="X47" i="47" s="1"/>
  <c r="AK46" i="47"/>
  <c r="AJ46" i="47"/>
  <c r="AI46" i="47"/>
  <c r="AA46" i="47"/>
  <c r="Z46" i="47"/>
  <c r="Y46" i="47"/>
  <c r="W46" i="47"/>
  <c r="V46" i="47"/>
  <c r="U46" i="47"/>
  <c r="Q46" i="47"/>
  <c r="L46" i="47"/>
  <c r="F46" i="47"/>
  <c r="X46" i="47" s="1"/>
  <c r="AK45" i="47"/>
  <c r="AJ45" i="47"/>
  <c r="AI45" i="47"/>
  <c r="AA45" i="47"/>
  <c r="Z45" i="47"/>
  <c r="Y45" i="47"/>
  <c r="V45" i="47"/>
  <c r="U45" i="47"/>
  <c r="Q45" i="47"/>
  <c r="F45" i="47"/>
  <c r="X45" i="47" s="1"/>
  <c r="AK44" i="47"/>
  <c r="AJ44" i="47"/>
  <c r="AI44" i="47"/>
  <c r="AA44" i="47"/>
  <c r="Z44" i="47"/>
  <c r="Y44" i="47"/>
  <c r="V44" i="47"/>
  <c r="U44" i="47"/>
  <c r="Q44" i="47"/>
  <c r="F44" i="47"/>
  <c r="X44" i="47" s="1"/>
  <c r="AK43" i="47"/>
  <c r="AJ43" i="47"/>
  <c r="AI43" i="47"/>
  <c r="AA43" i="47"/>
  <c r="Z43" i="47"/>
  <c r="Q43" i="47" s="1"/>
  <c r="Y43" i="47"/>
  <c r="V43" i="47"/>
  <c r="U43" i="47"/>
  <c r="F43" i="47"/>
  <c r="W43" i="47" s="1"/>
  <c r="AK42" i="47"/>
  <c r="AJ42" i="47"/>
  <c r="AI42" i="47"/>
  <c r="AA42" i="47"/>
  <c r="Z42" i="47"/>
  <c r="Y42" i="47"/>
  <c r="V42" i="47"/>
  <c r="U42" i="47"/>
  <c r="Q42" i="47"/>
  <c r="F42" i="47"/>
  <c r="M42" i="47" s="1"/>
  <c r="AK41" i="47"/>
  <c r="AJ41" i="47"/>
  <c r="AI41" i="47"/>
  <c r="AA41" i="47"/>
  <c r="Z41" i="47"/>
  <c r="Q41" i="47" s="1"/>
  <c r="Y41" i="47"/>
  <c r="V41" i="47"/>
  <c r="U41" i="47"/>
  <c r="F41" i="47"/>
  <c r="X41" i="47" s="1"/>
  <c r="AK40" i="47"/>
  <c r="AJ40" i="47"/>
  <c r="AI40" i="47"/>
  <c r="AA40" i="47"/>
  <c r="Z40" i="47"/>
  <c r="Q40" i="47" s="1"/>
  <c r="Y40" i="47"/>
  <c r="V40" i="47"/>
  <c r="U40" i="47"/>
  <c r="M40" i="47"/>
  <c r="F40" i="47"/>
  <c r="X40" i="47" s="1"/>
  <c r="AK39" i="47"/>
  <c r="AJ39" i="47"/>
  <c r="AI39" i="47"/>
  <c r="AA39" i="47"/>
  <c r="Z39" i="47"/>
  <c r="Y39" i="47"/>
  <c r="V39" i="47"/>
  <c r="U39" i="47"/>
  <c r="Q39" i="47"/>
  <c r="M39" i="47"/>
  <c r="F39" i="47"/>
  <c r="X39" i="47" s="1"/>
  <c r="AK38" i="47"/>
  <c r="AJ38" i="47"/>
  <c r="AI38" i="47"/>
  <c r="AA38" i="47"/>
  <c r="Z38" i="47"/>
  <c r="Y38" i="47"/>
  <c r="W38" i="47"/>
  <c r="V38" i="47"/>
  <c r="U38" i="47"/>
  <c r="Q38" i="47"/>
  <c r="F38" i="47"/>
  <c r="X38" i="47" s="1"/>
  <c r="AK37" i="47"/>
  <c r="AJ37" i="47"/>
  <c r="AI37" i="47"/>
  <c r="AA37" i="47"/>
  <c r="Z37" i="47"/>
  <c r="Y37" i="47"/>
  <c r="V37" i="47"/>
  <c r="U37" i="47"/>
  <c r="Q37" i="47"/>
  <c r="L37" i="47" s="1"/>
  <c r="M37" i="47"/>
  <c r="F37" i="47"/>
  <c r="W37" i="47" s="1"/>
  <c r="AK36" i="47"/>
  <c r="AJ36" i="47"/>
  <c r="AI36" i="47"/>
  <c r="AA36" i="47"/>
  <c r="Z36" i="47"/>
  <c r="Y36" i="47"/>
  <c r="V36" i="47"/>
  <c r="U36" i="47"/>
  <c r="Q36" i="47"/>
  <c r="F36" i="47"/>
  <c r="W36" i="47" s="1"/>
  <c r="S36" i="47" s="1"/>
  <c r="AK35" i="47"/>
  <c r="AJ35" i="47"/>
  <c r="AI35" i="47"/>
  <c r="AA35" i="47"/>
  <c r="Z35" i="47"/>
  <c r="Y35" i="47"/>
  <c r="V35" i="47"/>
  <c r="U35" i="47"/>
  <c r="Q35" i="47"/>
  <c r="M35" i="47" s="1"/>
  <c r="F35" i="47"/>
  <c r="W35" i="47" s="1"/>
  <c r="AK34" i="47"/>
  <c r="AJ34" i="47"/>
  <c r="AI34" i="47"/>
  <c r="AA34" i="47"/>
  <c r="Z34" i="47"/>
  <c r="Y34" i="47"/>
  <c r="V34" i="47"/>
  <c r="U34" i="47"/>
  <c r="Q34" i="47"/>
  <c r="F34" i="47"/>
  <c r="W34" i="47" s="1"/>
  <c r="S34" i="47" s="1"/>
  <c r="AK33" i="47"/>
  <c r="AJ33" i="47"/>
  <c r="AI33" i="47"/>
  <c r="AA33" i="47"/>
  <c r="Z33" i="47"/>
  <c r="Q33" i="47" s="1"/>
  <c r="M33" i="47" s="1"/>
  <c r="Y33" i="47"/>
  <c r="X33" i="47"/>
  <c r="V33" i="47"/>
  <c r="U33" i="47"/>
  <c r="L33" i="47"/>
  <c r="F33" i="47"/>
  <c r="W33" i="47" s="1"/>
  <c r="AK32" i="47"/>
  <c r="AJ32" i="47"/>
  <c r="AI32" i="47"/>
  <c r="AA32" i="47"/>
  <c r="Z32" i="47"/>
  <c r="Y32" i="47"/>
  <c r="V32" i="47"/>
  <c r="U32" i="47"/>
  <c r="Q32" i="47"/>
  <c r="M32" i="47" s="1"/>
  <c r="L32" i="47"/>
  <c r="F32" i="47"/>
  <c r="W32" i="47" s="1"/>
  <c r="S32" i="47" s="1"/>
  <c r="E32" i="47"/>
  <c r="AK31" i="47"/>
  <c r="AJ31" i="47"/>
  <c r="AI31" i="47"/>
  <c r="Z31" i="47"/>
  <c r="Y31" i="47"/>
  <c r="V31" i="47"/>
  <c r="U31" i="47"/>
  <c r="Q31" i="47"/>
  <c r="M31" i="47"/>
  <c r="F31" i="47"/>
  <c r="X31" i="47" s="1"/>
  <c r="E31" i="47"/>
  <c r="AA31" i="47" s="1"/>
  <c r="AK30" i="47"/>
  <c r="AJ30" i="47"/>
  <c r="AI30" i="47"/>
  <c r="Z30" i="47"/>
  <c r="Q30" i="47" s="1"/>
  <c r="Y30" i="47"/>
  <c r="V30" i="47"/>
  <c r="U30" i="47"/>
  <c r="F30" i="47"/>
  <c r="W30" i="47" s="1"/>
  <c r="E30" i="47"/>
  <c r="AA30" i="47" s="1"/>
  <c r="AK29" i="47"/>
  <c r="AJ29" i="47"/>
  <c r="AI29" i="47"/>
  <c r="Z29" i="47"/>
  <c r="Y29" i="47"/>
  <c r="V29" i="47"/>
  <c r="U29" i="47"/>
  <c r="Q29" i="47"/>
  <c r="F29" i="47"/>
  <c r="W29" i="47" s="1"/>
  <c r="E29" i="47"/>
  <c r="AA29" i="47" s="1"/>
  <c r="AK28" i="47"/>
  <c r="AJ28" i="47"/>
  <c r="AI28" i="47"/>
  <c r="Z28" i="47"/>
  <c r="Y28" i="47"/>
  <c r="V28" i="47"/>
  <c r="U28" i="47"/>
  <c r="Q28" i="47"/>
  <c r="M28" i="47"/>
  <c r="F28" i="47"/>
  <c r="W28" i="47" s="1"/>
  <c r="E28" i="47"/>
  <c r="AA28" i="47" s="1"/>
  <c r="AK27" i="47"/>
  <c r="AJ27" i="47"/>
  <c r="AI27" i="47"/>
  <c r="Z27" i="47"/>
  <c r="Y27" i="47"/>
  <c r="X27" i="47"/>
  <c r="V27" i="47"/>
  <c r="U27" i="47"/>
  <c r="Q27" i="47"/>
  <c r="M27" i="47" s="1"/>
  <c r="L27" i="47"/>
  <c r="F27" i="47"/>
  <c r="W27" i="47" s="1"/>
  <c r="E27" i="47"/>
  <c r="AA27" i="47" s="1"/>
  <c r="AK26" i="47"/>
  <c r="AJ26" i="47"/>
  <c r="AI26" i="47"/>
  <c r="AA26" i="47"/>
  <c r="Z26" i="47"/>
  <c r="Q26" i="47" s="1"/>
  <c r="Y26" i="47"/>
  <c r="V26" i="47"/>
  <c r="U26" i="47"/>
  <c r="L26" i="47"/>
  <c r="F26" i="47"/>
  <c r="W26" i="47" s="1"/>
  <c r="E26" i="47"/>
  <c r="AK25" i="47"/>
  <c r="AJ25" i="47"/>
  <c r="AI25" i="47"/>
  <c r="Z25" i="47"/>
  <c r="Q25" i="47" s="1"/>
  <c r="Y25" i="47"/>
  <c r="V25" i="47"/>
  <c r="U25" i="47"/>
  <c r="R25" i="47"/>
  <c r="F25" i="47"/>
  <c r="X25" i="47" s="1"/>
  <c r="E25" i="47"/>
  <c r="AA25" i="47" s="1"/>
  <c r="AK24" i="47"/>
  <c r="AJ24" i="47"/>
  <c r="AI24" i="47"/>
  <c r="Z24" i="47"/>
  <c r="Q24" i="47" s="1"/>
  <c r="Y24" i="47"/>
  <c r="V24" i="47"/>
  <c r="U24" i="47"/>
  <c r="F24" i="47"/>
  <c r="X24" i="47" s="1"/>
  <c r="E24" i="47"/>
  <c r="AA24" i="47" s="1"/>
  <c r="AK23" i="47"/>
  <c r="AJ23" i="47"/>
  <c r="AI23" i="47"/>
  <c r="Z23" i="47"/>
  <c r="Q23" i="47" s="1"/>
  <c r="Y23" i="47"/>
  <c r="V23" i="47"/>
  <c r="U23" i="47"/>
  <c r="F23" i="47"/>
  <c r="W23" i="47" s="1"/>
  <c r="E23" i="47"/>
  <c r="AA23" i="47" s="1"/>
  <c r="AK22" i="47"/>
  <c r="AJ22" i="47"/>
  <c r="AI22" i="47"/>
  <c r="Z22" i="47"/>
  <c r="Q22" i="47" s="1"/>
  <c r="Y22" i="47"/>
  <c r="W22" i="47"/>
  <c r="V22" i="47"/>
  <c r="U22" i="47"/>
  <c r="L22" i="47"/>
  <c r="F22" i="47"/>
  <c r="E22" i="47"/>
  <c r="AA22" i="47" s="1"/>
  <c r="AK21" i="47"/>
  <c r="AJ21" i="47"/>
  <c r="AI21" i="47"/>
  <c r="Z21" i="47"/>
  <c r="Y21" i="47"/>
  <c r="V21" i="47"/>
  <c r="U21" i="47"/>
  <c r="Q21" i="47"/>
  <c r="F21" i="47"/>
  <c r="E21" i="47"/>
  <c r="AA21" i="47" s="1"/>
  <c r="AK20" i="47"/>
  <c r="AJ20" i="47"/>
  <c r="AI20" i="47"/>
  <c r="Z20" i="47"/>
  <c r="Q20" i="47" s="1"/>
  <c r="Y20" i="47"/>
  <c r="X20" i="47"/>
  <c r="V20" i="47"/>
  <c r="U20" i="47"/>
  <c r="L20" i="47"/>
  <c r="F20" i="47"/>
  <c r="W20" i="47" s="1"/>
  <c r="E20" i="47"/>
  <c r="AA20" i="47" s="1"/>
  <c r="AK19" i="47"/>
  <c r="AJ19" i="47"/>
  <c r="AI19" i="47"/>
  <c r="Z19" i="47"/>
  <c r="Q19" i="47" s="1"/>
  <c r="Y19" i="47"/>
  <c r="X19" i="47"/>
  <c r="V19" i="47"/>
  <c r="U19" i="47"/>
  <c r="L19" i="47"/>
  <c r="F19" i="47"/>
  <c r="W19" i="47" s="1"/>
  <c r="E19" i="47"/>
  <c r="AA19" i="47" s="1"/>
  <c r="AK18" i="47"/>
  <c r="AJ18" i="47"/>
  <c r="AI18" i="47"/>
  <c r="Z18" i="47"/>
  <c r="Q18" i="47" s="1"/>
  <c r="Y18" i="47"/>
  <c r="V18" i="47"/>
  <c r="U18" i="47"/>
  <c r="F18" i="47"/>
  <c r="W18" i="47" s="1"/>
  <c r="E18" i="47"/>
  <c r="AA18" i="47" s="1"/>
  <c r="AK17" i="47"/>
  <c r="AJ17" i="47"/>
  <c r="AI17" i="47"/>
  <c r="AA17" i="47"/>
  <c r="Z17" i="47"/>
  <c r="Y17" i="47"/>
  <c r="V17" i="47"/>
  <c r="U17" i="47"/>
  <c r="Q17" i="47"/>
  <c r="F17" i="47"/>
  <c r="W17" i="47" s="1"/>
  <c r="S17" i="47" s="1"/>
  <c r="E17" i="47"/>
  <c r="AK16" i="47"/>
  <c r="AJ16" i="47"/>
  <c r="AI16" i="47"/>
  <c r="Z16" i="47"/>
  <c r="Q16" i="47" s="1"/>
  <c r="Y16" i="47"/>
  <c r="V16" i="47"/>
  <c r="U16" i="47"/>
  <c r="F16" i="47"/>
  <c r="X16" i="47" s="1"/>
  <c r="E16" i="47"/>
  <c r="AA16" i="47" s="1"/>
  <c r="AK15" i="47"/>
  <c r="AJ15" i="47"/>
  <c r="AI15" i="47"/>
  <c r="Z15" i="47"/>
  <c r="Y15" i="47"/>
  <c r="V15" i="47"/>
  <c r="U15" i="47"/>
  <c r="Q15" i="47"/>
  <c r="F15" i="47"/>
  <c r="W15" i="47" s="1"/>
  <c r="E15" i="47"/>
  <c r="AA15" i="47" s="1"/>
  <c r="AK14" i="47"/>
  <c r="AJ14" i="47"/>
  <c r="AI14" i="47"/>
  <c r="AA14" i="47"/>
  <c r="Z14" i="47"/>
  <c r="Y14" i="47"/>
  <c r="V14" i="47"/>
  <c r="U14" i="47"/>
  <c r="Q14" i="47"/>
  <c r="F14" i="47"/>
  <c r="M14" i="47" s="1"/>
  <c r="E14" i="47"/>
  <c r="AK13" i="47"/>
  <c r="AJ13" i="47"/>
  <c r="AI13" i="47"/>
  <c r="Z13" i="47"/>
  <c r="Y13" i="47"/>
  <c r="V13" i="47"/>
  <c r="U13" i="47"/>
  <c r="Q13" i="47"/>
  <c r="F13" i="47"/>
  <c r="X13" i="47" s="1"/>
  <c r="E13" i="47"/>
  <c r="AA13" i="47" s="1"/>
  <c r="AK12" i="47"/>
  <c r="AJ12" i="47"/>
  <c r="AI12" i="47"/>
  <c r="Z12" i="47"/>
  <c r="Y12" i="47"/>
  <c r="V12" i="47"/>
  <c r="U12" i="47"/>
  <c r="Q12" i="47"/>
  <c r="F12" i="47"/>
  <c r="X12" i="47" s="1"/>
  <c r="E12" i="47"/>
  <c r="AA12" i="47" s="1"/>
  <c r="AK11" i="47"/>
  <c r="AJ11" i="47"/>
  <c r="AI11" i="47"/>
  <c r="Z11" i="47"/>
  <c r="Y11" i="47"/>
  <c r="V11" i="47"/>
  <c r="U11" i="47"/>
  <c r="Q11" i="47"/>
  <c r="S11" i="47" s="1"/>
  <c r="F11" i="47"/>
  <c r="W11" i="47" s="1"/>
  <c r="E11" i="47"/>
  <c r="AA11" i="47" s="1"/>
  <c r="AK10" i="47"/>
  <c r="AJ10" i="47"/>
  <c r="AI10" i="47"/>
  <c r="AA10" i="47"/>
  <c r="Z10" i="47"/>
  <c r="Y10" i="47"/>
  <c r="V10" i="47"/>
  <c r="U10" i="47"/>
  <c r="Q10" i="47"/>
  <c r="F10" i="47"/>
  <c r="E10" i="47"/>
  <c r="AK9" i="47"/>
  <c r="AJ9" i="47"/>
  <c r="AI9" i="47"/>
  <c r="AA9" i="47"/>
  <c r="Z9" i="47"/>
  <c r="Y9" i="47"/>
  <c r="V9" i="47"/>
  <c r="U9" i="47"/>
  <c r="T9" i="47" s="1"/>
  <c r="Q9" i="47"/>
  <c r="F9" i="47"/>
  <c r="W9" i="47" s="1"/>
  <c r="E9" i="47"/>
  <c r="AK8" i="47"/>
  <c r="AJ8" i="47"/>
  <c r="AI8" i="47"/>
  <c r="Z8" i="47"/>
  <c r="Y8" i="47"/>
  <c r="V8" i="47"/>
  <c r="U8" i="47"/>
  <c r="Q8" i="47"/>
  <c r="F8" i="47"/>
  <c r="X8" i="47" s="1"/>
  <c r="E8" i="47"/>
  <c r="AA8" i="47" s="1"/>
  <c r="AK7" i="47"/>
  <c r="AJ7" i="47"/>
  <c r="AI7" i="47"/>
  <c r="Z7" i="47"/>
  <c r="Q7" i="47" s="1"/>
  <c r="Y7" i="47"/>
  <c r="V7" i="47"/>
  <c r="U7" i="47"/>
  <c r="R7" i="47"/>
  <c r="F7" i="47"/>
  <c r="W7" i="47" s="1"/>
  <c r="E7" i="47"/>
  <c r="AA7" i="47" s="1"/>
  <c r="AK6" i="47"/>
  <c r="AJ6" i="47"/>
  <c r="AI6" i="47"/>
  <c r="Z6" i="47"/>
  <c r="Q6" i="47" s="1"/>
  <c r="Y6" i="47"/>
  <c r="W6" i="47"/>
  <c r="S6" i="47" s="1"/>
  <c r="V6" i="47"/>
  <c r="U6" i="47"/>
  <c r="F6" i="47"/>
  <c r="M6" i="47" s="1"/>
  <c r="E6" i="47"/>
  <c r="AA6" i="47" s="1"/>
  <c r="AK5" i="47"/>
  <c r="AJ5" i="47"/>
  <c r="AI5" i="47"/>
  <c r="Z5" i="47"/>
  <c r="Y5" i="47"/>
  <c r="V5" i="47"/>
  <c r="U5" i="47"/>
  <c r="Q5" i="47"/>
  <c r="F5" i="47"/>
  <c r="X5" i="47" s="1"/>
  <c r="E5" i="47"/>
  <c r="AA5" i="47" s="1"/>
  <c r="AK4" i="47"/>
  <c r="AJ4" i="47"/>
  <c r="AI4" i="47"/>
  <c r="Z4" i="47"/>
  <c r="Y4" i="47"/>
  <c r="X4" i="47"/>
  <c r="V4" i="47"/>
  <c r="U4" i="47"/>
  <c r="Q4" i="47"/>
  <c r="L4" i="47"/>
  <c r="F4" i="47"/>
  <c r="W4" i="47" s="1"/>
  <c r="E4" i="47"/>
  <c r="AA4" i="47" s="1"/>
  <c r="M26" i="47" l="1"/>
  <c r="S26" i="47"/>
  <c r="S43" i="47"/>
  <c r="S30" i="47"/>
  <c r="M16" i="47"/>
  <c r="T32" i="47"/>
  <c r="M36" i="47"/>
  <c r="M56" i="47"/>
  <c r="M62" i="47"/>
  <c r="M5" i="47"/>
  <c r="T11" i="47"/>
  <c r="S4" i="47"/>
  <c r="X11" i="47"/>
  <c r="W13" i="47"/>
  <c r="L17" i="47"/>
  <c r="M22" i="47"/>
  <c r="S33" i="47"/>
  <c r="X37" i="47"/>
  <c r="M38" i="47"/>
  <c r="W42" i="47"/>
  <c r="S42" i="47" s="1"/>
  <c r="X70" i="47"/>
  <c r="M71" i="47"/>
  <c r="X72" i="47"/>
  <c r="L73" i="47"/>
  <c r="X74" i="47"/>
  <c r="T74" i="47" s="1"/>
  <c r="X76" i="47"/>
  <c r="S78" i="47"/>
  <c r="L25" i="47"/>
  <c r="M17" i="47"/>
  <c r="M20" i="47"/>
  <c r="S29" i="47"/>
  <c r="X32" i="47"/>
  <c r="S35" i="47"/>
  <c r="M63" i="47"/>
  <c r="L71" i="47"/>
  <c r="M83" i="47"/>
  <c r="S22" i="47"/>
  <c r="M4" i="47"/>
  <c r="W5" i="47"/>
  <c r="T5" i="47" s="1"/>
  <c r="L9" i="47"/>
  <c r="L11" i="47"/>
  <c r="L13" i="47"/>
  <c r="S15" i="47"/>
  <c r="M24" i="47"/>
  <c r="W25" i="47"/>
  <c r="T25" i="47" s="1"/>
  <c r="X26" i="47"/>
  <c r="T26" i="47" s="1"/>
  <c r="L29" i="47"/>
  <c r="X34" i="47"/>
  <c r="L35" i="47"/>
  <c r="M41" i="47"/>
  <c r="M78" i="47"/>
  <c r="S7" i="47"/>
  <c r="M9" i="47"/>
  <c r="M11" i="47"/>
  <c r="M13" i="47"/>
  <c r="X36" i="47"/>
  <c r="T46" i="47"/>
  <c r="M49" i="47"/>
  <c r="X69" i="47"/>
  <c r="M70" i="47"/>
  <c r="X71" i="47"/>
  <c r="T71" i="47" s="1"/>
  <c r="L72" i="47"/>
  <c r="X73" i="47"/>
  <c r="L74" i="47"/>
  <c r="X75" i="47"/>
  <c r="L76" i="47"/>
  <c r="T78" i="47"/>
  <c r="S46" i="47"/>
  <c r="M47" i="47"/>
  <c r="M61" i="47"/>
  <c r="M76" i="47"/>
  <c r="L34" i="47"/>
  <c r="L5" i="47"/>
  <c r="M8" i="47"/>
  <c r="X9" i="47"/>
  <c r="M10" i="47"/>
  <c r="X17" i="47"/>
  <c r="T17" i="47" s="1"/>
  <c r="M21" i="47"/>
  <c r="X22" i="47"/>
  <c r="X29" i="47"/>
  <c r="M34" i="47"/>
  <c r="X35" i="47"/>
  <c r="L36" i="47"/>
  <c r="T37" i="47"/>
  <c r="L45" i="47"/>
  <c r="T28" i="47"/>
  <c r="S28" i="47"/>
  <c r="S19" i="47"/>
  <c r="M19" i="47"/>
  <c r="S18" i="47"/>
  <c r="T15" i="47"/>
  <c r="S20" i="47"/>
  <c r="T22" i="47"/>
  <c r="S27" i="47"/>
  <c r="T39" i="47"/>
  <c r="T47" i="47"/>
  <c r="M58" i="47"/>
  <c r="S71" i="47"/>
  <c r="S73" i="47"/>
  <c r="T73" i="47"/>
  <c r="S75" i="47"/>
  <c r="T75" i="47"/>
  <c r="X6" i="47"/>
  <c r="L7" i="47"/>
  <c r="W10" i="47"/>
  <c r="L12" i="47"/>
  <c r="T14" i="47"/>
  <c r="T34" i="47"/>
  <c r="T42" i="47"/>
  <c r="M43" i="47"/>
  <c r="X43" i="47"/>
  <c r="L43" i="47"/>
  <c r="T52" i="47"/>
  <c r="M59" i="47"/>
  <c r="S68" i="47"/>
  <c r="T68" i="47"/>
  <c r="T4" i="47"/>
  <c r="L6" i="47"/>
  <c r="W14" i="47"/>
  <c r="S14" i="47" s="1"/>
  <c r="M18" i="47"/>
  <c r="X18" i="47"/>
  <c r="T18" i="47" s="1"/>
  <c r="L18" i="47"/>
  <c r="M23" i="47"/>
  <c r="X23" i="47"/>
  <c r="T23" i="47" s="1"/>
  <c r="L23" i="47"/>
  <c r="S25" i="47"/>
  <c r="M25" i="47"/>
  <c r="T27" i="47"/>
  <c r="T29" i="47"/>
  <c r="T36" i="47"/>
  <c r="S5" i="47"/>
  <c r="X10" i="47"/>
  <c r="L10" i="47"/>
  <c r="M12" i="47"/>
  <c r="M53" i="47"/>
  <c r="X14" i="47"/>
  <c r="M15" i="47"/>
  <c r="X15" i="47"/>
  <c r="L15" i="47"/>
  <c r="T20" i="47"/>
  <c r="W21" i="47"/>
  <c r="X28" i="47"/>
  <c r="L28" i="47"/>
  <c r="M30" i="47"/>
  <c r="X30" i="47"/>
  <c r="T30" i="47" s="1"/>
  <c r="L30" i="47"/>
  <c r="T33" i="47"/>
  <c r="S37" i="47"/>
  <c r="T38" i="47"/>
  <c r="T43" i="47"/>
  <c r="W44" i="47"/>
  <c r="S44" i="47" s="1"/>
  <c r="L44" i="47"/>
  <c r="M55" i="47"/>
  <c r="M60" i="47"/>
  <c r="S70" i="47"/>
  <c r="T70" i="47"/>
  <c r="S72" i="47"/>
  <c r="T72" i="47"/>
  <c r="S74" i="47"/>
  <c r="S76" i="47"/>
  <c r="T76" i="47"/>
  <c r="X21" i="47"/>
  <c r="T6" i="47"/>
  <c r="S9" i="47"/>
  <c r="W12" i="47"/>
  <c r="S12" i="47" s="1"/>
  <c r="L14" i="47"/>
  <c r="L21" i="47"/>
  <c r="T35" i="47"/>
  <c r="T44" i="47"/>
  <c r="X7" i="47"/>
  <c r="T7" i="47" s="1"/>
  <c r="M7" i="47"/>
  <c r="T19" i="47"/>
  <c r="S23" i="47"/>
  <c r="S69" i="47"/>
  <c r="T69" i="47"/>
  <c r="W81" i="47"/>
  <c r="S81" i="47" s="1"/>
  <c r="W83" i="47"/>
  <c r="S83" i="47" s="1"/>
  <c r="W8" i="47"/>
  <c r="S8" i="47" s="1"/>
  <c r="W16" i="47"/>
  <c r="S16" i="47" s="1"/>
  <c r="W24" i="47"/>
  <c r="S24" i="47" s="1"/>
  <c r="M29" i="47"/>
  <c r="W31" i="47"/>
  <c r="W39" i="47"/>
  <c r="S39" i="47" s="1"/>
  <c r="W40" i="47"/>
  <c r="S40" i="47" s="1"/>
  <c r="W41" i="47"/>
  <c r="S41" i="47" s="1"/>
  <c r="X42" i="47"/>
  <c r="L79" i="47"/>
  <c r="X79" i="47"/>
  <c r="L81" i="47"/>
  <c r="X81" i="47"/>
  <c r="L82" i="47"/>
  <c r="X82" i="47"/>
  <c r="L83" i="47"/>
  <c r="X83" i="47"/>
  <c r="L84" i="47"/>
  <c r="X84" i="47"/>
  <c r="L85" i="47"/>
  <c r="X85" i="47"/>
  <c r="W79" i="47"/>
  <c r="S79" i="47" s="1"/>
  <c r="W82" i="47"/>
  <c r="S82" i="47" s="1"/>
  <c r="W84" i="47"/>
  <c r="S84" i="47" s="1"/>
  <c r="W85" i="47"/>
  <c r="S85" i="47" s="1"/>
  <c r="L8" i="47"/>
  <c r="L16" i="47"/>
  <c r="L24" i="47"/>
  <c r="L31" i="47"/>
  <c r="L39" i="47"/>
  <c r="L40" i="47"/>
  <c r="L41" i="47"/>
  <c r="W77" i="47"/>
  <c r="S77" i="47" s="1"/>
  <c r="W67" i="47"/>
  <c r="L77" i="47"/>
  <c r="W66" i="47"/>
  <c r="S66" i="47" s="1"/>
  <c r="S38" i="47"/>
  <c r="W47" i="47"/>
  <c r="S47" i="47" s="1"/>
  <c r="W48" i="47"/>
  <c r="S48" i="47" s="1"/>
  <c r="W49" i="47"/>
  <c r="S49" i="47" s="1"/>
  <c r="W50" i="47"/>
  <c r="S50" i="47" s="1"/>
  <c r="W51" i="47"/>
  <c r="S51" i="47" s="1"/>
  <c r="W52" i="47"/>
  <c r="S52" i="47" s="1"/>
  <c r="W53" i="47"/>
  <c r="S53" i="47" s="1"/>
  <c r="W55" i="47"/>
  <c r="S55" i="47" s="1"/>
  <c r="W56" i="47"/>
  <c r="S56" i="47" s="1"/>
  <c r="W58" i="47"/>
  <c r="S58" i="47" s="1"/>
  <c r="W59" i="47"/>
  <c r="S59" i="47" s="1"/>
  <c r="W60" i="47"/>
  <c r="S60" i="47" s="1"/>
  <c r="W61" i="47"/>
  <c r="S61" i="47" s="1"/>
  <c r="W62" i="47"/>
  <c r="S62" i="47" s="1"/>
  <c r="W63" i="47"/>
  <c r="S63" i="47" s="1"/>
  <c r="W64" i="47"/>
  <c r="S64" i="47" s="1"/>
  <c r="W65" i="47"/>
  <c r="S65" i="47" s="1"/>
  <c r="X66" i="47"/>
  <c r="W45" i="47"/>
  <c r="L47" i="47"/>
  <c r="L48" i="47"/>
  <c r="L49" i="47"/>
  <c r="L50" i="47"/>
  <c r="L51" i="47"/>
  <c r="L52" i="47"/>
  <c r="L53" i="47"/>
  <c r="X53" i="47"/>
  <c r="L55" i="47"/>
  <c r="X55" i="47"/>
  <c r="L56" i="47"/>
  <c r="X56" i="47"/>
  <c r="X58" i="47"/>
  <c r="L59" i="47"/>
  <c r="X59" i="47"/>
  <c r="X60" i="47"/>
  <c r="L61" i="47"/>
  <c r="X61" i="47"/>
  <c r="L62" i="47"/>
  <c r="X62" i="47"/>
  <c r="L63" i="47"/>
  <c r="X63" i="47"/>
  <c r="L64" i="47"/>
  <c r="X64" i="47"/>
  <c r="T64" i="47" s="1"/>
  <c r="L65" i="47"/>
  <c r="X65" i="47"/>
  <c r="S13" i="47" l="1"/>
  <c r="T13" i="47"/>
  <c r="T53" i="47"/>
  <c r="T48" i="47"/>
  <c r="T81" i="47"/>
  <c r="T45" i="47"/>
  <c r="S45" i="47"/>
  <c r="T41" i="47"/>
  <c r="T84" i="47"/>
  <c r="T24" i="47"/>
  <c r="T10" i="47"/>
  <c r="S10" i="47"/>
  <c r="T79" i="47"/>
  <c r="T12" i="47"/>
  <c r="T16" i="47"/>
  <c r="T49" i="47"/>
  <c r="S31" i="47"/>
  <c r="T31" i="47"/>
  <c r="T65" i="47"/>
  <c r="T83" i="47"/>
  <c r="T77" i="47"/>
  <c r="T85" i="47"/>
  <c r="T61" i="47"/>
  <c r="T8" i="47"/>
  <c r="T66" i="47"/>
  <c r="T60" i="47"/>
  <c r="S21" i="47"/>
  <c r="T21" i="47"/>
  <c r="T62" i="47"/>
  <c r="T63" i="47"/>
  <c r="T82" i="47"/>
  <c r="T55" i="47"/>
  <c r="T59" i="47"/>
  <c r="T58" i="47"/>
  <c r="T40" i="47"/>
  <c r="T56" i="47"/>
  <c r="S67" i="47"/>
  <c r="T67" i="47"/>
  <c r="T50" i="47"/>
  <c r="T51" i="47"/>
  <c r="AS23" i="36"/>
  <c r="I23" i="36"/>
  <c r="I14" i="36"/>
  <c r="Y4" i="37" l="1"/>
  <c r="Z4" i="37"/>
  <c r="Y5" i="37"/>
  <c r="Z5" i="37"/>
  <c r="Y6" i="37"/>
  <c r="Z6" i="37"/>
  <c r="Y7" i="37"/>
  <c r="Z7" i="37"/>
  <c r="Y8" i="37"/>
  <c r="Z8" i="37"/>
  <c r="Y9" i="37"/>
  <c r="Z9" i="37"/>
  <c r="Y10" i="37"/>
  <c r="Z10" i="37"/>
  <c r="Y11" i="37"/>
  <c r="Z11" i="37"/>
  <c r="Y22" i="37"/>
  <c r="Z22" i="37"/>
  <c r="Y23" i="37"/>
  <c r="Z23" i="37"/>
  <c r="Y24" i="37"/>
  <c r="Z24" i="37"/>
  <c r="Y25" i="37"/>
  <c r="Z25" i="37"/>
  <c r="Y26" i="37"/>
  <c r="Z26" i="37"/>
  <c r="Y27" i="37"/>
  <c r="Z27" i="37"/>
  <c r="AA4" i="37" l="1"/>
  <c r="AD4" i="37"/>
  <c r="AX4" i="37"/>
  <c r="AY4" i="37"/>
  <c r="AZ4" i="37"/>
  <c r="BF4" i="37" s="1"/>
  <c r="BA4" i="37"/>
  <c r="BB4" i="37"/>
  <c r="BH4" i="37" s="1"/>
  <c r="BC4" i="37"/>
  <c r="BD4" i="37"/>
  <c r="BE4" i="37"/>
  <c r="BI4" i="37"/>
  <c r="BM4" i="37"/>
  <c r="BN4" i="37"/>
  <c r="BO4" i="37"/>
  <c r="BL4" i="37" s="1"/>
  <c r="AK4" i="37" s="1"/>
  <c r="BP4" i="37"/>
  <c r="BQ4" i="37"/>
  <c r="BR4" i="37"/>
  <c r="BX4" i="37"/>
  <c r="CC4" i="37"/>
  <c r="CD4" i="37"/>
  <c r="CE4" i="37"/>
  <c r="CF4" i="37"/>
  <c r="CG4" i="37"/>
  <c r="CH4" i="37"/>
  <c r="CI4" i="37"/>
  <c r="CJ4" i="37"/>
  <c r="CK4" i="37"/>
  <c r="CL4" i="37"/>
  <c r="CM4" i="37"/>
  <c r="CN4" i="37"/>
  <c r="CQ4" i="37"/>
  <c r="BY4" i="37" l="1"/>
  <c r="CO4" i="37"/>
  <c r="CP4" i="37"/>
  <c r="BZ4" i="37"/>
  <c r="AE4" i="37"/>
  <c r="AF4" i="37"/>
  <c r="BJ4" i="37"/>
  <c r="Q4" i="37"/>
  <c r="BW4" i="37"/>
  <c r="BG4" i="37"/>
  <c r="BV4" i="37"/>
  <c r="CA4" i="37"/>
  <c r="BT4" i="37" s="1"/>
  <c r="AN4" i="37" s="1"/>
  <c r="T4" i="37" s="1"/>
  <c r="BK4" i="37"/>
  <c r="AL4" i="37" s="1"/>
  <c r="R4" i="37" s="1"/>
  <c r="BS4" i="37" l="1"/>
  <c r="BU4" i="37"/>
  <c r="AM4" i="37" s="1"/>
  <c r="AJ4" i="37" s="1"/>
  <c r="AG4" i="37" l="1"/>
  <c r="S4" i="37"/>
  <c r="AH4" i="37"/>
  <c r="AI4" i="37"/>
  <c r="R22" i="36"/>
  <c r="AG5" i="36"/>
  <c r="AB4" i="37" l="1"/>
  <c r="AC4" i="37"/>
  <c r="T157" i="45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D34" i="45" l="1"/>
  <c r="D35" i="45"/>
  <c r="D36" i="45"/>
  <c r="D37" i="45"/>
  <c r="D38" i="45"/>
  <c r="D39" i="45"/>
  <c r="D40" i="45"/>
  <c r="D63" i="45"/>
  <c r="D64" i="45"/>
  <c r="D65" i="45"/>
  <c r="D68" i="45"/>
  <c r="D69" i="45"/>
  <c r="D78" i="45" l="1"/>
  <c r="D62" i="45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4" i="36"/>
  <c r="C133" i="45" s="1"/>
  <c r="L25" i="36"/>
  <c r="C134" i="45" s="1"/>
  <c r="L26" i="36"/>
  <c r="C135" i="45" s="1"/>
  <c r="L27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S14" i="36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I5" i="37"/>
  <c r="BI6" i="37"/>
  <c r="BI7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CC5" i="37"/>
  <c r="CD5" i="37"/>
  <c r="CE5" i="37"/>
  <c r="CF5" i="37"/>
  <c r="CG5" i="37"/>
  <c r="CH5" i="37"/>
  <c r="CI5" i="37"/>
  <c r="CJ5" i="37"/>
  <c r="CK5" i="37"/>
  <c r="CL5" i="37"/>
  <c r="CC6" i="37"/>
  <c r="CD6" i="37"/>
  <c r="CE6" i="37"/>
  <c r="CF6" i="37"/>
  <c r="CG6" i="37"/>
  <c r="CH6" i="37"/>
  <c r="CI6" i="37"/>
  <c r="CJ6" i="37"/>
  <c r="CK6" i="37"/>
  <c r="CL6" i="37"/>
  <c r="CC7" i="37"/>
  <c r="CD7" i="37"/>
  <c r="CE7" i="37"/>
  <c r="CF7" i="37"/>
  <c r="CG7" i="37"/>
  <c r="CH7" i="37"/>
  <c r="CI7" i="37"/>
  <c r="CJ7" i="37"/>
  <c r="CK7" i="37"/>
  <c r="CL7" i="37"/>
  <c r="CC8" i="37"/>
  <c r="CD8" i="37"/>
  <c r="CE8" i="37"/>
  <c r="CF8" i="37"/>
  <c r="CG8" i="37"/>
  <c r="CH8" i="37"/>
  <c r="CI8" i="37"/>
  <c r="CJ8" i="37"/>
  <c r="CK8" i="37"/>
  <c r="CL8" i="37"/>
  <c r="CC9" i="37"/>
  <c r="CD9" i="37"/>
  <c r="CE9" i="37"/>
  <c r="CF9" i="37"/>
  <c r="CG9" i="37"/>
  <c r="CH9" i="37"/>
  <c r="CI9" i="37"/>
  <c r="CJ9" i="37"/>
  <c r="CK9" i="37"/>
  <c r="CL9" i="37"/>
  <c r="CC10" i="37"/>
  <c r="CD10" i="37"/>
  <c r="CE10" i="37"/>
  <c r="CF10" i="37"/>
  <c r="CG10" i="37"/>
  <c r="CH10" i="37"/>
  <c r="CI10" i="37"/>
  <c r="CJ10" i="37"/>
  <c r="CK10" i="37"/>
  <c r="CL10" i="37"/>
  <c r="CC11" i="37"/>
  <c r="CD11" i="37"/>
  <c r="CE11" i="37"/>
  <c r="CF11" i="37"/>
  <c r="CG11" i="37"/>
  <c r="CH11" i="37"/>
  <c r="CI11" i="37"/>
  <c r="CJ11" i="37"/>
  <c r="CK11" i="37"/>
  <c r="CL11" i="37"/>
  <c r="CC12" i="37"/>
  <c r="CD12" i="37"/>
  <c r="CE12" i="37"/>
  <c r="CF12" i="37"/>
  <c r="CG12" i="37"/>
  <c r="CH12" i="37"/>
  <c r="CI12" i="37"/>
  <c r="CJ12" i="37"/>
  <c r="CK12" i="37"/>
  <c r="CL12" i="37"/>
  <c r="CC13" i="37"/>
  <c r="CD13" i="37"/>
  <c r="CE13" i="37"/>
  <c r="CF13" i="37"/>
  <c r="CG13" i="37"/>
  <c r="CH13" i="37"/>
  <c r="CI13" i="37"/>
  <c r="CJ13" i="37"/>
  <c r="CK13" i="37"/>
  <c r="CL13" i="37"/>
  <c r="CC14" i="37"/>
  <c r="CD14" i="37"/>
  <c r="CE14" i="37"/>
  <c r="CF14" i="37"/>
  <c r="CG14" i="37"/>
  <c r="CH14" i="37"/>
  <c r="CI14" i="37"/>
  <c r="CJ14" i="37"/>
  <c r="CK14" i="37"/>
  <c r="CL14" i="37"/>
  <c r="CC15" i="37"/>
  <c r="CD15" i="37"/>
  <c r="CE15" i="37"/>
  <c r="CF15" i="37"/>
  <c r="CG15" i="37"/>
  <c r="CH15" i="37"/>
  <c r="CI15" i="37"/>
  <c r="CJ15" i="37"/>
  <c r="CK15" i="37"/>
  <c r="CL15" i="37"/>
  <c r="CC16" i="37"/>
  <c r="CD16" i="37"/>
  <c r="CE16" i="37"/>
  <c r="CF16" i="37"/>
  <c r="CG16" i="37"/>
  <c r="CH16" i="37"/>
  <c r="CI16" i="37"/>
  <c r="CJ16" i="37"/>
  <c r="CK16" i="37"/>
  <c r="CL16" i="37"/>
  <c r="CC17" i="37"/>
  <c r="CD17" i="37"/>
  <c r="CE17" i="37"/>
  <c r="CF17" i="37"/>
  <c r="CG17" i="37"/>
  <c r="CH17" i="37"/>
  <c r="CI17" i="37"/>
  <c r="CJ17" i="37"/>
  <c r="CK17" i="37"/>
  <c r="CL17" i="37"/>
  <c r="CC18" i="37"/>
  <c r="CD18" i="37"/>
  <c r="CE18" i="37"/>
  <c r="CF18" i="37"/>
  <c r="CG18" i="37"/>
  <c r="CH18" i="37"/>
  <c r="CI18" i="37"/>
  <c r="CJ18" i="37"/>
  <c r="CK18" i="37"/>
  <c r="CL18" i="37"/>
  <c r="CC19" i="37"/>
  <c r="CD19" i="37"/>
  <c r="CE19" i="37"/>
  <c r="CF19" i="37"/>
  <c r="CG19" i="37"/>
  <c r="CH19" i="37"/>
  <c r="CI19" i="37"/>
  <c r="CJ19" i="37"/>
  <c r="CK19" i="37"/>
  <c r="CL19" i="37"/>
  <c r="CC20" i="37"/>
  <c r="CD20" i="37"/>
  <c r="CE20" i="37"/>
  <c r="CF20" i="37"/>
  <c r="CG20" i="37"/>
  <c r="CH20" i="37"/>
  <c r="CI20" i="37"/>
  <c r="CJ20" i="37"/>
  <c r="CK20" i="37"/>
  <c r="CL20" i="37"/>
  <c r="CC21" i="37"/>
  <c r="CD21" i="37"/>
  <c r="CE21" i="37"/>
  <c r="CF21" i="37"/>
  <c r="CG21" i="37"/>
  <c r="CH21" i="37"/>
  <c r="CI21" i="37"/>
  <c r="CJ21" i="37"/>
  <c r="CK21" i="37"/>
  <c r="CL21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CO22" i="37"/>
  <c r="CP22" i="37"/>
  <c r="CQ22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CO23" i="37"/>
  <c r="CP23" i="37"/>
  <c r="CQ23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CO24" i="37"/>
  <c r="CP24" i="37"/>
  <c r="CQ24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CO25" i="37"/>
  <c r="CP25" i="37"/>
  <c r="CQ25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CO26" i="37"/>
  <c r="CP26" i="37"/>
  <c r="CQ26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CO27" i="37"/>
  <c r="CP27" i="37"/>
  <c r="CQ27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CO28" i="37"/>
  <c r="CP28" i="37"/>
  <c r="CQ28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CO29" i="37"/>
  <c r="CP29" i="37"/>
  <c r="CQ29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CO30" i="37"/>
  <c r="CP30" i="37"/>
  <c r="CQ30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CO31" i="37"/>
  <c r="CP31" i="37"/>
  <c r="CQ31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CO32" i="37"/>
  <c r="CP32" i="37"/>
  <c r="CQ32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CO33" i="37"/>
  <c r="CP33" i="37"/>
  <c r="CQ33" i="37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BB5" i="37"/>
  <c r="CQ5" i="37" s="1"/>
  <c r="BB6" i="37"/>
  <c r="CQ6" i="37" s="1"/>
  <c r="BB7" i="37"/>
  <c r="CQ7" i="37" s="1"/>
  <c r="BB8" i="37"/>
  <c r="CQ8" i="37" s="1"/>
  <c r="BB9" i="37"/>
  <c r="CQ9" i="37" s="1"/>
  <c r="BB10" i="37"/>
  <c r="CQ10" i="37" s="1"/>
  <c r="BB11" i="37"/>
  <c r="CQ11" i="37" s="1"/>
  <c r="BB12" i="37"/>
  <c r="CQ12" i="37" s="1"/>
  <c r="BB13" i="37"/>
  <c r="CQ13" i="37" s="1"/>
  <c r="BB14" i="37"/>
  <c r="CQ14" i="37" s="1"/>
  <c r="BB15" i="37"/>
  <c r="CQ15" i="37" s="1"/>
  <c r="BB16" i="37"/>
  <c r="CQ16" i="37" s="1"/>
  <c r="BB17" i="37"/>
  <c r="CQ17" i="37" s="1"/>
  <c r="BB18" i="37"/>
  <c r="CQ18" i="37" s="1"/>
  <c r="BB19" i="37"/>
  <c r="CQ19" i="37" s="1"/>
  <c r="BB20" i="37"/>
  <c r="CQ20" i="37" s="1"/>
  <c r="BB21" i="37"/>
  <c r="CQ21" i="37" s="1"/>
  <c r="BY22" i="37"/>
  <c r="BY23" i="37"/>
  <c r="BY24" i="37"/>
  <c r="BY25" i="37"/>
  <c r="BY26" i="37"/>
  <c r="BY27" i="37"/>
  <c r="BY28" i="37"/>
  <c r="BY29" i="37"/>
  <c r="BY30" i="37"/>
  <c r="BY31" i="37"/>
  <c r="BY32" i="37"/>
  <c r="BY33" i="37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X5" i="37"/>
  <c r="AY5" i="37"/>
  <c r="AZ5" i="37"/>
  <c r="BA5" i="37"/>
  <c r="AX6" i="37"/>
  <c r="AY6" i="37"/>
  <c r="AZ6" i="37"/>
  <c r="BA6" i="37"/>
  <c r="CP6" i="37" s="1"/>
  <c r="BH6" i="37"/>
  <c r="AX7" i="37"/>
  <c r="AY7" i="37"/>
  <c r="AZ7" i="37"/>
  <c r="CO7" i="37" s="1"/>
  <c r="BA7" i="37"/>
  <c r="BH7" i="37"/>
  <c r="AX8" i="37"/>
  <c r="AY8" i="37"/>
  <c r="AZ8" i="37"/>
  <c r="BA8" i="37"/>
  <c r="BH8" i="37"/>
  <c r="AX9" i="37"/>
  <c r="AY9" i="37"/>
  <c r="AZ9" i="37"/>
  <c r="BA9" i="37"/>
  <c r="AX10" i="37"/>
  <c r="AY10" i="37"/>
  <c r="AZ10" i="37"/>
  <c r="BA10" i="37"/>
  <c r="CP10" i="37" s="1"/>
  <c r="BH10" i="37"/>
  <c r="AX11" i="37"/>
  <c r="AY11" i="37"/>
  <c r="AZ11" i="37"/>
  <c r="CO11" i="37" s="1"/>
  <c r="BA11" i="37"/>
  <c r="BH11" i="37"/>
  <c r="AX12" i="37"/>
  <c r="AY12" i="37"/>
  <c r="AZ12" i="37"/>
  <c r="BA12" i="37"/>
  <c r="BH12" i="37"/>
  <c r="AX13" i="37"/>
  <c r="AY13" i="37"/>
  <c r="AZ13" i="37"/>
  <c r="BA13" i="37"/>
  <c r="BH13" i="37"/>
  <c r="AX14" i="37"/>
  <c r="AY14" i="37"/>
  <c r="AZ14" i="37"/>
  <c r="BA14" i="37"/>
  <c r="BH14" i="37"/>
  <c r="AX15" i="37"/>
  <c r="AY15" i="37"/>
  <c r="AZ15" i="37"/>
  <c r="CO15" i="37" s="1"/>
  <c r="BA15" i="37"/>
  <c r="CP15" i="37" s="1"/>
  <c r="BH15" i="37"/>
  <c r="AX16" i="37"/>
  <c r="AY16" i="37"/>
  <c r="AZ16" i="37"/>
  <c r="CO16" i="37" s="1"/>
  <c r="BA16" i="37"/>
  <c r="BH16" i="37"/>
  <c r="AX17" i="37"/>
  <c r="AY17" i="37"/>
  <c r="AZ17" i="37"/>
  <c r="BA17" i="37"/>
  <c r="BH17" i="37"/>
  <c r="AX18" i="37"/>
  <c r="AY18" i="37"/>
  <c r="AZ18" i="37"/>
  <c r="BA18" i="37"/>
  <c r="BH18" i="37"/>
  <c r="AX19" i="37"/>
  <c r="AY19" i="37"/>
  <c r="AZ19" i="37"/>
  <c r="CO19" i="37" s="1"/>
  <c r="BA19" i="37"/>
  <c r="BH19" i="37"/>
  <c r="AX20" i="37"/>
  <c r="AY20" i="37"/>
  <c r="AZ20" i="37"/>
  <c r="BA20" i="37"/>
  <c r="BH20" i="37"/>
  <c r="AX21" i="37"/>
  <c r="AY21" i="37"/>
  <c r="AZ21" i="37"/>
  <c r="BA21" i="37"/>
  <c r="BH21" i="37"/>
  <c r="BZ22" i="37"/>
  <c r="BZ24" i="37"/>
  <c r="CA25" i="37"/>
  <c r="BZ26" i="37"/>
  <c r="BZ28" i="37"/>
  <c r="CA29" i="37"/>
  <c r="AZ83" i="45"/>
  <c r="BE5" i="37"/>
  <c r="BE6" i="37"/>
  <c r="CA22" i="37"/>
  <c r="BZ23" i="37"/>
  <c r="CA24" i="37"/>
  <c r="BZ25" i="37"/>
  <c r="CA26" i="37"/>
  <c r="BZ27" i="37"/>
  <c r="CA28" i="37"/>
  <c r="BZ29" i="37"/>
  <c r="BZ30" i="37"/>
  <c r="CA30" i="37"/>
  <c r="BZ31" i="37"/>
  <c r="CA31" i="37"/>
  <c r="BZ32" i="37"/>
  <c r="CA32" i="37"/>
  <c r="BZ33" i="37"/>
  <c r="CA33" i="37"/>
  <c r="BW29" i="37"/>
  <c r="BV29" i="37"/>
  <c r="BW28" i="37"/>
  <c r="BV28" i="37"/>
  <c r="BW27" i="37"/>
  <c r="BV27" i="37"/>
  <c r="BW26" i="37"/>
  <c r="BV26" i="37"/>
  <c r="BW25" i="37"/>
  <c r="BV25" i="37"/>
  <c r="BW24" i="37"/>
  <c r="BV24" i="37"/>
  <c r="BW23" i="37"/>
  <c r="BV23" i="37"/>
  <c r="BW22" i="37"/>
  <c r="BV22" i="37"/>
  <c r="BV30" i="37"/>
  <c r="BW30" i="37"/>
  <c r="BV31" i="37"/>
  <c r="BW31" i="37"/>
  <c r="BV32" i="37"/>
  <c r="BW32" i="37"/>
  <c r="BV33" i="37"/>
  <c r="BW33" i="37"/>
  <c r="AA23" i="37"/>
  <c r="AA24" i="37"/>
  <c r="AA25" i="37"/>
  <c r="AA26" i="37"/>
  <c r="AA27" i="37"/>
  <c r="AA5" i="37"/>
  <c r="AA6" i="37"/>
  <c r="AA7" i="37"/>
  <c r="AA8" i="37"/>
  <c r="AA9" i="37"/>
  <c r="AA10" i="37"/>
  <c r="AA11" i="37"/>
  <c r="AA22" i="37"/>
  <c r="AG38" i="37"/>
  <c r="AF38" i="37"/>
  <c r="AE38" i="37"/>
  <c r="AE36" i="37"/>
  <c r="AE23" i="37"/>
  <c r="AE24" i="37"/>
  <c r="AE25" i="37"/>
  <c r="AE26" i="37"/>
  <c r="AE27" i="37"/>
  <c r="AE28" i="37"/>
  <c r="AE29" i="37"/>
  <c r="AE30" i="37"/>
  <c r="AE31" i="37"/>
  <c r="AE32" i="37"/>
  <c r="AE33" i="37"/>
  <c r="AE22" i="37"/>
  <c r="BX23" i="37"/>
  <c r="BX24" i="37"/>
  <c r="BX25" i="37"/>
  <c r="BX26" i="37"/>
  <c r="BX27" i="37"/>
  <c r="BX28" i="37"/>
  <c r="BX29" i="37"/>
  <c r="BX5" i="37"/>
  <c r="BX6" i="37"/>
  <c r="BX7" i="37"/>
  <c r="BX8" i="37"/>
  <c r="BX9" i="37"/>
  <c r="BX12" i="37"/>
  <c r="BX10" i="37"/>
  <c r="BX11" i="37"/>
  <c r="BX13" i="37"/>
  <c r="BX14" i="37"/>
  <c r="BX15" i="37"/>
  <c r="BX16" i="37"/>
  <c r="BX17" i="37"/>
  <c r="BX18" i="37"/>
  <c r="BX19" i="37"/>
  <c r="BX20" i="37"/>
  <c r="BX21" i="37"/>
  <c r="BX30" i="37"/>
  <c r="BX31" i="37"/>
  <c r="BX32" i="37"/>
  <c r="BX33" i="37"/>
  <c r="BX22" i="37"/>
  <c r="BM23" i="37"/>
  <c r="BN23" i="37"/>
  <c r="BO23" i="37"/>
  <c r="BP23" i="37"/>
  <c r="BQ23" i="37"/>
  <c r="BR23" i="37"/>
  <c r="BM24" i="37"/>
  <c r="BN24" i="37"/>
  <c r="BO24" i="37"/>
  <c r="BP24" i="37"/>
  <c r="BQ24" i="37"/>
  <c r="BR24" i="37"/>
  <c r="BM25" i="37"/>
  <c r="BN25" i="37"/>
  <c r="BO25" i="37"/>
  <c r="BP25" i="37"/>
  <c r="BQ25" i="37"/>
  <c r="BR25" i="37"/>
  <c r="BM26" i="37"/>
  <c r="BN26" i="37"/>
  <c r="BO26" i="37"/>
  <c r="BP26" i="37"/>
  <c r="BQ26" i="37"/>
  <c r="BR26" i="37"/>
  <c r="BM27" i="37"/>
  <c r="BN27" i="37"/>
  <c r="BO27" i="37"/>
  <c r="BP27" i="37"/>
  <c r="BQ27" i="37"/>
  <c r="BR27" i="37"/>
  <c r="BM28" i="37"/>
  <c r="BN28" i="37"/>
  <c r="BO28" i="37"/>
  <c r="BP28" i="37"/>
  <c r="BQ28" i="37"/>
  <c r="BR28" i="37"/>
  <c r="BM29" i="37"/>
  <c r="BN29" i="37"/>
  <c r="BO29" i="37"/>
  <c r="BP29" i="37"/>
  <c r="BQ29" i="37"/>
  <c r="BR29" i="37"/>
  <c r="BM5" i="37"/>
  <c r="BN5" i="37"/>
  <c r="BO5" i="37"/>
  <c r="BP5" i="37"/>
  <c r="BQ5" i="37"/>
  <c r="BR5" i="37"/>
  <c r="BM6" i="37"/>
  <c r="BN6" i="37"/>
  <c r="BO6" i="37"/>
  <c r="BP6" i="37"/>
  <c r="BQ6" i="37"/>
  <c r="BR6" i="37"/>
  <c r="BM7" i="37"/>
  <c r="BN7" i="37"/>
  <c r="BO7" i="37"/>
  <c r="BP7" i="37"/>
  <c r="BQ7" i="37"/>
  <c r="BR7" i="37"/>
  <c r="BM8" i="37"/>
  <c r="BN8" i="37"/>
  <c r="BO8" i="37"/>
  <c r="BP8" i="37"/>
  <c r="BQ8" i="37"/>
  <c r="BR8" i="37"/>
  <c r="BM9" i="37"/>
  <c r="BN9" i="37"/>
  <c r="BO9" i="37"/>
  <c r="BP9" i="37"/>
  <c r="BQ9" i="37"/>
  <c r="BR9" i="37"/>
  <c r="BM12" i="37"/>
  <c r="BN12" i="37"/>
  <c r="BO12" i="37"/>
  <c r="BP12" i="37"/>
  <c r="BQ12" i="37"/>
  <c r="BR12" i="37"/>
  <c r="BM10" i="37"/>
  <c r="BN10" i="37"/>
  <c r="BO10" i="37"/>
  <c r="BP10" i="37"/>
  <c r="BQ10" i="37"/>
  <c r="BR10" i="37"/>
  <c r="BM11" i="37"/>
  <c r="BN11" i="37"/>
  <c r="BO11" i="37"/>
  <c r="BP11" i="37"/>
  <c r="BQ11" i="37"/>
  <c r="BR11" i="37"/>
  <c r="BM13" i="37"/>
  <c r="BN13" i="37"/>
  <c r="BO13" i="37"/>
  <c r="BP13" i="37"/>
  <c r="BQ13" i="37"/>
  <c r="BR13" i="37"/>
  <c r="BM14" i="37"/>
  <c r="BN14" i="37"/>
  <c r="BO14" i="37"/>
  <c r="BP14" i="37"/>
  <c r="BQ14" i="37"/>
  <c r="BR14" i="37"/>
  <c r="BM15" i="37"/>
  <c r="BN15" i="37"/>
  <c r="BO15" i="37"/>
  <c r="BP15" i="37"/>
  <c r="BQ15" i="37"/>
  <c r="BR15" i="37"/>
  <c r="BM16" i="37"/>
  <c r="BN16" i="37"/>
  <c r="BO16" i="37"/>
  <c r="BP16" i="37"/>
  <c r="BQ16" i="37"/>
  <c r="BR16" i="37"/>
  <c r="BM17" i="37"/>
  <c r="BN17" i="37"/>
  <c r="BO17" i="37"/>
  <c r="BP17" i="37"/>
  <c r="BQ17" i="37"/>
  <c r="BR17" i="37"/>
  <c r="BM18" i="37"/>
  <c r="BN18" i="37"/>
  <c r="BO18" i="37"/>
  <c r="BP18" i="37"/>
  <c r="BQ18" i="37"/>
  <c r="BR18" i="37"/>
  <c r="BM19" i="37"/>
  <c r="BN19" i="37"/>
  <c r="BO19" i="37"/>
  <c r="BP19" i="37"/>
  <c r="BQ19" i="37"/>
  <c r="BR19" i="37"/>
  <c r="BM20" i="37"/>
  <c r="BN20" i="37"/>
  <c r="BO20" i="37"/>
  <c r="BP20" i="37"/>
  <c r="BQ20" i="37"/>
  <c r="BR20" i="37"/>
  <c r="BM21" i="37"/>
  <c r="BN21" i="37"/>
  <c r="BO21" i="37"/>
  <c r="BP21" i="37"/>
  <c r="BQ21" i="37"/>
  <c r="BR21" i="37"/>
  <c r="BM30" i="37"/>
  <c r="BN30" i="37"/>
  <c r="BO30" i="37"/>
  <c r="BP30" i="37"/>
  <c r="BQ30" i="37"/>
  <c r="BR30" i="37"/>
  <c r="BM31" i="37"/>
  <c r="BN31" i="37"/>
  <c r="BO31" i="37"/>
  <c r="BP31" i="37"/>
  <c r="BQ31" i="37"/>
  <c r="BR31" i="37"/>
  <c r="BM32" i="37"/>
  <c r="BN32" i="37"/>
  <c r="BO32" i="37"/>
  <c r="BP32" i="37"/>
  <c r="BQ32" i="37"/>
  <c r="BR32" i="37"/>
  <c r="BM33" i="37"/>
  <c r="BN33" i="37"/>
  <c r="BO33" i="37"/>
  <c r="BP33" i="37"/>
  <c r="BQ33" i="37"/>
  <c r="BR33" i="37"/>
  <c r="BO22" i="37"/>
  <c r="BP22" i="37"/>
  <c r="BM22" i="37"/>
  <c r="BH33" i="37"/>
  <c r="BG33" i="37"/>
  <c r="BF33" i="37"/>
  <c r="BH32" i="37"/>
  <c r="BG32" i="37"/>
  <c r="BF32" i="37"/>
  <c r="BH31" i="37"/>
  <c r="BG31" i="37"/>
  <c r="BF31" i="37"/>
  <c r="BH30" i="37"/>
  <c r="BG30" i="37"/>
  <c r="BF30" i="37"/>
  <c r="BH29" i="37"/>
  <c r="BG29" i="37"/>
  <c r="BF29" i="37"/>
  <c r="BH28" i="37"/>
  <c r="BG28" i="37"/>
  <c r="BF28" i="37"/>
  <c r="BH27" i="37"/>
  <c r="BG27" i="37"/>
  <c r="BF27" i="37"/>
  <c r="BH26" i="37"/>
  <c r="BG26" i="37"/>
  <c r="BF26" i="37"/>
  <c r="BH25" i="37"/>
  <c r="BG25" i="37"/>
  <c r="BF25" i="37"/>
  <c r="BH24" i="37"/>
  <c r="BG24" i="37"/>
  <c r="BF24" i="37"/>
  <c r="BH23" i="37"/>
  <c r="BG23" i="37"/>
  <c r="BF23" i="37"/>
  <c r="BH22" i="37"/>
  <c r="BG22" i="37"/>
  <c r="BF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E33" i="37"/>
  <c r="BD33" i="37"/>
  <c r="BC33" i="37"/>
  <c r="AD33" i="37"/>
  <c r="BE32" i="37"/>
  <c r="BD32" i="37"/>
  <c r="BC32" i="37"/>
  <c r="AD32" i="37"/>
  <c r="BE31" i="37"/>
  <c r="BD31" i="37"/>
  <c r="BC31" i="37"/>
  <c r="AD31" i="37"/>
  <c r="BE30" i="37"/>
  <c r="BD30" i="37"/>
  <c r="BC30" i="37"/>
  <c r="AD30" i="37"/>
  <c r="BE21" i="37"/>
  <c r="BD21" i="37"/>
  <c r="BC21" i="37"/>
  <c r="AD21" i="37"/>
  <c r="BE20" i="37"/>
  <c r="BD20" i="37"/>
  <c r="BC20" i="37"/>
  <c r="AD20" i="37"/>
  <c r="BE19" i="37"/>
  <c r="BD19" i="37"/>
  <c r="BC19" i="37"/>
  <c r="AD19" i="37"/>
  <c r="BE18" i="37"/>
  <c r="BD18" i="37"/>
  <c r="BC18" i="37"/>
  <c r="AD18" i="37"/>
  <c r="BE17" i="37"/>
  <c r="BD17" i="37"/>
  <c r="BC17" i="37"/>
  <c r="AD17" i="37"/>
  <c r="BE16" i="37"/>
  <c r="BD16" i="37"/>
  <c r="BC16" i="37"/>
  <c r="AD16" i="37"/>
  <c r="BE15" i="37"/>
  <c r="BD15" i="37"/>
  <c r="BC15" i="37"/>
  <c r="AD15" i="37"/>
  <c r="BE14" i="37"/>
  <c r="BD14" i="37"/>
  <c r="BC14" i="37"/>
  <c r="AD14" i="37"/>
  <c r="BE13" i="37"/>
  <c r="BD13" i="37"/>
  <c r="BC13" i="37"/>
  <c r="AD13" i="37"/>
  <c r="BE11" i="37"/>
  <c r="BD11" i="37"/>
  <c r="BC11" i="37"/>
  <c r="AD11" i="37"/>
  <c r="AF37" i="37" s="1" a="1"/>
  <c r="BE10" i="37"/>
  <c r="BD10" i="37"/>
  <c r="BC10" i="37"/>
  <c r="AD10" i="37"/>
  <c r="AG37" i="37" s="1" a="1"/>
  <c r="BE12" i="37"/>
  <c r="BD12" i="37"/>
  <c r="BC12" i="37"/>
  <c r="AD12" i="37"/>
  <c r="BE9" i="37"/>
  <c r="BD9" i="37"/>
  <c r="BC9" i="37"/>
  <c r="AD9" i="37"/>
  <c r="BE8" i="37"/>
  <c r="BD8" i="37"/>
  <c r="BC8" i="37"/>
  <c r="AD8" i="37"/>
  <c r="BE7" i="37"/>
  <c r="BD7" i="37"/>
  <c r="BC7" i="37"/>
  <c r="AD7" i="37"/>
  <c r="BD6" i="37"/>
  <c r="BC6" i="37"/>
  <c r="AD6" i="37"/>
  <c r="BD5" i="37"/>
  <c r="BC5" i="37"/>
  <c r="AD5" i="37"/>
  <c r="BE29" i="37"/>
  <c r="BD29" i="37"/>
  <c r="BC29" i="37"/>
  <c r="AD29" i="37"/>
  <c r="BE28" i="37"/>
  <c r="BD28" i="37"/>
  <c r="BC28" i="37"/>
  <c r="AD28" i="37"/>
  <c r="BE27" i="37"/>
  <c r="BD27" i="37"/>
  <c r="BC27" i="37"/>
  <c r="AD27" i="37"/>
  <c r="BE26" i="37"/>
  <c r="BD26" i="37"/>
  <c r="BC26" i="37"/>
  <c r="AD26" i="37"/>
  <c r="BE25" i="37"/>
  <c r="BD25" i="37"/>
  <c r="BC25" i="37"/>
  <c r="AD25" i="37"/>
  <c r="BE24" i="37"/>
  <c r="BD24" i="37"/>
  <c r="BC24" i="37"/>
  <c r="AD24" i="37"/>
  <c r="BE23" i="37"/>
  <c r="BD23" i="37"/>
  <c r="BC23" i="37"/>
  <c r="AD23" i="37"/>
  <c r="BR22" i="37"/>
  <c r="BQ22" i="37"/>
  <c r="BN22" i="37"/>
  <c r="BE22" i="37"/>
  <c r="BD22" i="37"/>
  <c r="BC22" i="37"/>
  <c r="AD22" i="37"/>
  <c r="AE37" i="37" s="1" a="1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3" i="45" s="1"/>
  <c r="R24" i="36"/>
  <c r="F24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V26" i="36"/>
  <c r="O26" i="36" s="1"/>
  <c r="M26" i="36" s="1"/>
  <c r="D135" i="45" s="1"/>
  <c r="R26" i="36"/>
  <c r="F26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4" i="45" s="1"/>
  <c r="R25" i="36"/>
  <c r="F25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N14" i="37"/>
  <c r="AZ93" i="45"/>
  <c r="CM14" i="37"/>
  <c r="AY93" i="45"/>
  <c r="CM9" i="37"/>
  <c r="AY88" i="45"/>
  <c r="M142" i="45"/>
  <c r="CM6" i="37"/>
  <c r="AY85" i="45"/>
  <c r="CN20" i="37"/>
  <c r="AZ99" i="45"/>
  <c r="CM17" i="37"/>
  <c r="AY96" i="45"/>
  <c r="CN12" i="37"/>
  <c r="AZ91" i="45"/>
  <c r="CN7" i="37"/>
  <c r="AZ86" i="45"/>
  <c r="AF139" i="45"/>
  <c r="AI139" i="45" s="1"/>
  <c r="J139" i="45"/>
  <c r="AF140" i="45"/>
  <c r="AI140" i="45" s="1"/>
  <c r="J140" i="45"/>
  <c r="AY83" i="45"/>
  <c r="CN9" i="37"/>
  <c r="AZ88" i="45"/>
  <c r="AF144" i="45"/>
  <c r="AI144" i="45" s="1"/>
  <c r="J144" i="45"/>
  <c r="CN17" i="37"/>
  <c r="AZ96" i="45"/>
  <c r="H134" i="45"/>
  <c r="AD134" i="45"/>
  <c r="CM20" i="37"/>
  <c r="AY99" i="45"/>
  <c r="CN15" i="37"/>
  <c r="AZ94" i="45"/>
  <c r="CM12" i="37"/>
  <c r="AY91" i="45"/>
  <c r="CM7" i="37"/>
  <c r="AY86" i="45"/>
  <c r="CN5" i="37"/>
  <c r="AZ84" i="45"/>
  <c r="CN18" i="37"/>
  <c r="AZ97" i="45"/>
  <c r="CM15" i="37"/>
  <c r="AY94" i="45"/>
  <c r="CN10" i="37"/>
  <c r="AZ89" i="45"/>
  <c r="CM5" i="37"/>
  <c r="AY84" i="45"/>
  <c r="J145" i="45"/>
  <c r="AF145" i="45"/>
  <c r="AI145" i="45" s="1"/>
  <c r="J142" i="45"/>
  <c r="AF142" i="45"/>
  <c r="AI142" i="45" s="1"/>
  <c r="AJ142" i="45" s="1"/>
  <c r="CN21" i="37"/>
  <c r="AZ100" i="45"/>
  <c r="CM18" i="37"/>
  <c r="AY97" i="45"/>
  <c r="CN13" i="37"/>
  <c r="AZ92" i="45"/>
  <c r="CM10" i="37"/>
  <c r="AY89" i="45"/>
  <c r="CN8" i="37"/>
  <c r="AZ87" i="45"/>
  <c r="CM19" i="37"/>
  <c r="AY98" i="45"/>
  <c r="CM11" i="37"/>
  <c r="AY90" i="45"/>
  <c r="AF143" i="45"/>
  <c r="AI143" i="45" s="1"/>
  <c r="J143" i="45"/>
  <c r="AD135" i="45"/>
  <c r="H135" i="45"/>
  <c r="CM21" i="37"/>
  <c r="AY100" i="45"/>
  <c r="CN16" i="37"/>
  <c r="AZ95" i="45"/>
  <c r="CM13" i="37"/>
  <c r="AY92" i="45"/>
  <c r="CM8" i="37"/>
  <c r="AY87" i="45"/>
  <c r="J141" i="45"/>
  <c r="AF141" i="45"/>
  <c r="AI141" i="45" s="1"/>
  <c r="J138" i="45"/>
  <c r="AF138" i="45"/>
  <c r="AI138" i="45" s="1"/>
  <c r="AI137" i="45"/>
  <c r="AD133" i="45"/>
  <c r="H133" i="45"/>
  <c r="CN19" i="37"/>
  <c r="AZ98" i="45"/>
  <c r="CM16" i="37"/>
  <c r="AY95" i="45"/>
  <c r="CN11" i="37"/>
  <c r="AZ90" i="45"/>
  <c r="CN6" i="37"/>
  <c r="AZ85" i="45"/>
  <c r="BG21" i="37"/>
  <c r="CP21" i="37"/>
  <c r="BF18" i="37"/>
  <c r="CO18" i="37"/>
  <c r="BG17" i="37"/>
  <c r="CP17" i="37"/>
  <c r="BF14" i="37"/>
  <c r="CO14" i="37"/>
  <c r="BG13" i="37"/>
  <c r="CP13" i="37"/>
  <c r="BF10" i="37"/>
  <c r="CO10" i="37"/>
  <c r="BF9" i="37"/>
  <c r="CO9" i="37"/>
  <c r="BG8" i="37"/>
  <c r="CP8" i="37"/>
  <c r="BG18" i="37"/>
  <c r="CP18" i="37"/>
  <c r="BG14" i="37"/>
  <c r="CP14" i="37"/>
  <c r="BG9" i="37"/>
  <c r="CP9" i="37"/>
  <c r="BF6" i="37"/>
  <c r="CO6" i="37"/>
  <c r="BF5" i="37"/>
  <c r="CO5" i="37"/>
  <c r="BF20" i="37"/>
  <c r="CO20" i="37"/>
  <c r="BG19" i="37"/>
  <c r="CP19" i="37"/>
  <c r="BF12" i="37"/>
  <c r="CO12" i="37"/>
  <c r="BG11" i="37"/>
  <c r="CP11" i="37"/>
  <c r="BG5" i="37"/>
  <c r="CP5" i="37"/>
  <c r="BF21" i="37"/>
  <c r="CO21" i="37"/>
  <c r="BG20" i="37"/>
  <c r="CP20" i="37"/>
  <c r="BF17" i="37"/>
  <c r="CO17" i="37"/>
  <c r="BG16" i="37"/>
  <c r="CP16" i="37"/>
  <c r="BF13" i="37"/>
  <c r="CO13" i="37"/>
  <c r="BG12" i="37"/>
  <c r="CP12" i="37"/>
  <c r="BF8" i="37"/>
  <c r="CO8" i="37"/>
  <c r="BG7" i="37"/>
  <c r="CP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F19" i="37"/>
  <c r="AF6" i="37"/>
  <c r="AF5" i="37"/>
  <c r="BS7" i="42"/>
  <c r="AI7" i="42" s="1"/>
  <c r="R7" i="42" s="1"/>
  <c r="D140" i="45" s="1"/>
  <c r="AF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F15" i="37"/>
  <c r="AF16" i="37"/>
  <c r="AF17" i="37"/>
  <c r="AF11" i="37"/>
  <c r="AF14" i="37"/>
  <c r="AF12" i="37"/>
  <c r="AF13" i="37"/>
  <c r="AF10" i="37"/>
  <c r="AF9" i="37"/>
  <c r="AF20" i="37"/>
  <c r="AF7" i="37"/>
  <c r="AF21" i="37"/>
  <c r="AF8" i="37"/>
  <c r="BR4" i="42"/>
  <c r="AH4" i="42" s="1"/>
  <c r="Q4" i="42" s="1"/>
  <c r="C137" i="45" s="1"/>
  <c r="BY19" i="37"/>
  <c r="BY15" i="37"/>
  <c r="BY11" i="37"/>
  <c r="BY20" i="37"/>
  <c r="BY16" i="37"/>
  <c r="BY12" i="37"/>
  <c r="BY7" i="37"/>
  <c r="BY6" i="37"/>
  <c r="BY5" i="37"/>
  <c r="BY21" i="37"/>
  <c r="BY17" i="37"/>
  <c r="BY13" i="37"/>
  <c r="BY8" i="37"/>
  <c r="BY18" i="37"/>
  <c r="BY14" i="37"/>
  <c r="BY10" i="37"/>
  <c r="BY9" i="37"/>
  <c r="BV6" i="37"/>
  <c r="BV21" i="37"/>
  <c r="BV19" i="37"/>
  <c r="BV17" i="37"/>
  <c r="BV15" i="37"/>
  <c r="BV13" i="37"/>
  <c r="BW11" i="37"/>
  <c r="BV7" i="37"/>
  <c r="BV20" i="37"/>
  <c r="BW18" i="37"/>
  <c r="BW16" i="37"/>
  <c r="BW10" i="37"/>
  <c r="BW8" i="37"/>
  <c r="BW6" i="37"/>
  <c r="BV9" i="37"/>
  <c r="BZ7" i="37"/>
  <c r="BZ19" i="37"/>
  <c r="BZ15" i="37"/>
  <c r="CA11" i="37"/>
  <c r="AE10" i="37"/>
  <c r="BV5" i="37"/>
  <c r="CA21" i="37"/>
  <c r="BW9" i="37"/>
  <c r="BV11" i="37"/>
  <c r="BG15" i="37"/>
  <c r="BF16" i="37"/>
  <c r="BW12" i="37"/>
  <c r="AE7" i="37"/>
  <c r="BV14" i="37"/>
  <c r="BW20" i="37"/>
  <c r="CA19" i="37"/>
  <c r="BV12" i="37"/>
  <c r="BV8" i="37"/>
  <c r="BW14" i="37"/>
  <c r="AE15" i="37"/>
  <c r="BV18" i="37"/>
  <c r="AE19" i="37"/>
  <c r="BV16" i="37"/>
  <c r="BZ11" i="37"/>
  <c r="CA18" i="37"/>
  <c r="BZ12" i="37"/>
  <c r="BZ10" i="37"/>
  <c r="BZ8" i="37"/>
  <c r="BZ6" i="37"/>
  <c r="BW19" i="37"/>
  <c r="BG10" i="37"/>
  <c r="AE20" i="37"/>
  <c r="AE16" i="37"/>
  <c r="AE11" i="37"/>
  <c r="AE8" i="37"/>
  <c r="AG36" i="37"/>
  <c r="BW17" i="37"/>
  <c r="BW7" i="37"/>
  <c r="CA9" i="37"/>
  <c r="BF7" i="37"/>
  <c r="BH9" i="37"/>
  <c r="BF15" i="37"/>
  <c r="BF19" i="37"/>
  <c r="AE21" i="37"/>
  <c r="AE17" i="37"/>
  <c r="AE13" i="37"/>
  <c r="AE9" i="37"/>
  <c r="BW5" i="37"/>
  <c r="CA10" i="37"/>
  <c r="BG6" i="37"/>
  <c r="BF11" i="37"/>
  <c r="AE18" i="37"/>
  <c r="AE14" i="37"/>
  <c r="AE12" i="37"/>
  <c r="AE6" i="37"/>
  <c r="AF36" i="37"/>
  <c r="BZ20" i="37"/>
  <c r="BZ18" i="37"/>
  <c r="BZ16" i="37"/>
  <c r="BZ21" i="37"/>
  <c r="BZ17" i="37"/>
  <c r="CA13" i="37"/>
  <c r="BW15" i="37"/>
  <c r="CA20" i="37"/>
  <c r="CA16" i="37"/>
  <c r="CA8" i="37"/>
  <c r="BW21" i="37"/>
  <c r="BW13" i="37"/>
  <c r="CA17" i="37"/>
  <c r="BZ14" i="37"/>
  <c r="CA15" i="37"/>
  <c r="BZ13" i="37"/>
  <c r="BV10" i="37"/>
  <c r="BZ9" i="37"/>
  <c r="CA7" i="37"/>
  <c r="AE5" i="37"/>
  <c r="CA14" i="37"/>
  <c r="CA12" i="37"/>
  <c r="CA6" i="37"/>
  <c r="BT29" i="37"/>
  <c r="AN29" i="37" s="1"/>
  <c r="T29" i="37" s="1"/>
  <c r="F108" i="45" s="1"/>
  <c r="CA27" i="37"/>
  <c r="BT27" i="37" s="1"/>
  <c r="AN27" i="37" s="1"/>
  <c r="T27" i="37" s="1"/>
  <c r="F106" i="45" s="1"/>
  <c r="BT25" i="37"/>
  <c r="AN25" i="37" s="1"/>
  <c r="T25" i="37" s="1"/>
  <c r="F104" i="45" s="1"/>
  <c r="CA23" i="37"/>
  <c r="BT23" i="37" s="1"/>
  <c r="AN23" i="37" s="1"/>
  <c r="T23" i="37" s="1"/>
  <c r="F102" i="45" s="1"/>
  <c r="CA5" i="37"/>
  <c r="BH5" i="37"/>
  <c r="BZ5" i="37"/>
  <c r="AG37" i="37"/>
  <c r="AE37" i="37"/>
  <c r="AF37" i="37"/>
  <c r="BK31" i="37"/>
  <c r="AL31" i="37" s="1"/>
  <c r="R31" i="37" s="1"/>
  <c r="D110" i="45" s="1"/>
  <c r="BK19" i="37"/>
  <c r="AL19" i="37" s="1"/>
  <c r="R19" i="37" s="1"/>
  <c r="D98" i="45" s="1"/>
  <c r="BK15" i="37"/>
  <c r="AL15" i="37" s="1"/>
  <c r="R15" i="37" s="1"/>
  <c r="D94" i="45" s="1"/>
  <c r="BK11" i="37"/>
  <c r="AL11" i="37" s="1"/>
  <c r="R11" i="37" s="1"/>
  <c r="D90" i="45" s="1"/>
  <c r="BL22" i="37"/>
  <c r="AK22" i="37" s="1"/>
  <c r="Q22" i="37" s="1"/>
  <c r="C101" i="45" s="1"/>
  <c r="BK8" i="37"/>
  <c r="AL8" i="37" s="1"/>
  <c r="R8" i="37" s="1"/>
  <c r="D87" i="45" s="1"/>
  <c r="D83" i="45"/>
  <c r="BK26" i="37"/>
  <c r="AL26" i="37" s="1"/>
  <c r="R26" i="37" s="1"/>
  <c r="D105" i="45" s="1"/>
  <c r="BT28" i="37"/>
  <c r="AN28" i="37" s="1"/>
  <c r="T28" i="37" s="1"/>
  <c r="F107" i="45" s="1"/>
  <c r="BT26" i="37"/>
  <c r="AN26" i="37" s="1"/>
  <c r="T26" i="37" s="1"/>
  <c r="F105" i="45" s="1"/>
  <c r="BT33" i="37"/>
  <c r="AN33" i="37" s="1"/>
  <c r="T33" i="37" s="1"/>
  <c r="F113" i="45" s="1"/>
  <c r="BU24" i="37"/>
  <c r="AM24" i="37" s="1"/>
  <c r="S24" i="37" s="1"/>
  <c r="E103" i="45" s="1"/>
  <c r="BT30" i="37"/>
  <c r="AN30" i="37" s="1"/>
  <c r="T30" i="37" s="1"/>
  <c r="F109" i="45" s="1"/>
  <c r="BL33" i="37"/>
  <c r="AK33" i="37" s="1"/>
  <c r="BL18" i="37"/>
  <c r="AK18" i="37" s="1"/>
  <c r="BL10" i="37"/>
  <c r="AK10" i="37" s="1"/>
  <c r="Q10" i="37" s="1"/>
  <c r="C89" i="45" s="1"/>
  <c r="BL29" i="37"/>
  <c r="AK29" i="37" s="1"/>
  <c r="BU28" i="37"/>
  <c r="AM28" i="37" s="1"/>
  <c r="S28" i="37" s="1"/>
  <c r="E107" i="45" s="1"/>
  <c r="BT24" i="37"/>
  <c r="AN24" i="37" s="1"/>
  <c r="T24" i="37" s="1"/>
  <c r="F103" i="45" s="1"/>
  <c r="BK22" i="37"/>
  <c r="AL22" i="37" s="1"/>
  <c r="R22" i="37" s="1"/>
  <c r="D101" i="45" s="1"/>
  <c r="BK20" i="37"/>
  <c r="AL20" i="37" s="1"/>
  <c r="R20" i="37" s="1"/>
  <c r="D99" i="45" s="1"/>
  <c r="BK13" i="37"/>
  <c r="AL13" i="37" s="1"/>
  <c r="R13" i="37" s="1"/>
  <c r="D92" i="45" s="1"/>
  <c r="BK5" i="37"/>
  <c r="AL5" i="37" s="1"/>
  <c r="R5" i="37" s="1"/>
  <c r="D84" i="45" s="1"/>
  <c r="BK23" i="37"/>
  <c r="AL23" i="37" s="1"/>
  <c r="R23" i="37" s="1"/>
  <c r="D102" i="45" s="1"/>
  <c r="BL20" i="37"/>
  <c r="AK20" i="37" s="1"/>
  <c r="BK16" i="37"/>
  <c r="AL16" i="37" s="1"/>
  <c r="R16" i="37" s="1"/>
  <c r="D95" i="45" s="1"/>
  <c r="BL13" i="37"/>
  <c r="AK13" i="37" s="1"/>
  <c r="BK9" i="37"/>
  <c r="AL9" i="37" s="1"/>
  <c r="R9" i="37" s="1"/>
  <c r="D88" i="45" s="1"/>
  <c r="BL5" i="37"/>
  <c r="AK5" i="37" s="1"/>
  <c r="Q5" i="37" s="1"/>
  <c r="C84" i="45" s="1"/>
  <c r="BK27" i="37"/>
  <c r="AL27" i="37" s="1"/>
  <c r="R27" i="37" s="1"/>
  <c r="D106" i="45" s="1"/>
  <c r="BJ23" i="37"/>
  <c r="BT31" i="37"/>
  <c r="AN31" i="37" s="1"/>
  <c r="T31" i="37" s="1"/>
  <c r="F110" i="45" s="1"/>
  <c r="BS28" i="37"/>
  <c r="BU27" i="37"/>
  <c r="AM27" i="37" s="1"/>
  <c r="S27" i="37" s="1"/>
  <c r="E106" i="45" s="1"/>
  <c r="BS25" i="37"/>
  <c r="BK33" i="37"/>
  <c r="AL33" i="37" s="1"/>
  <c r="R33" i="37" s="1"/>
  <c r="D113" i="45" s="1"/>
  <c r="BJ30" i="37"/>
  <c r="BK21" i="37"/>
  <c r="AL21" i="37" s="1"/>
  <c r="R21" i="37" s="1"/>
  <c r="D100" i="45" s="1"/>
  <c r="BL21" i="37"/>
  <c r="AK21" i="37" s="1"/>
  <c r="BJ19" i="37"/>
  <c r="BK18" i="37"/>
  <c r="AL18" i="37" s="1"/>
  <c r="R18" i="37" s="1"/>
  <c r="D97" i="45" s="1"/>
  <c r="BJ14" i="37"/>
  <c r="BJ11" i="37"/>
  <c r="BK10" i="37"/>
  <c r="AL10" i="37" s="1"/>
  <c r="R10" i="37" s="1"/>
  <c r="D89" i="45" s="1"/>
  <c r="BJ7" i="37"/>
  <c r="BK6" i="37"/>
  <c r="AL6" i="37" s="1"/>
  <c r="R6" i="37" s="1"/>
  <c r="D85" i="45" s="1"/>
  <c r="BL6" i="37"/>
  <c r="BK29" i="37"/>
  <c r="AL29" i="37" s="1"/>
  <c r="R29" i="37" s="1"/>
  <c r="D108" i="45" s="1"/>
  <c r="BJ25" i="37"/>
  <c r="BK24" i="37"/>
  <c r="BL24" i="37"/>
  <c r="AK24" i="37" s="1"/>
  <c r="Q24" i="37" s="1"/>
  <c r="C103" i="45" s="1"/>
  <c r="BS33" i="37"/>
  <c r="BJ16" i="37"/>
  <c r="BJ9" i="37"/>
  <c r="BJ27" i="37"/>
  <c r="BS31" i="37"/>
  <c r="BJ33" i="37"/>
  <c r="BK32" i="37"/>
  <c r="AL32" i="37" s="1"/>
  <c r="R32" i="37" s="1"/>
  <c r="D112" i="45" s="1"/>
  <c r="D111" i="45" s="1"/>
  <c r="BL32" i="37"/>
  <c r="AK32" i="37" s="1"/>
  <c r="BJ31" i="37"/>
  <c r="BK30" i="37"/>
  <c r="AL30" i="37" s="1"/>
  <c r="R30" i="37" s="1"/>
  <c r="D109" i="45" s="1"/>
  <c r="BL30" i="37"/>
  <c r="AK30" i="37" s="1"/>
  <c r="BJ18" i="37"/>
  <c r="BK17" i="37"/>
  <c r="AL17" i="37" s="1"/>
  <c r="R17" i="37" s="1"/>
  <c r="D96" i="45" s="1"/>
  <c r="BL17" i="37"/>
  <c r="AK17" i="37" s="1"/>
  <c r="BJ15" i="37"/>
  <c r="BK14" i="37"/>
  <c r="AL14" i="37" s="1"/>
  <c r="R14" i="37" s="1"/>
  <c r="D93" i="45" s="1"/>
  <c r="BL14" i="37"/>
  <c r="AK14" i="37" s="1"/>
  <c r="BJ10" i="37"/>
  <c r="BK12" i="37"/>
  <c r="AL12" i="37" s="1"/>
  <c r="BL12" i="37"/>
  <c r="AK12" i="37" s="1"/>
  <c r="BJ8" i="37"/>
  <c r="BK7" i="37"/>
  <c r="AL7" i="37" s="1"/>
  <c r="R7" i="37" s="1"/>
  <c r="D86" i="45" s="1"/>
  <c r="BL7" i="37"/>
  <c r="AK7" i="37" s="1"/>
  <c r="Q7" i="37" s="1"/>
  <c r="C86" i="45" s="1"/>
  <c r="BJ29" i="37"/>
  <c r="BK28" i="37"/>
  <c r="AL28" i="37" s="1"/>
  <c r="R28" i="37" s="1"/>
  <c r="D107" i="45" s="1"/>
  <c r="BL28" i="37"/>
  <c r="AK28" i="37" s="1"/>
  <c r="BJ26" i="37"/>
  <c r="BK25" i="37"/>
  <c r="AL25" i="37" s="1"/>
  <c r="R25" i="37" s="1"/>
  <c r="D104" i="45" s="1"/>
  <c r="BL25" i="37"/>
  <c r="AK25" i="37" s="1"/>
  <c r="Q25" i="37" s="1"/>
  <c r="C104" i="45" s="1"/>
  <c r="BL23" i="37"/>
  <c r="AK23" i="37" s="1"/>
  <c r="Q23" i="37" s="1"/>
  <c r="C102" i="45" s="1"/>
  <c r="BT32" i="37"/>
  <c r="AN32" i="37" s="1"/>
  <c r="T32" i="37" s="1"/>
  <c r="F111" i="45" s="1"/>
  <c r="F112" i="45" s="1"/>
  <c r="BU32" i="37"/>
  <c r="BS30" i="37"/>
  <c r="BS26" i="37"/>
  <c r="BS24" i="37"/>
  <c r="BU23" i="37"/>
  <c r="AM23" i="37" s="1"/>
  <c r="S23" i="37" s="1"/>
  <c r="E102" i="45" s="1"/>
  <c r="BU22" i="37"/>
  <c r="AM22" i="37" s="1"/>
  <c r="S22" i="37" s="1"/>
  <c r="E101" i="45" s="1"/>
  <c r="BU33" i="37"/>
  <c r="AM33" i="37" s="1"/>
  <c r="S33" i="37" s="1"/>
  <c r="E113" i="45" s="1"/>
  <c r="BS32" i="37"/>
  <c r="BU30" i="37"/>
  <c r="AM30" i="37" s="1"/>
  <c r="S30" i="37" s="1"/>
  <c r="E109" i="45" s="1"/>
  <c r="BU29" i="37"/>
  <c r="AM29" i="37" s="1"/>
  <c r="S29" i="37" s="1"/>
  <c r="E108" i="45" s="1"/>
  <c r="BU25" i="37"/>
  <c r="AM25" i="37" s="1"/>
  <c r="S25" i="37" s="1"/>
  <c r="E104" i="45" s="1"/>
  <c r="BU31" i="37"/>
  <c r="AM31" i="37" s="1"/>
  <c r="S31" i="37" s="1"/>
  <c r="E110" i="45" s="1"/>
  <c r="BU26" i="37"/>
  <c r="AM26" i="37" s="1"/>
  <c r="S26" i="37" s="1"/>
  <c r="E105" i="45" s="1"/>
  <c r="BS22" i="37"/>
  <c r="BJ20" i="37"/>
  <c r="BJ13" i="37"/>
  <c r="BJ5" i="37"/>
  <c r="BL31" i="37"/>
  <c r="AK31" i="37" s="1"/>
  <c r="BJ21" i="37"/>
  <c r="BL19" i="37"/>
  <c r="AK19" i="37" s="1"/>
  <c r="BJ17" i="37"/>
  <c r="BL15" i="37"/>
  <c r="AK15" i="37" s="1"/>
  <c r="BL11" i="37"/>
  <c r="AK11" i="37" s="1"/>
  <c r="Q11" i="37" s="1"/>
  <c r="C90" i="45" s="1"/>
  <c r="BJ12" i="37"/>
  <c r="BL8" i="37"/>
  <c r="AK8" i="37" s="1"/>
  <c r="Q8" i="37" s="1"/>
  <c r="C87" i="45" s="1"/>
  <c r="BJ6" i="37"/>
  <c r="C83" i="45"/>
  <c r="BJ28" i="37"/>
  <c r="BL26" i="37"/>
  <c r="AK26" i="37" s="1"/>
  <c r="Q26" i="37" s="1"/>
  <c r="C105" i="45" s="1"/>
  <c r="BJ24" i="37"/>
  <c r="BJ32" i="37"/>
  <c r="BL16" i="37"/>
  <c r="AK16" i="37" s="1"/>
  <c r="BL9" i="37"/>
  <c r="AK9" i="37" s="1"/>
  <c r="Q9" i="37" s="1"/>
  <c r="C88" i="45" s="1"/>
  <c r="BL27" i="37"/>
  <c r="AK27" i="37" s="1"/>
  <c r="Q27" i="37" s="1"/>
  <c r="C106" i="45" s="1"/>
  <c r="BT22" i="37"/>
  <c r="AN22" i="37" s="1"/>
  <c r="T22" i="37" s="1"/>
  <c r="F101" i="45" s="1"/>
  <c r="BJ22" i="37"/>
  <c r="AI26" i="36"/>
  <c r="AK26" i="36"/>
  <c r="T26" i="36" s="1"/>
  <c r="AK24" i="36"/>
  <c r="T24" i="36" s="1"/>
  <c r="AK25" i="36"/>
  <c r="T25" i="36" s="1"/>
  <c r="AI22" i="36"/>
  <c r="AI24" i="36"/>
  <c r="AK22" i="36"/>
  <c r="T22" i="36" s="1"/>
  <c r="AJ22" i="36"/>
  <c r="U22" i="36" s="1"/>
  <c r="AI25" i="36"/>
  <c r="AJ26" i="36"/>
  <c r="U26" i="36" s="1"/>
  <c r="AJ24" i="36"/>
  <c r="U24" i="36" s="1"/>
  <c r="AJ25" i="36"/>
  <c r="U25" i="36" s="1"/>
  <c r="Q17" i="37" l="1"/>
  <c r="C96" i="45" s="1"/>
  <c r="Q20" i="37"/>
  <c r="C99" i="45" s="1"/>
  <c r="G99" i="45" s="1"/>
  <c r="Q29" i="37"/>
  <c r="C108" i="45" s="1"/>
  <c r="Z29" i="37"/>
  <c r="Y29" i="37"/>
  <c r="Q12" i="37"/>
  <c r="C91" i="45" s="1"/>
  <c r="G91" i="45" s="1"/>
  <c r="Q21" i="37"/>
  <c r="C100" i="45" s="1"/>
  <c r="Q18" i="37"/>
  <c r="C97" i="45" s="1"/>
  <c r="AC97" i="45" s="1"/>
  <c r="Q16" i="37"/>
  <c r="C95" i="45" s="1"/>
  <c r="Q15" i="37"/>
  <c r="C94" i="45" s="1"/>
  <c r="Q19" i="37"/>
  <c r="C98" i="45" s="1"/>
  <c r="G98" i="45" s="1"/>
  <c r="Q30" i="37"/>
  <c r="C109" i="45" s="1"/>
  <c r="AC109" i="45" s="1"/>
  <c r="Y30" i="37"/>
  <c r="Z30" i="37"/>
  <c r="Q33" i="37"/>
  <c r="C113" i="45" s="1"/>
  <c r="Z33" i="37"/>
  <c r="Y33" i="37"/>
  <c r="Q28" i="37"/>
  <c r="C107" i="45" s="1"/>
  <c r="Y28" i="37"/>
  <c r="Z28" i="37"/>
  <c r="Q31" i="37"/>
  <c r="C110" i="45" s="1"/>
  <c r="Y31" i="37"/>
  <c r="Z31" i="37"/>
  <c r="Q14" i="37"/>
  <c r="C93" i="45" s="1"/>
  <c r="AC93" i="45" s="1"/>
  <c r="Q32" i="37"/>
  <c r="C112" i="45" s="1"/>
  <c r="C111" i="45" s="1"/>
  <c r="AC111" i="45" s="1"/>
  <c r="Q13" i="37"/>
  <c r="C92" i="45" s="1"/>
  <c r="AC92" i="45" s="1"/>
  <c r="AM32" i="37"/>
  <c r="S32" i="37" s="1"/>
  <c r="E112" i="45" s="1"/>
  <c r="I112" i="45" s="1"/>
  <c r="R12" i="37"/>
  <c r="D91" i="45" s="1"/>
  <c r="AD132" i="45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AF110" i="45"/>
  <c r="J110" i="45"/>
  <c r="H111" i="45"/>
  <c r="AD111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AC99" i="45"/>
  <c r="AD137" i="45"/>
  <c r="H137" i="45"/>
  <c r="AC95" i="45"/>
  <c r="G95" i="45"/>
  <c r="AE109" i="45"/>
  <c r="I109" i="45"/>
  <c r="AD107" i="45"/>
  <c r="H107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G111" i="45"/>
  <c r="J104" i="45"/>
  <c r="AF104" i="45"/>
  <c r="G140" i="45"/>
  <c r="AC140" i="45"/>
  <c r="AG133" i="45"/>
  <c r="AS133" i="45" s="1"/>
  <c r="BA133" i="45" s="1"/>
  <c r="BA24" i="36" s="1"/>
  <c r="AD97" i="45"/>
  <c r="H97" i="45"/>
  <c r="AG134" i="45"/>
  <c r="AS134" i="45" s="1"/>
  <c r="BA134" i="45" s="1"/>
  <c r="BA25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6" i="36" s="1"/>
  <c r="N144" i="45"/>
  <c r="AB144" i="45" s="1"/>
  <c r="N139" i="45"/>
  <c r="AB139" i="45" s="1"/>
  <c r="AC83" i="45"/>
  <c r="G83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6" i="36"/>
  <c r="P25" i="36"/>
  <c r="P24" i="36"/>
  <c r="P22" i="36"/>
  <c r="Q26" i="36"/>
  <c r="Q22" i="36"/>
  <c r="Q24" i="36"/>
  <c r="Q25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U17" i="37"/>
  <c r="AM17" i="37" s="1"/>
  <c r="S17" i="37" s="1"/>
  <c r="E96" i="45" s="1"/>
  <c r="X4" i="42"/>
  <c r="V4" i="42"/>
  <c r="AG4" i="42"/>
  <c r="AE4" i="42"/>
  <c r="AD4" i="42"/>
  <c r="BS27" i="37"/>
  <c r="BS23" i="37"/>
  <c r="BU13" i="37"/>
  <c r="AM13" i="37" s="1"/>
  <c r="S13" i="37" s="1"/>
  <c r="E92" i="45" s="1"/>
  <c r="BU11" i="37"/>
  <c r="AM11" i="37" s="1"/>
  <c r="S11" i="37" s="1"/>
  <c r="E90" i="45" s="1"/>
  <c r="BU6" i="37"/>
  <c r="AM6" i="37" s="1"/>
  <c r="S6" i="37" s="1"/>
  <c r="E85" i="45" s="1"/>
  <c r="BU14" i="37"/>
  <c r="AM14" i="37" s="1"/>
  <c r="S14" i="37" s="1"/>
  <c r="E93" i="45" s="1"/>
  <c r="BU12" i="37"/>
  <c r="AM12" i="37" s="1"/>
  <c r="S12" i="37" s="1"/>
  <c r="E91" i="45" s="1"/>
  <c r="BT11" i="37"/>
  <c r="AN11" i="37" s="1"/>
  <c r="T11" i="37" s="1"/>
  <c r="F90" i="45" s="1"/>
  <c r="BU15" i="37"/>
  <c r="AM15" i="37" s="1"/>
  <c r="S15" i="37" s="1"/>
  <c r="E94" i="45" s="1"/>
  <c r="BU8" i="37"/>
  <c r="AM8" i="37" s="1"/>
  <c r="S8" i="37" s="1"/>
  <c r="E87" i="45" s="1"/>
  <c r="BU20" i="37"/>
  <c r="AM20" i="37" s="1"/>
  <c r="S20" i="37" s="1"/>
  <c r="E99" i="45" s="1"/>
  <c r="BT19" i="37"/>
  <c r="AN19" i="37" s="1"/>
  <c r="T19" i="37" s="1"/>
  <c r="F98" i="45" s="1"/>
  <c r="BU9" i="37"/>
  <c r="AM9" i="37" s="1"/>
  <c r="S9" i="37" s="1"/>
  <c r="E88" i="45" s="1"/>
  <c r="BU16" i="37"/>
  <c r="AM16" i="37" s="1"/>
  <c r="S16" i="37" s="1"/>
  <c r="E95" i="45" s="1"/>
  <c r="BU5" i="37"/>
  <c r="AM5" i="37" s="1"/>
  <c r="S5" i="37" s="1"/>
  <c r="E84" i="45" s="1"/>
  <c r="BT13" i="37"/>
  <c r="AN13" i="37" s="1"/>
  <c r="T13" i="37" s="1"/>
  <c r="F92" i="45" s="1"/>
  <c r="BS19" i="37"/>
  <c r="BU10" i="37"/>
  <c r="AM10" i="37" s="1"/>
  <c r="S10" i="37" s="1"/>
  <c r="E89" i="45" s="1"/>
  <c r="BU7" i="37"/>
  <c r="AM7" i="37" s="1"/>
  <c r="S7" i="37" s="1"/>
  <c r="E86" i="45" s="1"/>
  <c r="BS15" i="37"/>
  <c r="BT10" i="37"/>
  <c r="AN10" i="37" s="1"/>
  <c r="T10" i="37" s="1"/>
  <c r="F89" i="45" s="1"/>
  <c r="BT18" i="37"/>
  <c r="AN18" i="37" s="1"/>
  <c r="T18" i="37" s="1"/>
  <c r="F97" i="45" s="1"/>
  <c r="BU18" i="37"/>
  <c r="AM18" i="37" s="1"/>
  <c r="S18" i="37" s="1"/>
  <c r="E97" i="45" s="1"/>
  <c r="BS13" i="37"/>
  <c r="BU21" i="37"/>
  <c r="AM21" i="37" s="1"/>
  <c r="S21" i="37" s="1"/>
  <c r="E100" i="45" s="1"/>
  <c r="BS7" i="37"/>
  <c r="BS11" i="37"/>
  <c r="BS8" i="37"/>
  <c r="BT7" i="37"/>
  <c r="AN7" i="37" s="1"/>
  <c r="T7" i="37" s="1"/>
  <c r="F86" i="45" s="1"/>
  <c r="BT21" i="37"/>
  <c r="AN21" i="37" s="1"/>
  <c r="T21" i="37" s="1"/>
  <c r="F100" i="45" s="1"/>
  <c r="E83" i="45"/>
  <c r="BS9" i="37"/>
  <c r="BS18" i="37"/>
  <c r="BT15" i="37"/>
  <c r="AN15" i="37" s="1"/>
  <c r="T15" i="37" s="1"/>
  <c r="F94" i="45" s="1"/>
  <c r="BT12" i="37"/>
  <c r="AN12" i="37" s="1"/>
  <c r="T12" i="37" s="1"/>
  <c r="F91" i="45" s="1"/>
  <c r="BT9" i="37"/>
  <c r="AN9" i="37" s="1"/>
  <c r="T9" i="37" s="1"/>
  <c r="F88" i="45" s="1"/>
  <c r="BU19" i="37"/>
  <c r="AM19" i="37" s="1"/>
  <c r="S19" i="37" s="1"/>
  <c r="E98" i="45" s="1"/>
  <c r="BT8" i="37"/>
  <c r="AN8" i="37" s="1"/>
  <c r="T8" i="37" s="1"/>
  <c r="F87" i="45" s="1"/>
  <c r="BT16" i="37"/>
  <c r="AN16" i="37" s="1"/>
  <c r="T16" i="37" s="1"/>
  <c r="F95" i="45" s="1"/>
  <c r="BT17" i="37"/>
  <c r="AN17" i="37" s="1"/>
  <c r="T17" i="37" s="1"/>
  <c r="F96" i="45" s="1"/>
  <c r="BT20" i="37"/>
  <c r="AN20" i="37" s="1"/>
  <c r="T20" i="37" s="1"/>
  <c r="F99" i="45" s="1"/>
  <c r="F83" i="45"/>
  <c r="BS20" i="37"/>
  <c r="BS12" i="37"/>
  <c r="BS10" i="37"/>
  <c r="BS21" i="37"/>
  <c r="BS17" i="37"/>
  <c r="BT14" i="37"/>
  <c r="AN14" i="37" s="1"/>
  <c r="T14" i="37" s="1"/>
  <c r="F93" i="45" s="1"/>
  <c r="BS16" i="37"/>
  <c r="BT6" i="37"/>
  <c r="AN6" i="37" s="1"/>
  <c r="T6" i="37" s="1"/>
  <c r="F85" i="45" s="1"/>
  <c r="BS14" i="37"/>
  <c r="BS6" i="37"/>
  <c r="BS29" i="37"/>
  <c r="BT5" i="37"/>
  <c r="AN5" i="37" s="1"/>
  <c r="T5" i="37" s="1"/>
  <c r="F84" i="45" s="1"/>
  <c r="BS5" i="37"/>
  <c r="AA33" i="37"/>
  <c r="AJ33" i="37"/>
  <c r="AI33" i="37"/>
  <c r="AH33" i="37"/>
  <c r="AH31" i="37"/>
  <c r="AA31" i="37"/>
  <c r="AJ31" i="37"/>
  <c r="AI31" i="37"/>
  <c r="AA30" i="37"/>
  <c r="AJ30" i="37"/>
  <c r="AI30" i="37"/>
  <c r="AH30" i="37"/>
  <c r="AI32" i="37"/>
  <c r="AH32" i="37"/>
  <c r="AA32" i="37"/>
  <c r="AJ32" i="37"/>
  <c r="AJ26" i="37"/>
  <c r="AI26" i="37"/>
  <c r="AH26" i="37"/>
  <c r="AI25" i="37"/>
  <c r="AH25" i="37"/>
  <c r="AJ25" i="37"/>
  <c r="AI29" i="37"/>
  <c r="AH29" i="37"/>
  <c r="AA29" i="37"/>
  <c r="AJ29" i="37"/>
  <c r="AJ22" i="37"/>
  <c r="AI22" i="37"/>
  <c r="AH22" i="37"/>
  <c r="AJ23" i="37"/>
  <c r="AI23" i="37"/>
  <c r="AH23" i="37"/>
  <c r="AH28" i="37"/>
  <c r="AA28" i="37"/>
  <c r="AJ28" i="37"/>
  <c r="AI28" i="37"/>
  <c r="AJ27" i="37"/>
  <c r="AI27" i="37"/>
  <c r="AH27" i="37"/>
  <c r="AG26" i="37"/>
  <c r="AG31" i="37"/>
  <c r="AG30" i="37"/>
  <c r="AG27" i="37"/>
  <c r="AG32" i="37"/>
  <c r="AG25" i="37"/>
  <c r="AG29" i="37"/>
  <c r="AG23" i="37"/>
  <c r="AG28" i="37"/>
  <c r="AG33" i="37"/>
  <c r="AG22" i="37"/>
  <c r="AL24" i="37"/>
  <c r="AK6" i="37"/>
  <c r="Q6" i="37" s="1"/>
  <c r="C85" i="45" s="1"/>
  <c r="V27" i="36"/>
  <c r="O27" i="36" s="1"/>
  <c r="M27" i="36" s="1"/>
  <c r="D136" i="45" s="1"/>
  <c r="V13" i="36"/>
  <c r="AY27" i="36"/>
  <c r="AX27" i="36"/>
  <c r="AW27" i="36"/>
  <c r="AU27" i="36"/>
  <c r="AT27" i="36"/>
  <c r="AS27" i="36"/>
  <c r="AQ27" i="36"/>
  <c r="AP27" i="36"/>
  <c r="AO27" i="36"/>
  <c r="AM27" i="36"/>
  <c r="AL27" i="36"/>
  <c r="AG27" i="36"/>
  <c r="AF27" i="36"/>
  <c r="AE27" i="36"/>
  <c r="W27" i="36"/>
  <c r="R27" i="36"/>
  <c r="F27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G109" i="45" l="1"/>
  <c r="K109" i="45" s="1"/>
  <c r="Y109" i="45" s="1"/>
  <c r="AC98" i="45"/>
  <c r="K98" i="45" s="1"/>
  <c r="Y98" i="45" s="1"/>
  <c r="G97" i="45"/>
  <c r="K97" i="45" s="1"/>
  <c r="Y97" i="45" s="1"/>
  <c r="G93" i="45"/>
  <c r="K93" i="45" s="1"/>
  <c r="Y93" i="45" s="1"/>
  <c r="AC91" i="45"/>
  <c r="K91" i="45" s="1"/>
  <c r="Y91" i="45" s="1"/>
  <c r="Z13" i="37"/>
  <c r="Z15" i="37"/>
  <c r="Y13" i="37"/>
  <c r="Y15" i="37"/>
  <c r="Y21" i="37"/>
  <c r="Z21" i="37"/>
  <c r="Z20" i="37"/>
  <c r="Z32" i="37"/>
  <c r="Z16" i="37"/>
  <c r="Y20" i="37"/>
  <c r="Y32" i="37"/>
  <c r="AB32" i="37" s="1"/>
  <c r="Y16" i="37"/>
  <c r="Z12" i="37"/>
  <c r="Z19" i="37"/>
  <c r="Y12" i="37"/>
  <c r="Z17" i="37"/>
  <c r="Z14" i="37"/>
  <c r="Y19" i="37"/>
  <c r="Z18" i="37"/>
  <c r="Y17" i="37"/>
  <c r="Y14" i="37"/>
  <c r="Y18" i="37"/>
  <c r="E111" i="45"/>
  <c r="AE111" i="45" s="1"/>
  <c r="AI111" i="45" s="1"/>
  <c r="AJ111" i="45" s="1"/>
  <c r="H91" i="45"/>
  <c r="AD91" i="45"/>
  <c r="AG108" i="45"/>
  <c r="AH108" i="45" s="1"/>
  <c r="AV143" i="45"/>
  <c r="BD143" i="45" s="1"/>
  <c r="DG10" i="42" s="1"/>
  <c r="DI10" i="42" s="1"/>
  <c r="L132" i="45"/>
  <c r="Z132" i="45" s="1"/>
  <c r="AI106" i="45"/>
  <c r="AJ106" i="45" s="1"/>
  <c r="AG104" i="45"/>
  <c r="AH104" i="45" s="1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5" i="36" s="1"/>
  <c r="BD25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6" i="36" s="1"/>
  <c r="BD26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K87" i="45"/>
  <c r="Y87" i="45" s="1"/>
  <c r="I100" i="45"/>
  <c r="AE100" i="45"/>
  <c r="H136" i="45"/>
  <c r="AD136" i="45"/>
  <c r="AB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L145" i="45"/>
  <c r="Z145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L86" i="45"/>
  <c r="Z86" i="45" s="1"/>
  <c r="AG94" i="45"/>
  <c r="K83" i="45"/>
  <c r="Y83" i="45" s="1"/>
  <c r="AG138" i="45"/>
  <c r="K111" i="45"/>
  <c r="Y111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4" i="36" s="1"/>
  <c r="L105" i="45"/>
  <c r="Z105" i="45" s="1"/>
  <c r="L107" i="45"/>
  <c r="Z107" i="45" s="1"/>
  <c r="L137" i="45"/>
  <c r="Z137" i="45" s="1"/>
  <c r="K137" i="45"/>
  <c r="Y137" i="45" s="1"/>
  <c r="K107" i="45"/>
  <c r="Y107" i="45" s="1"/>
  <c r="AI110" i="45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AB22" i="37"/>
  <c r="AB29" i="37"/>
  <c r="AB28" i="37"/>
  <c r="AB33" i="37"/>
  <c r="AB23" i="37"/>
  <c r="AB27" i="37"/>
  <c r="AB26" i="37"/>
  <c r="AC31" i="37"/>
  <c r="AB31" i="37"/>
  <c r="AC30" i="37"/>
  <c r="AB30" i="37"/>
  <c r="AI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AC33" i="37"/>
  <c r="AC32" i="37"/>
  <c r="AH17" i="37"/>
  <c r="AI13" i="37"/>
  <c r="AI12" i="37"/>
  <c r="AJ12" i="37"/>
  <c r="AJ11" i="37"/>
  <c r="AH11" i="37"/>
  <c r="AG11" i="37"/>
  <c r="AI11" i="37"/>
  <c r="AJ15" i="37"/>
  <c r="AI9" i="37"/>
  <c r="AI14" i="37"/>
  <c r="AH5" i="37"/>
  <c r="AH8" i="37"/>
  <c r="AI8" i="37"/>
  <c r="AG8" i="37"/>
  <c r="AH12" i="37"/>
  <c r="AG12" i="37"/>
  <c r="AJ8" i="37"/>
  <c r="AH20" i="37"/>
  <c r="AA12" i="37"/>
  <c r="AH19" i="37"/>
  <c r="AI7" i="37"/>
  <c r="AG5" i="37"/>
  <c r="AJ5" i="37"/>
  <c r="AI5" i="37"/>
  <c r="AJ10" i="37"/>
  <c r="AA19" i="37"/>
  <c r="AA16" i="37"/>
  <c r="AJ7" i="37"/>
  <c r="AJ17" i="37"/>
  <c r="AH13" i="37"/>
  <c r="AJ13" i="37"/>
  <c r="AG13" i="37"/>
  <c r="AA13" i="37"/>
  <c r="AH9" i="37"/>
  <c r="AA21" i="37"/>
  <c r="AA14" i="37"/>
  <c r="AH7" i="37"/>
  <c r="AA17" i="37"/>
  <c r="AH14" i="37"/>
  <c r="AJ14" i="37"/>
  <c r="AJ21" i="37"/>
  <c r="AG14" i="37"/>
  <c r="AG17" i="37"/>
  <c r="AG7" i="37"/>
  <c r="AI17" i="37"/>
  <c r="AA20" i="37"/>
  <c r="AI16" i="37"/>
  <c r="AJ18" i="37"/>
  <c r="AH10" i="37"/>
  <c r="AG20" i="37"/>
  <c r="AG19" i="37"/>
  <c r="AG10" i="37"/>
  <c r="AI15" i="37"/>
  <c r="AH15" i="37"/>
  <c r="AJ19" i="37"/>
  <c r="AI21" i="37"/>
  <c r="AJ20" i="37"/>
  <c r="AI20" i="37"/>
  <c r="AI18" i="37"/>
  <c r="AI10" i="37"/>
  <c r="AG21" i="37"/>
  <c r="AG15" i="37"/>
  <c r="AA15" i="37"/>
  <c r="AA18" i="37"/>
  <c r="AG18" i="37"/>
  <c r="AI19" i="37"/>
  <c r="AH21" i="37"/>
  <c r="AH18" i="37"/>
  <c r="AJ16" i="37"/>
  <c r="AG16" i="37"/>
  <c r="AJ9" i="37"/>
  <c r="AH16" i="37"/>
  <c r="AG9" i="37"/>
  <c r="AJ6" i="37"/>
  <c r="AI6" i="37"/>
  <c r="AH6" i="37"/>
  <c r="AH24" i="37"/>
  <c r="AJ24" i="37"/>
  <c r="AC22" i="37"/>
  <c r="AC26" i="37"/>
  <c r="AC29" i="37"/>
  <c r="AC25" i="37"/>
  <c r="AC28" i="37"/>
  <c r="AC23" i="37"/>
  <c r="AC27" i="37"/>
  <c r="AG6" i="37"/>
  <c r="AG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7" i="36"/>
  <c r="AJ16" i="36"/>
  <c r="U16" i="36" s="1"/>
  <c r="AK15" i="36"/>
  <c r="T15" i="36" s="1"/>
  <c r="AJ20" i="36"/>
  <c r="U20" i="36" s="1"/>
  <c r="AJ21" i="36"/>
  <c r="AJ27" i="36"/>
  <c r="U27" i="36" s="1"/>
  <c r="AI15" i="36"/>
  <c r="AI16" i="36"/>
  <c r="AI17" i="36"/>
  <c r="AI18" i="36"/>
  <c r="AI19" i="36"/>
  <c r="AI20" i="36"/>
  <c r="AI21" i="36"/>
  <c r="AI27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D79" i="45"/>
  <c r="D80" i="45"/>
  <c r="D81" i="45"/>
  <c r="D82" i="45"/>
  <c r="C78" i="45"/>
  <c r="AG98" i="45" l="1"/>
  <c r="AH98" i="45" s="1"/>
  <c r="AT98" i="45" s="1"/>
  <c r="BB98" i="45" s="1"/>
  <c r="CU19" i="37" s="1"/>
  <c r="AG91" i="45"/>
  <c r="AH91" i="45" s="1"/>
  <c r="I111" i="45"/>
  <c r="M111" i="45" s="1"/>
  <c r="AA111" i="45" s="1"/>
  <c r="L91" i="45"/>
  <c r="Z91" i="45" s="1"/>
  <c r="AT132" i="45"/>
  <c r="BB132" i="45" s="1"/>
  <c r="BB22" i="36" s="1"/>
  <c r="BD22" i="36" s="1"/>
  <c r="AT108" i="45"/>
  <c r="BB108" i="45" s="1"/>
  <c r="CU29" i="37" s="1"/>
  <c r="AS104" i="45"/>
  <c r="BA104" i="45" s="1"/>
  <c r="CT25" i="37" s="1"/>
  <c r="AT111" i="45"/>
  <c r="BB111" i="45" s="1"/>
  <c r="AI87" i="45"/>
  <c r="AJ87" i="45" s="1"/>
  <c r="AV111" i="45"/>
  <c r="BD111" i="45" s="1"/>
  <c r="AV101" i="45"/>
  <c r="BD101" i="45" s="1"/>
  <c r="CY22" i="37" s="1"/>
  <c r="AT84" i="45"/>
  <c r="BB84" i="45" s="1"/>
  <c r="CU5" i="37" s="1"/>
  <c r="AS144" i="45"/>
  <c r="BA144" i="45" s="1"/>
  <c r="DB11" i="42" s="1"/>
  <c r="M10" i="36"/>
  <c r="D120" i="45" s="1"/>
  <c r="AV112" i="45"/>
  <c r="BD112" i="45" s="1"/>
  <c r="AS108" i="45"/>
  <c r="BA108" i="45" s="1"/>
  <c r="CT29" i="37" s="1"/>
  <c r="AT139" i="45"/>
  <c r="BB139" i="45" s="1"/>
  <c r="DC6" i="42" s="1"/>
  <c r="AU101" i="45"/>
  <c r="BC101" i="45" s="1"/>
  <c r="CX22" i="37" s="1"/>
  <c r="AT99" i="45"/>
  <c r="BB99" i="45" s="1"/>
  <c r="CU20" i="37" s="1"/>
  <c r="AT93" i="45"/>
  <c r="BB93" i="45" s="1"/>
  <c r="CU14" i="37" s="1"/>
  <c r="AV105" i="45"/>
  <c r="BD105" i="45" s="1"/>
  <c r="CY26" i="37" s="1"/>
  <c r="AT92" i="45"/>
  <c r="BB92" i="45" s="1"/>
  <c r="CU13" i="37" s="1"/>
  <c r="M85" i="45"/>
  <c r="AA85" i="45" s="1"/>
  <c r="AI86" i="45"/>
  <c r="AJ86" i="45" s="1"/>
  <c r="AT104" i="45"/>
  <c r="BB104" i="45" s="1"/>
  <c r="CU25" i="37" s="1"/>
  <c r="M93" i="45"/>
  <c r="AA93" i="45" s="1"/>
  <c r="N88" i="45"/>
  <c r="AB88" i="45" s="1"/>
  <c r="AS113" i="45"/>
  <c r="BA113" i="45" s="1"/>
  <c r="CT33" i="37" s="1"/>
  <c r="AV107" i="45"/>
  <c r="BD107" i="45" s="1"/>
  <c r="CY28" i="37" s="1"/>
  <c r="N98" i="45"/>
  <c r="AB98" i="45" s="1"/>
  <c r="AT101" i="45"/>
  <c r="BB101" i="45" s="1"/>
  <c r="CU22" i="37" s="1"/>
  <c r="AT102" i="45"/>
  <c r="BB102" i="45" s="1"/>
  <c r="CU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X29" i="37" s="1"/>
  <c r="AS101" i="45"/>
  <c r="BA101" i="45" s="1"/>
  <c r="CT22" i="37" s="1"/>
  <c r="N100" i="45"/>
  <c r="AB100" i="45" s="1"/>
  <c r="AS97" i="45"/>
  <c r="BA97" i="45" s="1"/>
  <c r="CT18" i="37" s="1"/>
  <c r="M97" i="45"/>
  <c r="AA97" i="45" s="1"/>
  <c r="AS143" i="45"/>
  <c r="BA143" i="45" s="1"/>
  <c r="DB10" i="42" s="1"/>
  <c r="AS139" i="45"/>
  <c r="BA139" i="45" s="1"/>
  <c r="DB6" i="42" s="1"/>
  <c r="AS99" i="45"/>
  <c r="BA99" i="45" s="1"/>
  <c r="CT20" i="37" s="1"/>
  <c r="AI95" i="45"/>
  <c r="AJ95" i="45" s="1"/>
  <c r="M94" i="45"/>
  <c r="AA94" i="45" s="1"/>
  <c r="AJ108" i="45"/>
  <c r="AV108" i="45" s="1"/>
  <c r="BD108" i="45" s="1"/>
  <c r="CY29" i="37" s="1"/>
  <c r="AS109" i="45"/>
  <c r="BA109" i="45" s="1"/>
  <c r="CT30" i="37" s="1"/>
  <c r="AH109" i="45"/>
  <c r="AT109" i="45" s="1"/>
  <c r="BB109" i="45" s="1"/>
  <c r="CU30" i="37" s="1"/>
  <c r="AT113" i="45"/>
  <c r="BB113" i="45" s="1"/>
  <c r="CU33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T14" i="37" s="1"/>
  <c r="AI89" i="45"/>
  <c r="AU107" i="45"/>
  <c r="BC107" i="45" s="1"/>
  <c r="CX28" i="37" s="1"/>
  <c r="M89" i="45"/>
  <c r="AA89" i="45" s="1"/>
  <c r="AS111" i="45"/>
  <c r="BA111" i="45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AT97" i="45"/>
  <c r="BB97" i="45" s="1"/>
  <c r="CU18" i="37" s="1"/>
  <c r="AI93" i="45"/>
  <c r="AJ93" i="45" s="1"/>
  <c r="AS102" i="45"/>
  <c r="BA102" i="45" s="1"/>
  <c r="CT23" i="37" s="1"/>
  <c r="AU105" i="45"/>
  <c r="BC105" i="45" s="1"/>
  <c r="CX26" i="37" s="1"/>
  <c r="AS84" i="45"/>
  <c r="BA84" i="45" s="1"/>
  <c r="CT5" i="37" s="1"/>
  <c r="M87" i="45"/>
  <c r="AA87" i="45" s="1"/>
  <c r="AH106" i="45"/>
  <c r="AT106" i="45" s="1"/>
  <c r="BB106" i="45" s="1"/>
  <c r="CU27" i="37" s="1"/>
  <c r="AS106" i="45"/>
  <c r="BA106" i="45" s="1"/>
  <c r="CT27" i="37" s="1"/>
  <c r="AI96" i="45"/>
  <c r="AH95" i="45"/>
  <c r="AT95" i="45" s="1"/>
  <c r="BB95" i="45" s="1"/>
  <c r="CU16" i="37" s="1"/>
  <c r="AS95" i="45"/>
  <c r="BA95" i="45" s="1"/>
  <c r="CT16" i="37" s="1"/>
  <c r="AV106" i="45"/>
  <c r="BD106" i="45" s="1"/>
  <c r="CY27" i="37" s="1"/>
  <c r="AJ113" i="45"/>
  <c r="AV113" i="45" s="1"/>
  <c r="BD113" i="45" s="1"/>
  <c r="CY33" i="37" s="1"/>
  <c r="AU113" i="45"/>
  <c r="BC113" i="45" s="1"/>
  <c r="CX33" i="37" s="1"/>
  <c r="M91" i="45"/>
  <c r="AA91" i="45" s="1"/>
  <c r="N87" i="45"/>
  <c r="AB87" i="45" s="1"/>
  <c r="N96" i="45"/>
  <c r="AB96" i="45" s="1"/>
  <c r="AH89" i="45"/>
  <c r="AT89" i="45" s="1"/>
  <c r="BB89" i="45" s="1"/>
  <c r="CU10" i="37" s="1"/>
  <c r="AS89" i="45"/>
  <c r="BA89" i="45" s="1"/>
  <c r="CT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U26" i="37" s="1"/>
  <c r="AS105" i="45"/>
  <c r="BA105" i="45" s="1"/>
  <c r="CT26" i="37" s="1"/>
  <c r="N97" i="45"/>
  <c r="AB97" i="45" s="1"/>
  <c r="N93" i="45"/>
  <c r="AB93" i="45" s="1"/>
  <c r="M84" i="45"/>
  <c r="AA84" i="45" s="1"/>
  <c r="AH86" i="45"/>
  <c r="AT86" i="45" s="1"/>
  <c r="BB86" i="45" s="1"/>
  <c r="CU7" i="37" s="1"/>
  <c r="AS86" i="45"/>
  <c r="BA86" i="45" s="1"/>
  <c r="CT7" i="37" s="1"/>
  <c r="AJ110" i="45"/>
  <c r="AV110" i="45" s="1"/>
  <c r="BD110" i="45" s="1"/>
  <c r="CY31" i="37" s="1"/>
  <c r="AU110" i="45"/>
  <c r="BC110" i="45" s="1"/>
  <c r="CX31" i="37" s="1"/>
  <c r="AH88" i="45"/>
  <c r="AT88" i="45" s="1"/>
  <c r="BB88" i="45" s="1"/>
  <c r="CU9" i="37" s="1"/>
  <c r="AS88" i="45"/>
  <c r="BA88" i="45" s="1"/>
  <c r="CT9" i="37" s="1"/>
  <c r="AH96" i="45"/>
  <c r="AT96" i="45" s="1"/>
  <c r="BB96" i="45" s="1"/>
  <c r="CU17" i="37" s="1"/>
  <c r="AS96" i="45"/>
  <c r="BA96" i="45" s="1"/>
  <c r="CT17" i="37" s="1"/>
  <c r="AS140" i="45"/>
  <c r="BA140" i="45" s="1"/>
  <c r="DB7" i="42" s="1"/>
  <c r="AH90" i="45"/>
  <c r="AT90" i="45" s="1"/>
  <c r="BB90" i="45" s="1"/>
  <c r="CU11" i="37" s="1"/>
  <c r="AS90" i="45"/>
  <c r="BA90" i="45" s="1"/>
  <c r="CT11" i="37" s="1"/>
  <c r="M92" i="45"/>
  <c r="AA92" i="45" s="1"/>
  <c r="N83" i="45"/>
  <c r="AB83" i="45" s="1"/>
  <c r="N86" i="45"/>
  <c r="AB86" i="45" s="1"/>
  <c r="AJ109" i="45"/>
  <c r="AV109" i="45" s="1"/>
  <c r="BD109" i="45" s="1"/>
  <c r="CY30" i="37" s="1"/>
  <c r="AU109" i="45"/>
  <c r="BC109" i="45" s="1"/>
  <c r="CX30" i="37" s="1"/>
  <c r="AI97" i="45"/>
  <c r="K85" i="45"/>
  <c r="Y85" i="45" s="1"/>
  <c r="AH112" i="45"/>
  <c r="AT112" i="45" s="1"/>
  <c r="BB112" i="45" s="1"/>
  <c r="AS112" i="45"/>
  <c r="BA112" i="45" s="1"/>
  <c r="AT140" i="45"/>
  <c r="BB140" i="45" s="1"/>
  <c r="DC7" i="42" s="1"/>
  <c r="H103" i="45"/>
  <c r="AD103" i="45"/>
  <c r="AG103" i="45" s="1"/>
  <c r="AJ102" i="45"/>
  <c r="AV102" i="45" s="1"/>
  <c r="BD102" i="45" s="1"/>
  <c r="CY23" i="37" s="1"/>
  <c r="AU102" i="45"/>
  <c r="BC102" i="45" s="1"/>
  <c r="CX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Y25" i="37" s="1"/>
  <c r="AU104" i="45"/>
  <c r="BC104" i="45" s="1"/>
  <c r="CX25" i="37" s="1"/>
  <c r="AH85" i="45"/>
  <c r="AT85" i="45" s="1"/>
  <c r="BB85" i="45" s="1"/>
  <c r="CU6" i="37" s="1"/>
  <c r="AS92" i="45"/>
  <c r="BA92" i="45" s="1"/>
  <c r="CT13" i="37" s="1"/>
  <c r="M99" i="45"/>
  <c r="AA99" i="45" s="1"/>
  <c r="N85" i="45"/>
  <c r="AB85" i="45" s="1"/>
  <c r="AH83" i="45"/>
  <c r="AT83" i="45" s="1"/>
  <c r="BB83" i="45" s="1"/>
  <c r="CU4" i="37" s="1"/>
  <c r="AS83" i="45"/>
  <c r="BA83" i="45" s="1"/>
  <c r="CT4" i="37" s="1"/>
  <c r="AI85" i="45"/>
  <c r="M98" i="45"/>
  <c r="AA98" i="45" s="1"/>
  <c r="AJ103" i="45"/>
  <c r="AV103" i="45" s="1"/>
  <c r="BD103" i="45" s="1"/>
  <c r="CY24" i="37" s="1"/>
  <c r="AU103" i="45"/>
  <c r="BC103" i="45" s="1"/>
  <c r="CX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U28" i="37" s="1"/>
  <c r="AS107" i="45"/>
  <c r="BA107" i="45" s="1"/>
  <c r="CT28" i="37" s="1"/>
  <c r="M90" i="45"/>
  <c r="AA90" i="45" s="1"/>
  <c r="AH110" i="45"/>
  <c r="AT110" i="45" s="1"/>
  <c r="BB110" i="45" s="1"/>
  <c r="CU31" i="37" s="1"/>
  <c r="AS110" i="45"/>
  <c r="BA110" i="45" s="1"/>
  <c r="CT31" i="37" s="1"/>
  <c r="M88" i="45"/>
  <c r="AA88" i="45" s="1"/>
  <c r="M95" i="45"/>
  <c r="AA95" i="45" s="1"/>
  <c r="AI94" i="45"/>
  <c r="AH87" i="45"/>
  <c r="AT87" i="45" s="1"/>
  <c r="BB87" i="45" s="1"/>
  <c r="CU8" i="37" s="1"/>
  <c r="AS87" i="45"/>
  <c r="BA87" i="45" s="1"/>
  <c r="CT8" i="37" s="1"/>
  <c r="M83" i="45"/>
  <c r="AA83" i="45" s="1"/>
  <c r="AT143" i="45"/>
  <c r="BB143" i="45" s="1"/>
  <c r="DC10" i="42" s="1"/>
  <c r="AU106" i="45"/>
  <c r="BC106" i="45" s="1"/>
  <c r="CX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U15" i="37" s="1"/>
  <c r="AS94" i="45"/>
  <c r="BA94" i="45" s="1"/>
  <c r="CT15" i="37" s="1"/>
  <c r="AH100" i="45"/>
  <c r="AT100" i="45" s="1"/>
  <c r="BB100" i="45" s="1"/>
  <c r="CU21" i="37" s="1"/>
  <c r="AS100" i="45"/>
  <c r="BA100" i="45" s="1"/>
  <c r="CT21" i="37" s="1"/>
  <c r="AG136" i="45"/>
  <c r="AS136" i="45" s="1"/>
  <c r="BA136" i="45" s="1"/>
  <c r="BA27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4" i="36"/>
  <c r="AB24" i="37"/>
  <c r="AB6" i="37"/>
  <c r="AB9" i="37"/>
  <c r="Q18" i="36"/>
  <c r="AC20" i="37"/>
  <c r="AB20" i="37"/>
  <c r="AC7" i="37"/>
  <c r="AB7" i="37"/>
  <c r="AC5" i="37"/>
  <c r="AB5" i="37"/>
  <c r="AB15" i="37"/>
  <c r="AB8" i="37"/>
  <c r="AC18" i="37"/>
  <c r="AB18" i="37"/>
  <c r="AC19" i="37"/>
  <c r="AB19" i="37"/>
  <c r="AC13" i="37"/>
  <c r="AB13" i="37"/>
  <c r="Q20" i="36"/>
  <c r="AC16" i="37"/>
  <c r="AB16" i="37"/>
  <c r="AC10" i="37"/>
  <c r="AB10" i="37"/>
  <c r="AC14" i="37"/>
  <c r="AB14" i="37"/>
  <c r="AC11" i="37"/>
  <c r="AB11" i="37"/>
  <c r="Q16" i="36"/>
  <c r="AC21" i="37"/>
  <c r="AB21" i="37"/>
  <c r="AC17" i="37"/>
  <c r="AB17" i="37"/>
  <c r="AC12" i="37"/>
  <c r="AB12" i="37"/>
  <c r="Z4" i="42"/>
  <c r="AC8" i="37"/>
  <c r="AC9" i="37"/>
  <c r="AC15" i="37"/>
  <c r="AC6" i="37"/>
  <c r="AC24" i="37"/>
  <c r="T19" i="36"/>
  <c r="T21" i="36"/>
  <c r="T27" i="36"/>
  <c r="P27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D54" i="45"/>
  <c r="D3" i="45"/>
  <c r="D6" i="45"/>
  <c r="D7" i="45"/>
  <c r="D8" i="45"/>
  <c r="D9" i="45"/>
  <c r="D10" i="45"/>
  <c r="D11" i="45"/>
  <c r="D12" i="45"/>
  <c r="D13" i="45"/>
  <c r="D26" i="45"/>
  <c r="D27" i="45"/>
  <c r="D29" i="45"/>
  <c r="D30" i="45"/>
  <c r="D32" i="45"/>
  <c r="D33" i="45"/>
  <c r="C34" i="45"/>
  <c r="C40" i="45"/>
  <c r="D43" i="45"/>
  <c r="D44" i="45"/>
  <c r="C64" i="45"/>
  <c r="C65" i="45"/>
  <c r="D66" i="45"/>
  <c r="D67" i="45"/>
  <c r="D74" i="45"/>
  <c r="D75" i="45"/>
  <c r="D76" i="45"/>
  <c r="D77" i="45"/>
  <c r="D2" i="45"/>
  <c r="D73" i="45"/>
  <c r="D72" i="45"/>
  <c r="D71" i="45"/>
  <c r="D70" i="45"/>
  <c r="C69" i="45"/>
  <c r="C68" i="45"/>
  <c r="C63" i="45"/>
  <c r="C62" i="45"/>
  <c r="D61" i="45"/>
  <c r="D60" i="45"/>
  <c r="D59" i="45"/>
  <c r="D58" i="45"/>
  <c r="D57" i="45"/>
  <c r="D56" i="45"/>
  <c r="D55" i="45"/>
  <c r="D53" i="45"/>
  <c r="D52" i="45"/>
  <c r="D51" i="45"/>
  <c r="D48" i="45"/>
  <c r="C36" i="45"/>
  <c r="C35" i="45"/>
  <c r="D31" i="45"/>
  <c r="D42" i="45"/>
  <c r="D41" i="45"/>
  <c r="C39" i="45"/>
  <c r="C38" i="45"/>
  <c r="C37" i="45"/>
  <c r="D47" i="45"/>
  <c r="D46" i="45"/>
  <c r="D45" i="45"/>
  <c r="D28" i="45"/>
  <c r="D25" i="45"/>
  <c r="D24" i="45"/>
  <c r="D23" i="45"/>
  <c r="D22" i="45"/>
  <c r="D21" i="45"/>
  <c r="D20" i="45"/>
  <c r="D19" i="45"/>
  <c r="D15" i="45"/>
  <c r="D14" i="45"/>
  <c r="D18" i="45"/>
  <c r="D17" i="45"/>
  <c r="D16" i="45"/>
  <c r="D5" i="45"/>
  <c r="D4" i="45"/>
  <c r="AS91" i="45" l="1"/>
  <c r="BA91" i="45" s="1"/>
  <c r="CT12" i="37" s="1"/>
  <c r="AS98" i="45"/>
  <c r="BA98" i="45" s="1"/>
  <c r="CT19" i="37" s="1"/>
  <c r="CW19" i="37" s="1"/>
  <c r="CU32" i="37"/>
  <c r="AU111" i="45"/>
  <c r="BC111" i="45" s="1"/>
  <c r="CX32" i="37" s="1"/>
  <c r="CT32" i="37"/>
  <c r="CY32" i="37"/>
  <c r="AT91" i="45"/>
  <c r="BB91" i="45" s="1"/>
  <c r="CU12" i="37" s="1"/>
  <c r="CW4" i="37"/>
  <c r="DA22" i="37"/>
  <c r="AV88" i="45"/>
  <c r="BD88" i="45" s="1"/>
  <c r="CY9" i="37" s="1"/>
  <c r="CW29" i="37"/>
  <c r="CW25" i="37"/>
  <c r="DE12" i="42"/>
  <c r="CW13" i="37"/>
  <c r="AV98" i="45"/>
  <c r="BD98" i="45" s="1"/>
  <c r="CY19" i="37" s="1"/>
  <c r="DE11" i="42"/>
  <c r="CW5" i="37"/>
  <c r="AD120" i="45"/>
  <c r="AG120" i="45" s="1"/>
  <c r="AS120" i="45" s="1"/>
  <c r="H120" i="45"/>
  <c r="CW20" i="37"/>
  <c r="CW18" i="37"/>
  <c r="DE6" i="42"/>
  <c r="DA26" i="37"/>
  <c r="AU87" i="45"/>
  <c r="BC87" i="45" s="1"/>
  <c r="CX8" i="37" s="1"/>
  <c r="CW33" i="37"/>
  <c r="CW14" i="37"/>
  <c r="AU86" i="45"/>
  <c r="BC86" i="45" s="1"/>
  <c r="CX7" i="37" s="1"/>
  <c r="CW30" i="37"/>
  <c r="CW23" i="37"/>
  <c r="AS85" i="45"/>
  <c r="BA85" i="45" s="1"/>
  <c r="CT6" i="37" s="1"/>
  <c r="CW6" i="37" s="1"/>
  <c r="CW22" i="37"/>
  <c r="DA28" i="37"/>
  <c r="AA86" i="45"/>
  <c r="AU89" i="45"/>
  <c r="BC89" i="45" s="1"/>
  <c r="CX10" i="37" s="1"/>
  <c r="AU88" i="45"/>
  <c r="BC88" i="45" s="1"/>
  <c r="CX9" i="37" s="1"/>
  <c r="AV87" i="45"/>
  <c r="BD87" i="45" s="1"/>
  <c r="CY8" i="37" s="1"/>
  <c r="AJ89" i="45"/>
  <c r="AV89" i="45" s="1"/>
  <c r="BD89" i="45" s="1"/>
  <c r="CY10" i="37" s="1"/>
  <c r="AV92" i="45"/>
  <c r="BD92" i="45" s="1"/>
  <c r="CY13" i="37" s="1"/>
  <c r="DE7" i="42"/>
  <c r="CW10" i="37"/>
  <c r="CW16" i="37"/>
  <c r="AH136" i="45"/>
  <c r="AT136" i="45" s="1"/>
  <c r="BB136" i="45" s="1"/>
  <c r="BB27" i="36" s="1"/>
  <c r="BD27" i="36" s="1"/>
  <c r="L103" i="45"/>
  <c r="Z103" i="45" s="1"/>
  <c r="AV84" i="45"/>
  <c r="BD84" i="45" s="1"/>
  <c r="CY5" i="37" s="1"/>
  <c r="AU99" i="45"/>
  <c r="BC99" i="45" s="1"/>
  <c r="CX20" i="37" s="1"/>
  <c r="AV93" i="45"/>
  <c r="BD93" i="45" s="1"/>
  <c r="CY14" i="37" s="1"/>
  <c r="AV90" i="45"/>
  <c r="BD90" i="45" s="1"/>
  <c r="CY11" i="37" s="1"/>
  <c r="DE10" i="42"/>
  <c r="DE9" i="42"/>
  <c r="CW26" i="37"/>
  <c r="DA29" i="37"/>
  <c r="AV91" i="45"/>
  <c r="BD91" i="45" s="1"/>
  <c r="CY12" i="37" s="1"/>
  <c r="AU90" i="45"/>
  <c r="BC90" i="45" s="1"/>
  <c r="CX11" i="37" s="1"/>
  <c r="CW28" i="37"/>
  <c r="CW21" i="37"/>
  <c r="DA24" i="37"/>
  <c r="DA25" i="37"/>
  <c r="DA23" i="37"/>
  <c r="CW11" i="37"/>
  <c r="CW9" i="37"/>
  <c r="AU98" i="45"/>
  <c r="BC98" i="45" s="1"/>
  <c r="CX19" i="37" s="1"/>
  <c r="AU92" i="45"/>
  <c r="BC92" i="45" s="1"/>
  <c r="CX13" i="37" s="1"/>
  <c r="CW31" i="37"/>
  <c r="AU84" i="45"/>
  <c r="BC84" i="45" s="1"/>
  <c r="CX5" i="37" s="1"/>
  <c r="AU93" i="45"/>
  <c r="BC93" i="45" s="1"/>
  <c r="CX14" i="37" s="1"/>
  <c r="CW17" i="37"/>
  <c r="CW7" i="37"/>
  <c r="AV83" i="45"/>
  <c r="BD83" i="45" s="1"/>
  <c r="CY4" i="37" s="1"/>
  <c r="AJ85" i="45"/>
  <c r="AV85" i="45" s="1"/>
  <c r="BD85" i="45" s="1"/>
  <c r="CY6" i="37" s="1"/>
  <c r="AU85" i="45"/>
  <c r="BC85" i="45" s="1"/>
  <c r="CX6" i="37" s="1"/>
  <c r="AV99" i="45"/>
  <c r="BD99" i="45" s="1"/>
  <c r="CY20" i="37" s="1"/>
  <c r="AJ100" i="45"/>
  <c r="AV100" i="45" s="1"/>
  <c r="BD100" i="45" s="1"/>
  <c r="CY21" i="37" s="1"/>
  <c r="AU100" i="45"/>
  <c r="BC100" i="45" s="1"/>
  <c r="CX21" i="37" s="1"/>
  <c r="AJ94" i="45"/>
  <c r="AV94" i="45" s="1"/>
  <c r="BD94" i="45" s="1"/>
  <c r="CY15" i="37" s="1"/>
  <c r="AU94" i="45"/>
  <c r="BC94" i="45" s="1"/>
  <c r="CX15" i="37" s="1"/>
  <c r="AU95" i="45"/>
  <c r="BC95" i="45" s="1"/>
  <c r="CX16" i="37" s="1"/>
  <c r="DB1" i="42"/>
  <c r="DE4" i="42"/>
  <c r="DA27" i="37"/>
  <c r="AV86" i="45"/>
  <c r="BD86" i="45" s="1"/>
  <c r="CY7" i="37" s="1"/>
  <c r="AJ97" i="45"/>
  <c r="AV97" i="45" s="1"/>
  <c r="BD97" i="45" s="1"/>
  <c r="CY18" i="37" s="1"/>
  <c r="AU97" i="45"/>
  <c r="BC97" i="45" s="1"/>
  <c r="CX18" i="37" s="1"/>
  <c r="AV95" i="45"/>
  <c r="BD95" i="45" s="1"/>
  <c r="CY16" i="37" s="1"/>
  <c r="DA30" i="37"/>
  <c r="AJ96" i="45"/>
  <c r="AV96" i="45" s="1"/>
  <c r="BD96" i="45" s="1"/>
  <c r="CY17" i="37" s="1"/>
  <c r="AU96" i="45"/>
  <c r="BC96" i="45" s="1"/>
  <c r="CX17" i="37" s="1"/>
  <c r="AH103" i="45"/>
  <c r="AS103" i="45"/>
  <c r="BA103" i="45" s="1"/>
  <c r="CT24" i="37" s="1"/>
  <c r="CW27" i="37"/>
  <c r="AU91" i="45"/>
  <c r="BC91" i="45" s="1"/>
  <c r="CX12" i="37" s="1"/>
  <c r="CW15" i="37"/>
  <c r="CW8" i="37"/>
  <c r="DE5" i="42"/>
  <c r="DA31" i="37"/>
  <c r="DA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7" i="36"/>
  <c r="Q6" i="36"/>
  <c r="Q13" i="36"/>
  <c r="Q19" i="36"/>
  <c r="AB1" i="37"/>
  <c r="U12" i="36"/>
  <c r="U9" i="36"/>
  <c r="T9" i="36"/>
  <c r="T12" i="36"/>
  <c r="Q5" i="36"/>
  <c r="D49" i="45"/>
  <c r="CW12" i="37" l="1"/>
  <c r="CW32" i="37"/>
  <c r="DA32" i="37"/>
  <c r="DA19" i="37"/>
  <c r="DA13" i="37"/>
  <c r="DA12" i="37"/>
  <c r="DA9" i="37"/>
  <c r="DA8" i="37"/>
  <c r="L120" i="45"/>
  <c r="Z120" i="45" s="1"/>
  <c r="DA7" i="37"/>
  <c r="DA20" i="37"/>
  <c r="AT103" i="45"/>
  <c r="BB103" i="45" s="1"/>
  <c r="CU24" i="37" s="1"/>
  <c r="CW24" i="37" s="1"/>
  <c r="DA5" i="37"/>
  <c r="DA10" i="37"/>
  <c r="DA14" i="37"/>
  <c r="DA11" i="37"/>
  <c r="DA18" i="37"/>
  <c r="DA6" i="37"/>
  <c r="DA15" i="37"/>
  <c r="DA17" i="37"/>
  <c r="DA21" i="37"/>
  <c r="DA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AD80" i="45"/>
  <c r="H77" i="45"/>
  <c r="AD75" i="45"/>
  <c r="AD74" i="45"/>
  <c r="AD70" i="45"/>
  <c r="AD69" i="45"/>
  <c r="AD68" i="45"/>
  <c r="AD67" i="45"/>
  <c r="AD65" i="45"/>
  <c r="AD64" i="45"/>
  <c r="H63" i="45"/>
  <c r="AD61" i="45"/>
  <c r="H60" i="45"/>
  <c r="H53" i="45"/>
  <c r="D50" i="45"/>
  <c r="AD50" i="45" s="1"/>
  <c r="H46" i="45"/>
  <c r="H38" i="45"/>
  <c r="AD37" i="45"/>
  <c r="AD36" i="45"/>
  <c r="AD33" i="45"/>
  <c r="H26" i="45"/>
  <c r="H24" i="45"/>
  <c r="H22" i="45"/>
  <c r="H21" i="45"/>
  <c r="H18" i="45"/>
  <c r="H17" i="45"/>
  <c r="H14" i="45"/>
  <c r="H13" i="45"/>
  <c r="H7" i="4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9" i="36"/>
  <c r="Q12" i="36"/>
  <c r="AT120" i="45" l="1"/>
  <c r="BB120" i="45" s="1"/>
  <c r="BB10" i="36" s="1"/>
  <c r="BD10" i="36" s="1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H50" i="45"/>
  <c r="L50" i="45" s="1"/>
  <c r="Z50" i="45" s="1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H80" i="45"/>
  <c r="L80" i="45" s="1"/>
  <c r="Z80" i="45" s="1"/>
  <c r="AD77" i="45"/>
  <c r="H74" i="45"/>
  <c r="L74" i="45" s="1"/>
  <c r="Z74" i="45" s="1"/>
  <c r="H70" i="45"/>
  <c r="L70" i="45" s="1"/>
  <c r="Z70" i="45" s="1"/>
  <c r="H69" i="45"/>
  <c r="L69" i="45" s="1"/>
  <c r="Z69" i="45" s="1"/>
  <c r="H68" i="45"/>
  <c r="L68" i="45" s="1"/>
  <c r="Z68" i="45" s="1"/>
  <c r="H65" i="45"/>
  <c r="L65" i="45" s="1"/>
  <c r="Z65" i="45" s="1"/>
  <c r="H64" i="45"/>
  <c r="L64" i="45" s="1"/>
  <c r="Z64" i="45" s="1"/>
  <c r="AD63" i="45"/>
  <c r="H61" i="45"/>
  <c r="L61" i="45" s="1"/>
  <c r="Z61" i="45" s="1"/>
  <c r="AD60" i="45"/>
  <c r="AD53" i="45"/>
  <c r="AD38" i="45"/>
  <c r="H36" i="45"/>
  <c r="L36" i="45" s="1"/>
  <c r="Z36" i="45" s="1"/>
  <c r="H33" i="45"/>
  <c r="L33" i="45" s="1"/>
  <c r="Z33" i="45" s="1"/>
  <c r="AD26" i="45"/>
  <c r="AD24" i="45"/>
  <c r="AD21" i="45"/>
  <c r="AD18" i="45"/>
  <c r="AD17" i="4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BB5" i="36" l="1"/>
  <c r="BD5" i="36" s="1"/>
  <c r="BB4" i="36"/>
  <c r="BD13" i="36"/>
  <c r="BD11" i="36"/>
  <c r="BD8" i="36"/>
  <c r="BD9" i="36"/>
  <c r="BD12" i="36"/>
  <c r="AT8" i="45"/>
  <c r="BB8" i="45" s="1"/>
  <c r="AS41" i="45"/>
  <c r="BA41" i="45" s="1"/>
  <c r="AS42" i="45"/>
  <c r="BA42" i="45" s="1"/>
  <c r="AT20" i="45"/>
  <c r="BB20" i="45" s="1"/>
  <c r="AS8" i="45"/>
  <c r="BA8" i="45" s="1"/>
  <c r="AS20" i="45"/>
  <c r="BA20" i="45" s="1"/>
  <c r="AS6" i="45"/>
  <c r="BA6" i="45" s="1"/>
  <c r="AT80" i="45"/>
  <c r="BB80" i="45" s="1"/>
  <c r="AS76" i="45"/>
  <c r="BA76" i="45" s="1"/>
  <c r="AS80" i="45"/>
  <c r="BA80" i="45" s="1"/>
  <c r="AH76" i="45"/>
  <c r="AT76" i="45" s="1"/>
  <c r="BB76" i="45" s="1"/>
  <c r="AH71" i="45"/>
  <c r="AT71" i="45" s="1"/>
  <c r="BB71" i="45" s="1"/>
  <c r="BA71" i="45"/>
  <c r="AH48" i="45"/>
  <c r="BA48" i="45"/>
  <c r="AH23" i="45"/>
  <c r="AT23" i="45" s="1"/>
  <c r="BB23" i="45" s="1"/>
  <c r="BA23" i="45"/>
  <c r="AH50" i="45"/>
  <c r="AT50" i="45" s="1"/>
  <c r="BB50" i="45" s="1"/>
  <c r="BA50" i="45"/>
  <c r="AH54" i="45"/>
  <c r="AT54" i="45" s="1"/>
  <c r="BB54" i="45" s="1"/>
  <c r="BA54" i="45"/>
  <c r="AH59" i="45"/>
  <c r="AT59" i="45" s="1"/>
  <c r="BB59" i="45" s="1"/>
  <c r="BA59" i="45"/>
  <c r="AH43" i="45"/>
  <c r="AT43" i="45" s="1"/>
  <c r="BB43" i="45" s="1"/>
  <c r="BA43" i="45"/>
  <c r="AH34" i="45"/>
  <c r="BA34" i="45"/>
  <c r="AH12" i="45"/>
  <c r="AT12" i="45" s="1"/>
  <c r="BB12" i="45" s="1"/>
  <c r="BA12" i="45"/>
  <c r="AH5" i="45"/>
  <c r="BA5" i="45"/>
  <c r="AH65" i="45"/>
  <c r="AT65" i="45" s="1"/>
  <c r="BB65" i="45" s="1"/>
  <c r="BA65" i="45"/>
  <c r="AH62" i="45"/>
  <c r="BA62" i="45"/>
  <c r="AH46" i="45"/>
  <c r="AT46" i="45" s="1"/>
  <c r="BB46" i="45" s="1"/>
  <c r="BA46" i="45"/>
  <c r="AH40" i="45"/>
  <c r="BA40" i="45"/>
  <c r="AH6" i="45"/>
  <c r="AT6" i="45" s="1"/>
  <c r="BB6" i="45" s="1"/>
  <c r="AH19" i="45"/>
  <c r="AT19" i="45" s="1"/>
  <c r="BB19" i="45" s="1"/>
  <c r="BA19" i="45"/>
  <c r="AH4" i="45"/>
  <c r="AT4" i="45" s="1"/>
  <c r="BB4" i="45" s="1"/>
  <c r="BA4" i="45"/>
  <c r="AH33" i="45"/>
  <c r="AT33" i="45" s="1"/>
  <c r="BB33" i="45" s="1"/>
  <c r="BA33" i="45"/>
  <c r="AH45" i="45"/>
  <c r="AT45" i="45" s="1"/>
  <c r="BB45" i="45" s="1"/>
  <c r="BA45" i="45"/>
  <c r="AH75" i="45"/>
  <c r="BA75" i="45"/>
  <c r="AH57" i="45"/>
  <c r="AT57" i="45" s="1"/>
  <c r="BB57" i="45" s="1"/>
  <c r="BA57" i="45"/>
  <c r="AH41" i="45"/>
  <c r="AT41" i="45" s="1"/>
  <c r="BB41" i="45" s="1"/>
  <c r="AH30" i="45"/>
  <c r="BA30" i="45"/>
  <c r="AH10" i="45"/>
  <c r="AT10" i="45" s="1"/>
  <c r="BB10" i="45" s="1"/>
  <c r="BA10" i="45"/>
  <c r="AH61" i="45"/>
  <c r="BA61" i="45"/>
  <c r="AH67" i="45"/>
  <c r="AT67" i="45" s="1"/>
  <c r="BB67" i="45" s="1"/>
  <c r="BA67" i="45"/>
  <c r="AH68" i="45"/>
  <c r="AT68" i="45" s="1"/>
  <c r="BB68" i="45" s="1"/>
  <c r="BA68" i="45"/>
  <c r="AH81" i="45"/>
  <c r="AT81" i="45" s="1"/>
  <c r="BB81" i="45" s="1"/>
  <c r="BA81" i="45"/>
  <c r="AH56" i="45"/>
  <c r="BA56" i="45"/>
  <c r="AH44" i="45"/>
  <c r="AT44" i="45" s="1"/>
  <c r="BB44" i="45" s="1"/>
  <c r="BA44" i="45"/>
  <c r="AH31" i="45"/>
  <c r="BA31" i="45"/>
  <c r="AH16" i="45"/>
  <c r="AT16" i="45" s="1"/>
  <c r="BB16" i="45" s="1"/>
  <c r="BA16" i="45"/>
  <c r="AH3" i="45"/>
  <c r="BA3" i="45"/>
  <c r="AH27" i="45"/>
  <c r="BA27" i="45"/>
  <c r="AH70" i="45"/>
  <c r="AT70" i="45" s="1"/>
  <c r="BB70" i="45" s="1"/>
  <c r="BA70" i="45"/>
  <c r="AH82" i="45"/>
  <c r="AT82" i="45" s="1"/>
  <c r="BB82" i="45" s="1"/>
  <c r="BA82" i="45"/>
  <c r="AH72" i="45"/>
  <c r="AT72" i="45" s="1"/>
  <c r="BB72" i="45" s="1"/>
  <c r="BA72" i="45"/>
  <c r="AH49" i="45"/>
  <c r="AT49" i="45" s="1"/>
  <c r="BB49" i="45" s="1"/>
  <c r="BA49" i="45"/>
  <c r="AH25" i="45"/>
  <c r="AT25" i="45" s="1"/>
  <c r="BB25" i="45" s="1"/>
  <c r="BA25" i="45"/>
  <c r="AH36" i="45"/>
  <c r="BA36" i="45"/>
  <c r="AH9" i="45"/>
  <c r="BA9" i="45"/>
  <c r="AH28" i="45"/>
  <c r="BA28" i="45"/>
  <c r="AH37" i="45"/>
  <c r="BA37" i="45"/>
  <c r="AH69" i="45"/>
  <c r="BA69" i="45"/>
  <c r="AH78" i="45"/>
  <c r="AT78" i="45" s="1"/>
  <c r="BB78" i="45" s="1"/>
  <c r="BA78" i="45"/>
  <c r="AH52" i="45"/>
  <c r="BA52" i="45"/>
  <c r="AH42" i="45"/>
  <c r="AH29" i="45"/>
  <c r="BA29" i="45"/>
  <c r="AH11" i="45"/>
  <c r="AT11" i="45" s="1"/>
  <c r="BB11" i="45" s="1"/>
  <c r="BA11" i="45"/>
  <c r="AH35" i="45"/>
  <c r="BA35" i="45"/>
  <c r="AH51" i="45"/>
  <c r="AT51" i="45" s="1"/>
  <c r="BB51" i="45" s="1"/>
  <c r="BA51" i="45"/>
  <c r="AH58" i="45"/>
  <c r="BA58" i="45"/>
  <c r="AH74" i="45"/>
  <c r="AT74" i="45" s="1"/>
  <c r="BB74" i="45" s="1"/>
  <c r="BA74" i="45"/>
  <c r="AH64" i="45"/>
  <c r="AT64" i="45" s="1"/>
  <c r="BB64" i="45" s="1"/>
  <c r="BA64" i="45"/>
  <c r="AH79" i="45"/>
  <c r="AT79" i="45" s="1"/>
  <c r="BB79" i="45" s="1"/>
  <c r="BA79" i="45"/>
  <c r="AH66" i="45"/>
  <c r="BA66" i="45"/>
  <c r="AH47" i="45"/>
  <c r="AT47" i="45" s="1"/>
  <c r="BB47" i="45" s="1"/>
  <c r="BA47" i="45"/>
  <c r="AH39" i="45"/>
  <c r="BA39" i="45"/>
  <c r="AH22" i="45"/>
  <c r="AT22" i="45" s="1"/>
  <c r="BB22" i="45" s="1"/>
  <c r="BA22" i="45"/>
  <c r="AH2" i="45"/>
  <c r="AT2" i="45" s="1"/>
  <c r="BB2" i="45" s="1"/>
  <c r="AS2" i="45"/>
  <c r="BA2" i="4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D4" i="36" l="1"/>
  <c r="BC1" i="36"/>
  <c r="P1" i="36"/>
  <c r="AT3" i="45"/>
  <c r="BB3" i="45" s="1"/>
  <c r="AT31" i="45"/>
  <c r="BB31" i="45" s="1"/>
  <c r="AT56" i="45"/>
  <c r="BB56" i="45" s="1"/>
  <c r="AT61" i="45"/>
  <c r="BB61" i="45" s="1"/>
  <c r="AT30" i="45"/>
  <c r="BB30" i="45" s="1"/>
  <c r="AT40" i="45"/>
  <c r="BB40" i="45" s="1"/>
  <c r="AT62" i="45"/>
  <c r="BB62" i="45" s="1"/>
  <c r="AT5" i="45"/>
  <c r="BB5" i="45" s="1"/>
  <c r="AT34" i="45"/>
  <c r="BB34" i="45" s="1"/>
  <c r="AT48" i="45"/>
  <c r="BB48" i="45" s="1"/>
  <c r="AT52" i="45"/>
  <c r="BB52" i="45" s="1"/>
  <c r="AT69" i="45"/>
  <c r="BB69" i="45" s="1"/>
  <c r="AT28" i="45"/>
  <c r="BB28" i="45" s="1"/>
  <c r="AT36" i="45"/>
  <c r="BB36" i="45" s="1"/>
  <c r="AT75" i="45"/>
  <c r="BB75" i="45" s="1"/>
  <c r="AT39" i="45"/>
  <c r="BB39" i="45" s="1"/>
  <c r="AT66" i="45"/>
  <c r="BB66" i="45" s="1"/>
  <c r="AT58" i="45"/>
  <c r="BB58" i="45" s="1"/>
  <c r="AT35" i="45"/>
  <c r="BB35" i="45" s="1"/>
  <c r="AT29" i="45"/>
  <c r="BB29" i="45" s="1"/>
  <c r="AT27" i="45"/>
  <c r="BB27" i="45" s="1"/>
  <c r="AT42" i="45"/>
  <c r="BB42" i="45" s="1"/>
  <c r="AT37" i="45"/>
  <c r="BB37" i="45" s="1"/>
  <c r="AT9" i="45"/>
  <c r="BB9" i="45" s="1"/>
  <c r="AH7" i="45"/>
  <c r="AT7" i="45" s="1"/>
  <c r="BB7" i="45" s="1"/>
  <c r="BA7" i="45"/>
  <c r="AH21" i="45"/>
  <c r="BA21" i="45"/>
  <c r="AH53" i="45"/>
  <c r="AT53" i="45" s="1"/>
  <c r="BB53" i="45" s="1"/>
  <c r="BA53" i="45"/>
  <c r="AH15" i="45"/>
  <c r="BA15" i="45"/>
  <c r="AH26" i="45"/>
  <c r="AT26" i="45" s="1"/>
  <c r="BB26" i="45" s="1"/>
  <c r="BA26" i="45"/>
  <c r="AH32" i="45"/>
  <c r="BA32" i="45"/>
  <c r="AH24" i="45"/>
  <c r="AT24" i="45" s="1"/>
  <c r="BB24" i="45" s="1"/>
  <c r="BA24" i="45"/>
  <c r="AH77" i="45"/>
  <c r="BA77" i="45"/>
  <c r="AH17" i="45"/>
  <c r="AT17" i="45" s="1"/>
  <c r="BB17" i="45" s="1"/>
  <c r="BA17" i="45"/>
  <c r="AH38" i="45"/>
  <c r="BA38" i="45"/>
  <c r="AH55" i="45"/>
  <c r="AT55" i="45" s="1"/>
  <c r="BB55" i="45" s="1"/>
  <c r="BA55" i="45"/>
  <c r="AH60" i="45"/>
  <c r="BA60" i="45"/>
  <c r="AH18" i="45"/>
  <c r="BA18" i="45"/>
  <c r="AH14" i="45"/>
  <c r="BA14" i="45"/>
  <c r="AH63" i="45"/>
  <c r="BA63" i="45"/>
  <c r="AH13" i="45"/>
  <c r="BA13" i="45"/>
  <c r="AH73" i="45"/>
  <c r="BA73" i="45"/>
  <c r="W1" i="4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AT60" i="45" l="1"/>
  <c r="BB60" i="45" s="1"/>
  <c r="AT38" i="45"/>
  <c r="BB38" i="45" s="1"/>
  <c r="AT77" i="45"/>
  <c r="BB77" i="45" s="1"/>
  <c r="AT32" i="45"/>
  <c r="BB32" i="45" s="1"/>
  <c r="AT15" i="45"/>
  <c r="BB15" i="45" s="1"/>
  <c r="AT21" i="45"/>
  <c r="BB21" i="45" s="1"/>
  <c r="AT13" i="45"/>
  <c r="BB13" i="45" s="1"/>
  <c r="AT14" i="45"/>
  <c r="BB14" i="45" s="1"/>
  <c r="AT73" i="45"/>
  <c r="BB73" i="45" s="1"/>
  <c r="AT63" i="45"/>
  <c r="BB63" i="45" s="1"/>
  <c r="AT18" i="45"/>
  <c r="BB18" i="45" s="1"/>
  <c r="Y1" i="42"/>
  <c r="AU83" i="45" l="1"/>
  <c r="BC83" i="45" s="1"/>
  <c r="CX4" i="37" s="1"/>
  <c r="DA4" i="37" s="1"/>
  <c r="CT1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F12E9C52-76FD-4CA9-AE5C-7C586BC45EC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5C4F7131-68EC-4977-832A-183685C7E16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AA3" authorId="0" shapeId="0" xr:uid="{66EA0A19-9764-47E2-8F33-EC981EDFABB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10" authorId="0" shapeId="0" xr:uid="{D94499E6-C7A5-4AD6-89BD-306710EA60D8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J11" authorId="0" shapeId="0" xr:uid="{35D99200-B2CD-4FA3-9732-A9BED26BA20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20" authorId="0" shapeId="0" xr:uid="{05036D6D-6CBF-4ED9-92AE-210209FE01BC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J25" authorId="0" shapeId="0" xr:uid="{3C9FA291-73B6-48BF-AB1E-54F5EECB78DB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K42" authorId="0" shapeId="0" xr:uid="{D8A3577A-E4F7-4EA9-80CD-DB1A40B7D04E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K44" authorId="0" shapeId="0" xr:uid="{41481231-5B69-4B5B-943D-5D80D2DD5CC2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K45" authorId="0" shapeId="0" xr:uid="{47899761-0218-4A6E-B058-57CE00E2579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K55" authorId="0" shapeId="0" xr:uid="{286D6F94-1D82-47B7-AB81-9BB33ABB8757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J56" authorId="0" shapeId="0" xr:uid="{073F1DBC-5557-4AB3-8350-A575DAD926D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J58" authorId="0" shapeId="0" xr:uid="{9A69C9C1-2D31-4E95-8906-976604C7E225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K58" authorId="0" shapeId="0" xr:uid="{6EC35C56-995B-4971-83D6-AB32E2A8908F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J60" authorId="0" shapeId="0" xr:uid="{1D5C9CA0-5AF0-43B6-9C8B-0D94EE99296A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J63" authorId="0" shapeId="0" xr:uid="{333E2950-1EFA-4902-9027-E160EA113A96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8" authorId="0" shapeId="0" xr:uid="{7E8B78E8-A151-4BD4-8434-96977E93524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81" authorId="0" shapeId="0" xr:uid="{DC9284C7-B517-476D-B3A8-A5397CF143FD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5" authorId="0" shapeId="0" xr:uid="{FD282C1D-7D1D-4317-BAFB-17001775B3A1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X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O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P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O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P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P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<sst xmlns="http://schemas.openxmlformats.org/spreadsheetml/2006/main" count="1591" uniqueCount="580">
  <si>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</si>
  <si>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</si>
  <si>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</si>
  <si>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</si>
  <si>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</si>
  <si>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</si>
  <si>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</si>
  <si>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</si>
  <si>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</si>
  <si>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</si>
  <si>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</si>
  <si>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</si>
  <si>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</si>
  <si>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</si>
  <si>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</si>
  <si>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</si>
  <si>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</si>
  <si>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</si>
  <si>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</si>
  <si>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</si>
  <si>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</si>
  <si>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</si>
  <si>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</si>
  <si>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</si>
  <si>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</si>
  <si>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</si>
  <si>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</si>
  <si>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</si>
  <si>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</si>
  <si>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</si>
  <si>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</si>
  <si>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</si>
  <si>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</si>
  <si>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</si>
  <si>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</si>
  <si>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</si>
  <si>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</si>
  <si>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</si>
  <si>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</si>
  <si>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</si>
  <si>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</si>
  <si>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</si>
  <si>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</si>
  <si>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</si>
  <si>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</si>
  <si>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</si>
  <si>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</si>
  <si>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</si>
  <si>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</si>
  <si>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</si>
  <si>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</si>
  <si>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</si>
  <si>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</si>
  <si>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</si>
  <si>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</si>
  <si>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</si>
  <si>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</si>
  <si>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</si>
  <si>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</si>
  <si>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</si>
  <si>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</si>
  <si>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</si>
  <si>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</si>
  <si>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</si>
  <si>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</si>
  <si>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</si>
  <si>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</si>
  <si>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</si>
  <si>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</si>
  <si>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</si>
  <si>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</si>
  <si>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</si>
  <si>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</si>
  <si>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</si>
  <si>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</si>
  <si>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</si>
  <si>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</si>
  <si>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</si>
  <si>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</si>
  <si>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</si>
  <si>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</si>
  <si>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</si>
  <si>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</si>
  <si>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</si>
  <si>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</si>
  <si>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</si>
  <si>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</si>
  <si>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</si>
  <si>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</si>
  <si>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</si>
  <si>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</si>
  <si>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</si>
  <si>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</si>
  <si>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</si>
  <si>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</si>
  <si>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</si>
  <si>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</si>
  <si>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</si>
  <si>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</si>
  <si>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</si>
  <si>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</si>
  <si>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</si>
  <si>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</si>
  <si>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</si>
  <si>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</si>
  <si>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</si>
  <si>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</si>
  <si>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</si>
  <si>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</si>
  <si>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</si>
  <si>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</si>
  <si>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</si>
  <si>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</si>
  <si>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</si>
  <si>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</si>
  <si>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</si>
  <si>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</si>
  <si>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</si>
  <si>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</si>
  <si>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</si>
  <si>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</si>
  <si>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</si>
  <si>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</si>
  <si>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</si>
  <si>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</si>
  <si>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</si>
  <si>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</si>
  <si>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</si>
  <si>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</si>
  <si>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</si>
  <si>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</si>
  <si>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</si>
  <si>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</si>
  <si>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</si>
  <si>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</si>
  <si>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</si>
  <si>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</si>
  <si>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</si>
  <si>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</si>
  <si>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</si>
  <si>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</si>
  <si>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</si>
  <si>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</si>
  <si>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</si>
  <si>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</si>
  <si>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</si>
  <si>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</si>
  <si>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</si>
  <si>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</si>
  <si>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</si>
  <si>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</si>
  <si>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</si>
  <si>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</si>
  <si>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</si>
  <si>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</si>
  <si>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</si>
  <si>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</si>
  <si>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</si>
  <si>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</si>
  <si>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</si>
  <si>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</si>
  <si>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</si>
  <si>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</si>
  <si>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</si>
  <si>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</si>
  <si>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</si>
  <si>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</si>
  <si>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</si>
  <si>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</si>
  <si>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</si>
  <si>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</si>
  <si>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</si>
  <si>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</si>
  <si>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</si>
  <si>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</si>
  <si>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</si>
  <si>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</si>
  <si>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</si>
  <si>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</si>
  <si>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</si>
  <si>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</si>
  <si>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</si>
  <si>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</si>
  <si>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</si>
  <si>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</si>
  <si>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</si>
  <si>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</si>
  <si>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</si>
  <si>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</si>
  <si>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</si>
  <si>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</si>
  <si>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</si>
  <si>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</si>
  <si>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</si>
  <si>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</si>
  <si>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</si>
  <si>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</si>
  <si>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</si>
  <si>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</si>
  <si>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</si>
  <si>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</si>
  <si>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</si>
  <si>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</si>
  <si>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</si>
  <si>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</si>
  <si>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</si>
  <si>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</si>
  <si>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</si>
  <si>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</si>
  <si>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</si>
  <si>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</si>
  <si>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</si>
  <si>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</si>
  <si>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</si>
  <si>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</si>
  <si>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</si>
  <si>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</si>
  <si>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</si>
  <si>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</si>
  <si>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</si>
  <si>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</si>
  <si>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</si>
  <si>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</si>
  <si>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</si>
  <si>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</si>
  <si>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</si>
  <si>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</si>
  <si>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</si>
  <si>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</si>
  <si>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</si>
  <si>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</si>
  <si>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</si>
  <si>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</si>
  <si>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</si>
  <si>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</si>
  <si>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</si>
  <si>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</si>
  <si>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</si>
  <si>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</si>
  <si>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</si>
  <si>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</si>
  <si>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</si>
  <si>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</si>
  <si>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</si>
  <si>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</si>
  <si>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</si>
  <si>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</si>
  <si>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</si>
  <si>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</si>
  <si>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</si>
  <si>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</si>
  <si>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</si>
  <si>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</si>
  <si>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</si>
  <si>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</si>
  <si>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</si>
  <si>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</si>
  <si>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</si>
  <si>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</si>
  <si>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</si>
  <si>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</si>
  <si>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</si>
  <si>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</si>
  <si>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</si>
  <si>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</si>
  <si>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</si>
  <si>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</si>
  <si>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</si>
  <si>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</si>
  <si>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</si>
  <si>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</si>
  <si>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</si>
  <si>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</si>
  <si>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</si>
  <si>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</si>
  <si>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</si>
  <si>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</si>
  <si>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</si>
  <si>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</si>
  <si>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</si>
  <si>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</si>
  <si>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</si>
  <si>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</si>
  <si>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</si>
  <si>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</si>
  <si>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</si>
  <si>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</si>
  <si>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</si>
  <si>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</si>
  <si>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</si>
  <si>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</si>
  <si>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</si>
  <si>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</si>
  <si>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</si>
  <si>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</si>
  <si>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</si>
  <si>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</si>
  <si>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</si>
  <si>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</si>
  <si>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</si>
  <si>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</si>
  <si>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</si>
  <si>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</si>
  <si>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</si>
  <si>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</si>
  <si>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</si>
  <si>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</si>
  <si>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</si>
  <si>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</si>
  <si>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</si>
  <si>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</si>
  <si>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</si>
  <si>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</si>
  <si>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</si>
  <si>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</si>
  <si>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</si>
  <si>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</si>
  <si>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</si>
  <si>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</si>
  <si>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</si>
  <si>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</si>
  <si>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</si>
  <si>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</si>
  <si>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</si>
  <si>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</si>
  <si>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</si>
  <si>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</si>
  <si>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</si>
  <si>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</si>
  <si>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</si>
  <si>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</si>
  <si>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</si>
  <si>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</si>
  <si>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</si>
  <si>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</si>
  <si>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</si>
  <si>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</si>
  <si>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</si>
  <si>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</si>
  <si>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</si>
  <si>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</si>
  <si>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</si>
  <si>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</si>
  <si>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</si>
  <si>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</si>
  <si>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</si>
  <si>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</si>
  <si>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</si>
  <si>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</si>
  <si>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</si>
  <si>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</si>
  <si>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</si>
  <si>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</si>
  <si>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</si>
  <si>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</si>
  <si>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</si>
  <si>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</si>
  <si>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</si>
  <si>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</si>
  <si>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</si>
  <si>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</si>
  <si>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</si>
  <si>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</si>
  <si>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</si>
  <si>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</si>
  <si>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</si>
  <si>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</si>
  <si>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</si>
  <si>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</si>
  <si>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</si>
  <si>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</si>
  <si>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</si>
  <si>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</si>
  <si>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</si>
  <si>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</si>
  <si>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</si>
  <si>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</si>
  <si>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</si>
  <si>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</si>
  <si>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</si>
  <si>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</si>
  <si>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</si>
  <si>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</si>
  <si>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</si>
  <si>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</si>
  <si>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</si>
  <si>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</si>
  <si>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</si>
  <si>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</si>
  <si>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</si>
  <si>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</si>
  <si>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</si>
  <si>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</si>
  <si>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</si>
  <si>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</si>
  <si>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</si>
  <si>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</si>
  <si>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</si>
  <si>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</si>
  <si>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</si>
  <si>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</si>
  <si>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</si>
  <si>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</si>
  <si>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</si>
  <si>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</si>
  <si>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</si>
  <si>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</si>
  <si>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</si>
  <si>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</si>
  <si>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</si>
  <si>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</si>
  <si>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</si>
  <si>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</si>
  <si>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</si>
  <si>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</si>
  <si>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</si>
  <si>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</si>
  <si>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</si>
  <si>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</si>
  <si>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</si>
  <si>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</si>
  <si>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</si>
  <si>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</si>
  <si>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</si>
  <si>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</si>
  <si>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</si>
  <si>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</si>
  <si>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</si>
  <si>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</si>
  <si>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</si>
  <si>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</si>
  <si>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</si>
  <si>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</si>
  <si>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</si>
  <si>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</si>
  <si>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</si>
  <si>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</si>
  <si>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</si>
  <si>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</si>
  <si>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</si>
  <si>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</si>
  <si>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</si>
  <si>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</si>
  <si>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</si>
  <si>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</si>
  <si>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</si>
  <si>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</si>
  <si>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</si>
  <si>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</si>
  <si>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</si>
  <si>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</si>
  <si>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</si>
  <si>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</si>
  <si>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</si>
  <si>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</si>
  <si>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</si>
  <si>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</si>
  <si>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</si>
  <si>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</si>
  <si>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</si>
  <si>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</si>
  <si>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</si>
  <si>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</si>
  <si>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</si>
  <si>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</si>
  <si>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</si>
  <si>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</si>
  <si>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</si>
  <si>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</si>
  <si>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</si>
  <si>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</si>
  <si>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</si>
  <si>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</si>
  <si>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</si>
  <si>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</si>
  <si>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</si>
  <si>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</si>
  <si>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</si>
  <si>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</si>
  <si>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</si>
  <si>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</si>
  <si>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</si>
  <si>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</si>
  <si>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</si>
  <si>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</si>
  <si>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</si>
  <si>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</si>
  <si>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</si>
  <si>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</si>
  <si>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</si>
  <si>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</si>
  <si>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</si>
  <si>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</si>
  <si>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</si>
  <si>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</si>
  <si>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</si>
  <si>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</si>
  <si>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</si>
  <si>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</si>
  <si>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</si>
  <si>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</si>
  <si>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</si>
  <si>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</si>
  <si>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</si>
  <si>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</si>
  <si>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</si>
  <si>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</si>
  <si>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</si>
  <si>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</si>
  <si>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</si>
  <si>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</si>
  <si>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</si>
  <si>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</si>
  <si>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</si>
  <si>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</si>
  <si>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</si>
  <si>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</si>
  <si>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</si>
  <si>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</si>
  <si>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</si>
  <si>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</si>
  <si>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</si>
  <si>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</si>
  <si>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</si>
  <si>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</si>
  <si>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</si>
  <si>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</si>
  <si>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</si>
  <si>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</si>
  <si>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</si>
  <si>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</si>
  <si>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</si>
  <si>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</si>
  <si>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</si>
  <si>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</si>
  <si>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</si>
  <si>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</si>
  <si>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</si>
  <si>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</si>
  <si>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</si>
  <si>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</si>
  <si>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</si>
  <si>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</si>
  <si>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</si>
  <si>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</si>
  <si>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</si>
  <si>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</si>
  <si>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</si>
  <si>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</si>
  <si>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</si>
  <si>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</si>
  <si>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</si>
  <si>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</si>
  <si>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</si>
  <si>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</si>
  <si>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</si>
  <si>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e share in Eb</t>
  </si>
  <si>
    <t>Kr as Eb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</si>
  <si>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</si>
  <si>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</si>
  <si>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</si>
  <si>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</si>
  <si>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</si>
  <si>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</si>
  <si>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</si>
  <si>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</si>
  <si>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</si>
  <si>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</si>
  <si>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</si>
  <si>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</si>
  <si>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</si>
  <si>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</si>
  <si>
    <t>PN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</si>
  <si>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A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</si>
  <si>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 xml:space="preserve">B </t>
    </r>
    <r>
      <rPr>
        <b/>
        <sz val="11"/>
        <color theme="1"/>
        <rFont val="Calibri"/>
        <family val="2"/>
        <charset val="238"/>
        <scheme val="minor"/>
      </rPr>
      <t>[u]</t>
    </r>
  </si>
  <si>
    <r>
      <t>SO</t>
    </r>
    <r>
      <rPr>
        <b/>
        <vertAlign val="subscript"/>
        <sz val="10"/>
        <rFont val="Calibri"/>
        <family val="2"/>
        <scheme val="minor"/>
      </rPr>
      <t>3</t>
    </r>
  </si>
  <si>
    <t>NaF</t>
  </si>
  <si>
    <t>LiCl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</si>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</sst>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0000000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color rgb="FF000000"/>
      <name val="Calibri"/>
      <family val="2"/>
      <charset val="238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7" fillId="2" borderId="1" applyNumberFormat="0" applyAlignment="0" applyProtection="0"/>
    <xf numFmtId="0" fontId="4" fillId="0" borderId="0"/>
  </cellStyleXfs>
  <cellXfs count="573">
    <xf numFmtId="0" fontId="0" fillId="0" borderId="0" xfId="0"/>
    <xf numFmtId="0" fontId="12" fillId="0" borderId="0" xfId="0" applyFont="1" applyFill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 wrapText="1"/>
    </xf>
    <xf numFmtId="0" fontId="13" fillId="4" borderId="8" xfId="1" applyFont="1" applyFill="1" applyBorder="1" applyAlignment="1">
      <alignment horizontal="center" vertical="center"/>
    </xf>
    <xf numFmtId="0" fontId="8" fillId="5" borderId="3" xfId="1" applyFont="1" applyFill="1" applyBorder="1" applyAlignment="1">
      <alignment horizontal="center" vertical="center" wrapText="1"/>
    </xf>
    <xf numFmtId="0" fontId="8" fillId="5" borderId="2" xfId="0" applyNumberFormat="1" applyFont="1" applyFill="1" applyBorder="1" applyAlignment="1">
      <alignment horizontal="center" vertical="center"/>
    </xf>
    <xf numFmtId="0" fontId="16" fillId="5" borderId="2" xfId="1" applyFont="1" applyFill="1" applyBorder="1" applyAlignment="1">
      <alignment horizontal="center" vertical="center" wrapText="1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2" xfId="1" applyFont="1" applyFill="1" applyBorder="1" applyAlignment="1">
      <alignment horizontal="center" vertical="center" wrapText="1"/>
    </xf>
    <xf numFmtId="164" fontId="6" fillId="3" borderId="4" xfId="0" applyNumberFormat="1" applyFont="1" applyFill="1" applyBorder="1" applyAlignment="1">
      <alignment horizontal="center" vertical="center"/>
    </xf>
    <xf numFmtId="2" fontId="6" fillId="3" borderId="4" xfId="0" applyNumberFormat="1" applyFont="1" applyFill="1" applyBorder="1" applyAlignment="1">
      <alignment horizontal="center" vertical="center"/>
    </xf>
    <xf numFmtId="0" fontId="8" fillId="5" borderId="10" xfId="1" applyFont="1" applyFill="1" applyBorder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8" fillId="3" borderId="2" xfId="1" quotePrefix="1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vertical="center"/>
    </xf>
    <xf numFmtId="0" fontId="8" fillId="4" borderId="17" xfId="0" applyFont="1" applyFill="1" applyBorder="1" applyAlignment="1">
      <alignment vertical="center"/>
    </xf>
    <xf numFmtId="0" fontId="12" fillId="3" borderId="0" xfId="0" applyNumberFormat="1" applyFont="1" applyFill="1" applyAlignment="1">
      <alignment horizontal="center" vertical="center"/>
    </xf>
    <xf numFmtId="164" fontId="6" fillId="0" borderId="22" xfId="0" applyNumberFormat="1" applyFont="1" applyBorder="1" applyAlignment="1">
      <alignment horizontal="center" vertical="center"/>
    </xf>
    <xf numFmtId="1" fontId="6" fillId="0" borderId="22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64" fontId="6" fillId="3" borderId="22" xfId="0" applyNumberFormat="1" applyFont="1" applyFill="1" applyBorder="1" applyAlignment="1">
      <alignment horizontal="center" vertical="center"/>
    </xf>
    <xf numFmtId="2" fontId="6" fillId="3" borderId="22" xfId="0" applyNumberFormat="1" applyFont="1" applyFill="1" applyBorder="1" applyAlignment="1">
      <alignment horizontal="center" vertical="center"/>
    </xf>
    <xf numFmtId="165" fontId="6" fillId="0" borderId="22" xfId="0" applyNumberFormat="1" applyFont="1" applyBorder="1" applyAlignment="1">
      <alignment horizontal="center" vertical="center"/>
    </xf>
    <xf numFmtId="164" fontId="6" fillId="0" borderId="24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2" fontId="6" fillId="0" borderId="24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center" vertical="center"/>
    </xf>
    <xf numFmtId="2" fontId="6" fillId="3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Border="1" applyAlignment="1">
      <alignment horizontal="center" vertical="center"/>
    </xf>
    <xf numFmtId="2" fontId="6" fillId="0" borderId="25" xfId="0" applyNumberFormat="1" applyFont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164" fontId="6" fillId="0" borderId="24" xfId="0" applyNumberFormat="1" applyFont="1" applyFill="1" applyBorder="1" applyAlignment="1">
      <alignment horizontal="center" vertical="center"/>
    </xf>
    <xf numFmtId="1" fontId="6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165" fontId="6" fillId="0" borderId="24" xfId="0" applyNumberFormat="1" applyFont="1" applyFill="1" applyBorder="1" applyAlignment="1">
      <alignment horizontal="center" vertical="center"/>
    </xf>
    <xf numFmtId="2" fontId="6" fillId="0" borderId="25" xfId="0" applyNumberFormat="1" applyFont="1" applyFill="1" applyBorder="1" applyAlignment="1">
      <alignment horizontal="center" vertical="center"/>
    </xf>
    <xf numFmtId="164" fontId="6" fillId="0" borderId="26" xfId="0" applyNumberFormat="1" applyFont="1" applyFill="1" applyBorder="1" applyAlignment="1">
      <alignment horizontal="center" vertical="center"/>
    </xf>
    <xf numFmtId="1" fontId="6" fillId="0" borderId="26" xfId="0" applyNumberFormat="1" applyFont="1" applyFill="1" applyBorder="1" applyAlignment="1">
      <alignment horizontal="center" vertical="center"/>
    </xf>
    <xf numFmtId="2" fontId="6" fillId="0" borderId="26" xfId="0" applyNumberFormat="1" applyFont="1" applyFill="1" applyBorder="1" applyAlignment="1">
      <alignment horizontal="center" vertical="center"/>
    </xf>
    <xf numFmtId="164" fontId="6" fillId="3" borderId="26" xfId="0" applyNumberFormat="1" applyFont="1" applyFill="1" applyBorder="1" applyAlignment="1">
      <alignment horizontal="center" vertical="center"/>
    </xf>
    <xf numFmtId="2" fontId="6" fillId="3" borderId="26" xfId="0" applyNumberFormat="1" applyFont="1" applyFill="1" applyBorder="1" applyAlignment="1">
      <alignment horizontal="center" vertical="center"/>
    </xf>
    <xf numFmtId="165" fontId="6" fillId="0" borderId="26" xfId="0" applyNumberFormat="1" applyFont="1" applyFill="1" applyBorder="1" applyAlignment="1">
      <alignment horizontal="center" vertical="center"/>
    </xf>
    <xf numFmtId="2" fontId="6" fillId="0" borderId="27" xfId="0" applyNumberFormat="1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2" fontId="6" fillId="6" borderId="24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6" fillId="6" borderId="2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5" borderId="24" xfId="0" applyNumberFormat="1" applyFont="1" applyFill="1" applyBorder="1" applyAlignment="1">
      <alignment horizontal="center" vertical="center"/>
    </xf>
    <xf numFmtId="1" fontId="6" fillId="5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164" fontId="6" fillId="5" borderId="4" xfId="0" applyNumberFormat="1" applyFont="1" applyFill="1" applyBorder="1" applyAlignment="1">
      <alignment horizontal="center" vertical="center"/>
    </xf>
    <xf numFmtId="1" fontId="6" fillId="5" borderId="4" xfId="0" applyNumberFormat="1" applyFont="1" applyFill="1" applyBorder="1" applyAlignment="1">
      <alignment horizontal="center" vertical="center"/>
    </xf>
    <xf numFmtId="164" fontId="6" fillId="0" borderId="4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64" fontId="6" fillId="5" borderId="32" xfId="0" applyNumberFormat="1" applyFont="1" applyFill="1" applyBorder="1" applyAlignment="1">
      <alignment horizontal="center" vertical="center"/>
    </xf>
    <xf numFmtId="1" fontId="6" fillId="5" borderId="32" xfId="0" applyNumberFormat="1" applyFont="1" applyFill="1" applyBorder="1" applyAlignment="1">
      <alignment horizontal="center" vertical="center"/>
    </xf>
    <xf numFmtId="164" fontId="6" fillId="0" borderId="32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164" fontId="6" fillId="3" borderId="32" xfId="0" applyNumberFormat="1" applyFont="1" applyFill="1" applyBorder="1" applyAlignment="1">
      <alignment horizontal="center" vertical="center"/>
    </xf>
    <xf numFmtId="2" fontId="6" fillId="3" borderId="32" xfId="0" applyNumberFormat="1" applyFont="1" applyFill="1" applyBorder="1" applyAlignment="1">
      <alignment horizontal="center" vertical="center"/>
    </xf>
    <xf numFmtId="165" fontId="6" fillId="0" borderId="32" xfId="0" applyNumberFormat="1" applyFont="1" applyFill="1" applyBorder="1" applyAlignment="1">
      <alignment horizontal="center" vertical="center"/>
    </xf>
    <xf numFmtId="0" fontId="25" fillId="0" borderId="3" xfId="0" applyFont="1" applyFill="1" applyBorder="1" applyAlignment="1">
      <alignment horizontal="center" vertical="center"/>
    </xf>
    <xf numFmtId="0" fontId="25" fillId="8" borderId="8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Fill="1" applyBorder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167" fontId="27" fillId="0" borderId="6" xfId="0" applyNumberFormat="1" applyFont="1" applyFill="1" applyBorder="1" applyAlignment="1">
      <alignment horizontal="center" vertical="center"/>
    </xf>
    <xf numFmtId="0" fontId="25" fillId="9" borderId="0" xfId="0" applyNumberFormat="1" applyFont="1" applyFill="1" applyBorder="1" applyAlignment="1">
      <alignment horizontal="center" vertical="center"/>
    </xf>
    <xf numFmtId="0" fontId="25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67" fontId="27" fillId="0" borderId="34" xfId="0" applyNumberFormat="1" applyFont="1" applyFill="1" applyBorder="1" applyAlignment="1">
      <alignment horizontal="center" vertical="center"/>
    </xf>
    <xf numFmtId="0" fontId="25" fillId="9" borderId="35" xfId="0" applyNumberFormat="1" applyFont="1" applyFill="1" applyBorder="1" applyAlignment="1">
      <alignment horizontal="center" vertical="center"/>
    </xf>
    <xf numFmtId="0" fontId="25" fillId="8" borderId="36" xfId="0" applyNumberFormat="1" applyFont="1" applyFill="1" applyBorder="1" applyAlignment="1">
      <alignment horizontal="center" vertical="center"/>
    </xf>
    <xf numFmtId="0" fontId="25" fillId="0" borderId="36" xfId="0" applyNumberFormat="1" applyFont="1" applyBorder="1" applyAlignment="1">
      <alignment horizontal="center" vertical="center"/>
    </xf>
    <xf numFmtId="0" fontId="25" fillId="8" borderId="37" xfId="0" applyNumberFormat="1" applyFont="1" applyFill="1" applyBorder="1" applyAlignment="1">
      <alignment horizontal="center" vertical="center"/>
    </xf>
    <xf numFmtId="0" fontId="25" fillId="8" borderId="38" xfId="0" applyNumberFormat="1" applyFont="1" applyFill="1" applyBorder="1" applyAlignment="1">
      <alignment horizontal="center" vertical="center"/>
    </xf>
    <xf numFmtId="0" fontId="25" fillId="8" borderId="33" xfId="0" applyNumberFormat="1" applyFont="1" applyFill="1" applyBorder="1" applyAlignment="1">
      <alignment horizontal="center" vertical="center"/>
    </xf>
    <xf numFmtId="0" fontId="27" fillId="0" borderId="20" xfId="0" applyFont="1" applyFill="1" applyBorder="1" applyAlignment="1">
      <alignment horizontal="center" vertical="center"/>
    </xf>
    <xf numFmtId="167" fontId="27" fillId="0" borderId="20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9" borderId="36" xfId="0" applyNumberFormat="1" applyFont="1" applyFill="1" applyBorder="1" applyAlignment="1">
      <alignment horizontal="center" vertical="center"/>
    </xf>
    <xf numFmtId="0" fontId="8" fillId="8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5" fillId="9" borderId="33" xfId="0" applyNumberFormat="1" applyFont="1" applyFill="1" applyBorder="1" applyAlignment="1">
      <alignment horizontal="center" vertical="center"/>
    </xf>
    <xf numFmtId="0" fontId="25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7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167" fontId="28" fillId="0" borderId="19" xfId="0" applyNumberFormat="1" applyFont="1" applyFill="1" applyBorder="1" applyAlignment="1">
      <alignment horizontal="center" vertical="center"/>
    </xf>
    <xf numFmtId="167" fontId="28" fillId="0" borderId="41" xfId="0" applyNumberFormat="1" applyFont="1" applyFill="1" applyBorder="1" applyAlignment="1">
      <alignment horizontal="center" vertical="center"/>
    </xf>
    <xf numFmtId="0" fontId="28" fillId="0" borderId="22" xfId="0" applyNumberFormat="1" applyFont="1" applyFill="1" applyBorder="1" applyAlignment="1">
      <alignment horizontal="center" vertical="center"/>
    </xf>
    <xf numFmtId="0" fontId="28" fillId="8" borderId="22" xfId="0" applyNumberFormat="1" applyFont="1" applyFill="1" applyBorder="1" applyAlignment="1">
      <alignment horizontal="center" vertical="center"/>
    </xf>
    <xf numFmtId="0" fontId="28" fillId="0" borderId="44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5" fillId="0" borderId="24" xfId="0" applyNumberFormat="1" applyFont="1" applyFill="1" applyBorder="1" applyAlignment="1">
      <alignment horizontal="center" vertical="center"/>
    </xf>
    <xf numFmtId="0" fontId="25" fillId="8" borderId="24" xfId="0" applyNumberFormat="1" applyFont="1" applyFill="1" applyBorder="1" applyAlignment="1">
      <alignment horizontal="center" vertical="center"/>
    </xf>
    <xf numFmtId="0" fontId="25" fillId="0" borderId="47" xfId="0" applyNumberFormat="1" applyFont="1" applyFill="1" applyBorder="1" applyAlignment="1">
      <alignment horizontal="center" vertical="center"/>
    </xf>
    <xf numFmtId="0" fontId="25" fillId="0" borderId="13" xfId="0" applyNumberFormat="1" applyFont="1" applyFill="1" applyBorder="1" applyAlignment="1">
      <alignment horizontal="center" vertical="center"/>
    </xf>
    <xf numFmtId="0" fontId="25" fillId="8" borderId="13" xfId="0" applyNumberFormat="1" applyFont="1" applyFill="1" applyBorder="1" applyAlignment="1">
      <alignment horizontal="center" vertical="center"/>
    </xf>
    <xf numFmtId="0" fontId="25" fillId="0" borderId="37" xfId="0" applyNumberFormat="1" applyFont="1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/>
    </xf>
    <xf numFmtId="167" fontId="28" fillId="0" borderId="16" xfId="0" applyNumberFormat="1" applyFont="1" applyFill="1" applyBorder="1" applyAlignment="1">
      <alignment horizontal="center" vertical="center"/>
    </xf>
    <xf numFmtId="167" fontId="28" fillId="0" borderId="50" xfId="0" applyNumberFormat="1" applyFont="1" applyFill="1" applyBorder="1" applyAlignment="1">
      <alignment horizontal="center" vertical="center"/>
    </xf>
    <xf numFmtId="0" fontId="28" fillId="0" borderId="14" xfId="0" applyNumberFormat="1" applyFont="1" applyFill="1" applyBorder="1" applyAlignment="1">
      <alignment horizontal="center" vertical="center"/>
    </xf>
    <xf numFmtId="0" fontId="28" fillId="8" borderId="14" xfId="0" applyNumberFormat="1" applyFont="1" applyFill="1" applyBorder="1" applyAlignment="1">
      <alignment horizontal="center" vertical="center"/>
    </xf>
    <xf numFmtId="0" fontId="28" fillId="0" borderId="52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0" borderId="4" xfId="0" applyNumberFormat="1" applyFont="1" applyFill="1" applyBorder="1" applyAlignment="1">
      <alignment horizontal="center" vertical="center"/>
    </xf>
    <xf numFmtId="0" fontId="25" fillId="8" borderId="4" xfId="0" applyNumberFormat="1" applyFont="1" applyFill="1" applyBorder="1" applyAlignment="1">
      <alignment horizontal="center" vertical="center"/>
    </xf>
    <xf numFmtId="0" fontId="25" fillId="0" borderId="54" xfId="0" applyNumberFormat="1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vertical="center"/>
    </xf>
    <xf numFmtId="0" fontId="28" fillId="8" borderId="15" xfId="0" applyNumberFormat="1" applyFont="1" applyFill="1" applyBorder="1" applyAlignment="1">
      <alignment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167" fontId="28" fillId="0" borderId="28" xfId="0" applyNumberFormat="1" applyFont="1" applyFill="1" applyBorder="1" applyAlignment="1">
      <alignment horizontal="center" vertical="center"/>
    </xf>
    <xf numFmtId="0" fontId="28" fillId="0" borderId="24" xfId="0" applyNumberFormat="1" applyFont="1" applyFill="1" applyBorder="1" applyAlignment="1">
      <alignment horizontal="center" vertical="center"/>
    </xf>
    <xf numFmtId="0" fontId="28" fillId="8" borderId="24" xfId="0" applyNumberFormat="1" applyFont="1" applyFill="1" applyBorder="1" applyAlignment="1">
      <alignment horizontal="center" vertical="center"/>
    </xf>
    <xf numFmtId="0" fontId="28" fillId="0" borderId="47" xfId="0" applyNumberFormat="1" applyFont="1" applyFill="1" applyBorder="1" applyAlignment="1">
      <alignment horizontal="center" vertical="center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167" fontId="28" fillId="0" borderId="53" xfId="0" applyNumberFormat="1" applyFont="1" applyFill="1" applyBorder="1" applyAlignment="1">
      <alignment horizontal="center" vertical="center"/>
    </xf>
    <xf numFmtId="0" fontId="28" fillId="0" borderId="4" xfId="0" applyNumberFormat="1" applyFont="1" applyFill="1" applyBorder="1" applyAlignment="1">
      <alignment horizontal="center" vertical="center"/>
    </xf>
    <xf numFmtId="0" fontId="28" fillId="8" borderId="4" xfId="0" applyNumberFormat="1" applyFont="1" applyFill="1" applyBorder="1" applyAlignment="1">
      <alignment horizontal="center" vertical="center"/>
    </xf>
    <xf numFmtId="0" fontId="28" fillId="0" borderId="54" xfId="0" applyNumberFormat="1" applyFont="1" applyFill="1" applyBorder="1" applyAlignment="1">
      <alignment horizontal="center" vertical="center"/>
    </xf>
    <xf numFmtId="0" fontId="25" fillId="8" borderId="29" xfId="0" applyNumberFormat="1" applyFont="1" applyFill="1" applyBorder="1" applyAlignment="1">
      <alignment horizontal="center" vertical="center"/>
    </xf>
    <xf numFmtId="0" fontId="25" fillId="8" borderId="56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8" fillId="8" borderId="59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0" fontId="25" fillId="8" borderId="59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5" fillId="10" borderId="13" xfId="0" applyNumberFormat="1" applyFont="1" applyFill="1" applyBorder="1" applyAlignment="1">
      <alignment horizontal="center" vertical="center"/>
    </xf>
    <xf numFmtId="0" fontId="25" fillId="10" borderId="24" xfId="0" applyNumberFormat="1" applyFont="1" applyFill="1" applyBorder="1" applyAlignment="1">
      <alignment horizontal="center" vertical="center"/>
    </xf>
    <xf numFmtId="167" fontId="27" fillId="0" borderId="21" xfId="0" applyNumberFormat="1" applyFont="1" applyFill="1" applyBorder="1" applyAlignment="1">
      <alignment horizontal="center" vertical="center"/>
    </xf>
    <xf numFmtId="0" fontId="25" fillId="0" borderId="32" xfId="0" applyNumberFormat="1" applyFont="1" applyFill="1" applyBorder="1" applyAlignment="1">
      <alignment horizontal="center" vertical="center"/>
    </xf>
    <xf numFmtId="0" fontId="25" fillId="8" borderId="32" xfId="0" applyNumberFormat="1" applyFont="1" applyFill="1" applyBorder="1" applyAlignment="1">
      <alignment horizontal="center" vertical="center"/>
    </xf>
    <xf numFmtId="0" fontId="25" fillId="0" borderId="63" xfId="0" applyNumberFormat="1" applyFont="1" applyFill="1" applyBorder="1" applyAlignment="1">
      <alignment horizontal="center" vertical="center"/>
    </xf>
    <xf numFmtId="0" fontId="28" fillId="11" borderId="4" xfId="0" applyNumberFormat="1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164" fontId="25" fillId="0" borderId="2" xfId="0" applyNumberFormat="1" applyFont="1" applyFill="1" applyBorder="1" applyAlignment="1">
      <alignment horizontal="center" vertical="center"/>
    </xf>
    <xf numFmtId="164" fontId="25" fillId="8" borderId="2" xfId="0" applyNumberFormat="1" applyFont="1" applyFill="1" applyBorder="1" applyAlignment="1">
      <alignment horizontal="center" vertical="center"/>
    </xf>
    <xf numFmtId="164" fontId="25" fillId="0" borderId="40" xfId="0" applyNumberFormat="1" applyFont="1" applyFill="1" applyBorder="1" applyAlignment="1">
      <alignment horizontal="center" vertical="center"/>
    </xf>
    <xf numFmtId="164" fontId="28" fillId="0" borderId="22" xfId="0" applyNumberFormat="1" applyFont="1" applyFill="1" applyBorder="1" applyAlignment="1">
      <alignment horizontal="center" vertical="center"/>
    </xf>
    <xf numFmtId="164" fontId="28" fillId="8" borderId="22" xfId="0" applyNumberFormat="1" applyFont="1" applyFill="1" applyBorder="1" applyAlignment="1">
      <alignment horizontal="center" vertical="center"/>
    </xf>
    <xf numFmtId="164" fontId="28" fillId="0" borderId="44" xfId="0" applyNumberFormat="1" applyFont="1" applyFill="1" applyBorder="1" applyAlignment="1">
      <alignment horizontal="center" vertical="center"/>
    </xf>
    <xf numFmtId="164" fontId="25" fillId="0" borderId="24" xfId="0" applyNumberFormat="1" applyFont="1" applyFill="1" applyBorder="1" applyAlignment="1">
      <alignment horizontal="center" vertical="center"/>
    </xf>
    <xf numFmtId="164" fontId="25" fillId="8" borderId="24" xfId="0" applyNumberFormat="1" applyFont="1" applyFill="1" applyBorder="1" applyAlignment="1">
      <alignment horizontal="center" vertical="center"/>
    </xf>
    <xf numFmtId="164" fontId="25" fillId="0" borderId="47" xfId="0" applyNumberFormat="1" applyFont="1" applyFill="1" applyBorder="1" applyAlignment="1">
      <alignment horizontal="center" vertical="center"/>
    </xf>
    <xf numFmtId="164" fontId="25" fillId="0" borderId="13" xfId="0" applyNumberFormat="1" applyFont="1" applyFill="1" applyBorder="1" applyAlignment="1">
      <alignment horizontal="center" vertical="center"/>
    </xf>
    <xf numFmtId="164" fontId="25" fillId="8" borderId="13" xfId="0" applyNumberFormat="1" applyFont="1" applyFill="1" applyBorder="1" applyAlignment="1">
      <alignment horizontal="center" vertical="center"/>
    </xf>
    <xf numFmtId="164" fontId="25" fillId="0" borderId="37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8" fillId="0" borderId="14" xfId="0" applyNumberFormat="1" applyFont="1" applyFill="1" applyBorder="1" applyAlignment="1">
      <alignment horizontal="center" vertical="center"/>
    </xf>
    <xf numFmtId="164" fontId="28" fillId="8" borderId="14" xfId="0" applyNumberFormat="1" applyFont="1" applyFill="1" applyBorder="1" applyAlignment="1">
      <alignment horizontal="center" vertical="center"/>
    </xf>
    <xf numFmtId="164" fontId="28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0" borderId="4" xfId="0" applyNumberFormat="1" applyFont="1" applyFill="1" applyBorder="1" applyAlignment="1">
      <alignment horizontal="center" vertical="center"/>
    </xf>
    <xf numFmtId="164" fontId="25" fillId="8" borderId="4" xfId="0" applyNumberFormat="1" applyFont="1" applyFill="1" applyBorder="1" applyAlignment="1">
      <alignment horizontal="center" vertical="center"/>
    </xf>
    <xf numFmtId="164" fontId="25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8" fillId="0" borderId="24" xfId="0" applyNumberFormat="1" applyFont="1" applyFill="1" applyBorder="1" applyAlignment="1">
      <alignment horizontal="center" vertical="center"/>
    </xf>
    <xf numFmtId="164" fontId="28" fillId="8" borderId="24" xfId="0" applyNumberFormat="1" applyFont="1" applyFill="1" applyBorder="1" applyAlignment="1">
      <alignment horizontal="center" vertical="center"/>
    </xf>
    <xf numFmtId="164" fontId="28" fillId="0" borderId="47" xfId="0" applyNumberFormat="1" applyFont="1" applyFill="1" applyBorder="1" applyAlignment="1">
      <alignment horizontal="center" vertical="center"/>
    </xf>
    <xf numFmtId="164" fontId="28" fillId="0" borderId="4" xfId="0" applyNumberFormat="1" applyFont="1" applyFill="1" applyBorder="1" applyAlignment="1">
      <alignment horizontal="center" vertical="center"/>
    </xf>
    <xf numFmtId="164" fontId="28" fillId="8" borderId="4" xfId="0" applyNumberFormat="1" applyFont="1" applyFill="1" applyBorder="1" applyAlignment="1">
      <alignment horizontal="center" vertical="center"/>
    </xf>
    <xf numFmtId="164" fontId="28" fillId="0" borderId="54" xfId="0" applyNumberFormat="1" applyFont="1" applyFill="1" applyBorder="1" applyAlignment="1">
      <alignment horizontal="center" vertical="center"/>
    </xf>
    <xf numFmtId="164" fontId="25" fillId="8" borderId="29" xfId="0" applyNumberFormat="1" applyFont="1" applyFill="1" applyBorder="1" applyAlignment="1">
      <alignment horizontal="center" vertical="center"/>
    </xf>
    <xf numFmtId="164" fontId="25" fillId="8" borderId="56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8" fontId="25" fillId="0" borderId="13" xfId="0" applyNumberFormat="1" applyFont="1" applyFill="1" applyBorder="1" applyAlignment="1">
      <alignment horizontal="center" vertical="center"/>
    </xf>
    <xf numFmtId="168" fontId="25" fillId="8" borderId="13" xfId="0" applyNumberFormat="1" applyFont="1" applyFill="1" applyBorder="1" applyAlignment="1">
      <alignment horizontal="center" vertical="center"/>
    </xf>
    <xf numFmtId="168" fontId="25" fillId="0" borderId="24" xfId="0" applyNumberFormat="1" applyFont="1" applyFill="1" applyBorder="1" applyAlignment="1">
      <alignment horizontal="center" vertical="center"/>
    </xf>
    <xf numFmtId="168" fontId="25" fillId="8" borderId="24" xfId="0" applyNumberFormat="1" applyFont="1" applyFill="1" applyBorder="1" applyAlignment="1">
      <alignment horizontal="center" vertical="center"/>
    </xf>
    <xf numFmtId="164" fontId="25" fillId="8" borderId="59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8" fontId="25" fillId="10" borderId="13" xfId="0" applyNumberFormat="1" applyFont="1" applyFill="1" applyBorder="1" applyAlignment="1">
      <alignment horizontal="center" vertical="center"/>
    </xf>
    <xf numFmtId="164" fontId="25" fillId="10" borderId="24" xfId="0" applyNumberFormat="1" applyFont="1" applyFill="1" applyBorder="1" applyAlignment="1">
      <alignment horizontal="center" vertical="center"/>
    </xf>
    <xf numFmtId="168" fontId="25" fillId="0" borderId="32" xfId="0" applyNumberFormat="1" applyFont="1" applyFill="1" applyBorder="1" applyAlignment="1">
      <alignment horizontal="center" vertical="center"/>
    </xf>
    <xf numFmtId="168" fontId="25" fillId="8" borderId="32" xfId="0" applyNumberFormat="1" applyFont="1" applyFill="1" applyBorder="1" applyAlignment="1">
      <alignment horizontal="center" vertical="center"/>
    </xf>
    <xf numFmtId="164" fontId="25" fillId="0" borderId="63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11" borderId="4" xfId="0" applyNumberFormat="1" applyFont="1" applyFill="1" applyBorder="1" applyAlignment="1">
      <alignment horizontal="center" vertical="center"/>
    </xf>
    <xf numFmtId="164" fontId="25" fillId="0" borderId="32" xfId="0" applyNumberFormat="1" applyFont="1" applyFill="1" applyBorder="1" applyAlignment="1">
      <alignment horizontal="center" vertical="center"/>
    </xf>
    <xf numFmtId="164" fontId="25" fillId="8" borderId="32" xfId="0" applyNumberFormat="1" applyFont="1" applyFill="1" applyBorder="1" applyAlignment="1">
      <alignment horizontal="center" vertical="center"/>
    </xf>
    <xf numFmtId="164" fontId="25" fillId="0" borderId="0" xfId="0" applyNumberFormat="1" applyFont="1" applyBorder="1" applyAlignment="1">
      <alignment horizontal="center" vertical="center"/>
    </xf>
    <xf numFmtId="164" fontId="6" fillId="3" borderId="24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5" borderId="8" xfId="1" applyFont="1" applyFill="1" applyBorder="1" applyAlignment="1">
      <alignment horizontal="center" vertical="center" wrapText="1"/>
    </xf>
    <xf numFmtId="164" fontId="6" fillId="0" borderId="29" xfId="0" applyNumberFormat="1" applyFont="1" applyFill="1" applyBorder="1" applyAlignment="1">
      <alignment horizontal="center" vertical="center"/>
    </xf>
    <xf numFmtId="164" fontId="6" fillId="0" borderId="29" xfId="0" applyNumberFormat="1" applyFont="1" applyBorder="1" applyAlignment="1">
      <alignment horizontal="center" vertical="center"/>
    </xf>
    <xf numFmtId="164" fontId="6" fillId="0" borderId="68" xfId="0" applyNumberFormat="1" applyFont="1" applyBorder="1" applyAlignment="1">
      <alignment horizontal="center" vertical="center"/>
    </xf>
    <xf numFmtId="164" fontId="6" fillId="0" borderId="69" xfId="0" applyNumberFormat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 wrapText="1"/>
    </xf>
    <xf numFmtId="164" fontId="6" fillId="3" borderId="46" xfId="0" applyNumberFormat="1" applyFont="1" applyFill="1" applyBorder="1" applyAlignment="1">
      <alignment horizontal="center" vertical="center"/>
    </xf>
    <xf numFmtId="164" fontId="6" fillId="3" borderId="57" xfId="0" applyNumberFormat="1" applyFont="1" applyFill="1" applyBorder="1" applyAlignment="1">
      <alignment horizontal="center" vertical="center"/>
    </xf>
    <xf numFmtId="164" fontId="6" fillId="3" borderId="66" xfId="0" applyNumberFormat="1" applyFont="1" applyFill="1" applyBorder="1" applyAlignment="1">
      <alignment horizontal="center" vertical="center"/>
    </xf>
    <xf numFmtId="165" fontId="6" fillId="0" borderId="25" xfId="0" applyNumberFormat="1" applyFont="1" applyBorder="1" applyAlignment="1">
      <alignment horizontal="center" vertical="center"/>
    </xf>
    <xf numFmtId="165" fontId="6" fillId="0" borderId="25" xfId="0" applyNumberFormat="1" applyFont="1" applyFill="1" applyBorder="1" applyAlignment="1">
      <alignment horizontal="center" vertical="center"/>
    </xf>
    <xf numFmtId="165" fontId="6" fillId="0" borderId="27" xfId="0" applyNumberFormat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 wrapText="1"/>
    </xf>
    <xf numFmtId="164" fontId="6" fillId="3" borderId="45" xfId="0" applyNumberFormat="1" applyFon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65" xfId="0" applyNumberFormat="1" applyFont="1" applyFill="1" applyBorder="1" applyAlignment="1">
      <alignment horizontal="center" vertical="center"/>
    </xf>
    <xf numFmtId="0" fontId="8" fillId="5" borderId="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57" xfId="0" applyNumberFormat="1" applyFont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 wrapText="1"/>
    </xf>
    <xf numFmtId="1" fontId="6" fillId="0" borderId="45" xfId="0" applyNumberFormat="1" applyFont="1" applyFill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4" fillId="0" borderId="29" xfId="0" applyNumberFormat="1" applyFont="1" applyFill="1" applyBorder="1" applyAlignment="1">
      <alignment horizontal="center" vertical="center"/>
    </xf>
    <xf numFmtId="164" fontId="6" fillId="0" borderId="68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32" fillId="19" borderId="24" xfId="0" applyNumberFormat="1" applyFont="1" applyFill="1" applyBorder="1" applyAlignment="1">
      <alignment horizontal="center" vertical="center"/>
    </xf>
    <xf numFmtId="0" fontId="32" fillId="19" borderId="24" xfId="0" applyNumberFormat="1" applyFont="1" applyFill="1" applyBorder="1" applyAlignment="1">
      <alignment horizontal="center" vertical="center"/>
    </xf>
    <xf numFmtId="0" fontId="32" fillId="0" borderId="24" xfId="0" applyFont="1" applyBorder="1" applyAlignment="1">
      <alignment horizontal="center" vertical="center"/>
    </xf>
    <xf numFmtId="164" fontId="32" fillId="0" borderId="24" xfId="0" applyNumberFormat="1" applyFont="1" applyFill="1" applyBorder="1" applyAlignment="1">
      <alignment horizontal="center" vertical="center"/>
    </xf>
    <xf numFmtId="2" fontId="32" fillId="0" borderId="24" xfId="0" applyNumberFormat="1" applyFont="1" applyBorder="1" applyAlignment="1">
      <alignment horizontal="center" vertical="center"/>
    </xf>
    <xf numFmtId="164" fontId="32" fillId="0" borderId="24" xfId="0" applyNumberFormat="1" applyFont="1" applyBorder="1" applyAlignment="1">
      <alignment horizontal="center" vertical="center"/>
    </xf>
    <xf numFmtId="0" fontId="31" fillId="0" borderId="69" xfId="0" applyFont="1" applyBorder="1" applyAlignment="1">
      <alignment horizontal="center" vertical="center"/>
    </xf>
    <xf numFmtId="164" fontId="32" fillId="19" borderId="26" xfId="0" applyNumberFormat="1" applyFont="1" applyFill="1" applyBorder="1" applyAlignment="1">
      <alignment horizontal="center" vertical="center"/>
    </xf>
    <xf numFmtId="0" fontId="32" fillId="19" borderId="26" xfId="0" applyNumberFormat="1" applyFont="1" applyFill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164" fontId="32" fillId="0" borderId="26" xfId="0" applyNumberFormat="1" applyFont="1" applyFill="1" applyBorder="1" applyAlignment="1">
      <alignment horizontal="center" vertical="center"/>
    </xf>
    <xf numFmtId="2" fontId="32" fillId="0" borderId="26" xfId="0" applyNumberFormat="1" applyFont="1" applyBorder="1" applyAlignment="1">
      <alignment horizontal="center" vertical="center"/>
    </xf>
    <xf numFmtId="0" fontId="32" fillId="19" borderId="46" xfId="0" applyNumberFormat="1" applyFont="1" applyFill="1" applyBorder="1" applyAlignment="1">
      <alignment horizontal="center" vertical="center"/>
    </xf>
    <xf numFmtId="0" fontId="32" fillId="19" borderId="66" xfId="0" applyNumberFormat="1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6" fillId="4" borderId="71" xfId="0" applyFont="1" applyFill="1" applyBorder="1" applyAlignment="1">
      <alignment vertical="center"/>
    </xf>
    <xf numFmtId="0" fontId="8" fillId="5" borderId="72" xfId="1" applyFont="1" applyFill="1" applyBorder="1" applyAlignment="1">
      <alignment horizontal="center" vertical="center" wrapText="1"/>
    </xf>
    <xf numFmtId="0" fontId="31" fillId="19" borderId="22" xfId="0" applyFont="1" applyFill="1" applyBorder="1" applyAlignment="1">
      <alignment horizontal="center" vertical="center"/>
    </xf>
    <xf numFmtId="0" fontId="31" fillId="19" borderId="22" xfId="0" applyNumberFormat="1" applyFont="1" applyFill="1" applyBorder="1" applyAlignment="1">
      <alignment horizontal="center" vertical="center"/>
    </xf>
    <xf numFmtId="0" fontId="31" fillId="19" borderId="43" xfId="0" applyNumberFormat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 vertical="center" wrapText="1"/>
    </xf>
    <xf numFmtId="0" fontId="31" fillId="5" borderId="22" xfId="1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 wrapText="1"/>
    </xf>
    <xf numFmtId="0" fontId="8" fillId="3" borderId="42" xfId="1" applyFont="1" applyFill="1" applyBorder="1" applyAlignment="1">
      <alignment horizontal="center" vertical="center" wrapText="1"/>
    </xf>
    <xf numFmtId="0" fontId="8" fillId="3" borderId="22" xfId="1" applyFont="1" applyFill="1" applyBorder="1" applyAlignment="1">
      <alignment horizontal="center" vertical="center" wrapText="1"/>
    </xf>
    <xf numFmtId="0" fontId="8" fillId="3" borderId="22" xfId="1" quotePrefix="1" applyFont="1" applyFill="1" applyBorder="1" applyAlignment="1">
      <alignment horizontal="center" vertical="center" wrapText="1"/>
    </xf>
    <xf numFmtId="0" fontId="8" fillId="17" borderId="22" xfId="1" applyFont="1" applyFill="1" applyBorder="1" applyAlignment="1">
      <alignment horizontal="center" vertical="center" wrapText="1"/>
    </xf>
    <xf numFmtId="0" fontId="16" fillId="5" borderId="22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8" fillId="20" borderId="2" xfId="1" applyFont="1" applyFill="1" applyBorder="1" applyAlignment="1">
      <alignment horizontal="center" vertical="center" wrapText="1"/>
    </xf>
    <xf numFmtId="2" fontId="6" fillId="20" borderId="22" xfId="0" applyNumberFormat="1" applyFont="1" applyFill="1" applyBorder="1" applyAlignment="1">
      <alignment horizontal="center" vertical="center"/>
    </xf>
    <xf numFmtId="2" fontId="6" fillId="20" borderId="24" xfId="0" applyNumberFormat="1" applyFont="1" applyFill="1" applyBorder="1" applyAlignment="1">
      <alignment horizontal="center" vertical="center"/>
    </xf>
    <xf numFmtId="2" fontId="6" fillId="20" borderId="26" xfId="0" applyNumberFormat="1" applyFont="1" applyFill="1" applyBorder="1" applyAlignment="1">
      <alignment horizontal="center" vertical="center"/>
    </xf>
    <xf numFmtId="0" fontId="8" fillId="5" borderId="9" xfId="1" applyFont="1" applyFill="1" applyBorder="1" applyAlignment="1">
      <alignment horizontal="center" vertical="center" wrapText="1"/>
    </xf>
    <xf numFmtId="164" fontId="6" fillId="0" borderId="43" xfId="0" applyNumberFormat="1" applyFont="1" applyBorder="1" applyAlignment="1">
      <alignment horizontal="center" vertical="center"/>
    </xf>
    <xf numFmtId="164" fontId="6" fillId="0" borderId="46" xfId="0" applyNumberFormat="1" applyFont="1" applyBorder="1" applyAlignment="1">
      <alignment horizontal="center" vertical="center"/>
    </xf>
    <xf numFmtId="164" fontId="6" fillId="0" borderId="46" xfId="0" applyNumberFormat="1" applyFont="1" applyFill="1" applyBorder="1" applyAlignment="1">
      <alignment horizontal="center" vertical="center"/>
    </xf>
    <xf numFmtId="164" fontId="6" fillId="0" borderId="66" xfId="0" applyNumberFormat="1" applyFont="1" applyFill="1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2" fontId="8" fillId="0" borderId="22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Fill="1" applyBorder="1" applyAlignment="1">
      <alignment horizontal="center" vertical="center"/>
    </xf>
    <xf numFmtId="2" fontId="35" fillId="7" borderId="24" xfId="0" applyNumberFormat="1" applyFont="1" applyFill="1" applyBorder="1" applyAlignment="1">
      <alignment horizontal="center" vertical="center"/>
    </xf>
    <xf numFmtId="164" fontId="6" fillId="0" borderId="57" xfId="0" applyNumberFormat="1" applyFont="1" applyFill="1" applyBorder="1" applyAlignment="1">
      <alignment horizontal="center" vertical="center"/>
    </xf>
    <xf numFmtId="164" fontId="6" fillId="0" borderId="62" xfId="0" applyNumberFormat="1" applyFont="1" applyFill="1" applyBorder="1" applyAlignment="1">
      <alignment horizontal="center" vertical="center"/>
    </xf>
    <xf numFmtId="164" fontId="6" fillId="0" borderId="45" xfId="0" applyNumberFormat="1" applyFont="1" applyFill="1" applyBorder="1" applyAlignment="1">
      <alignment horizontal="center" vertical="center"/>
    </xf>
    <xf numFmtId="164" fontId="6" fillId="0" borderId="45" xfId="0" applyNumberFormat="1" applyFont="1" applyBorder="1" applyAlignment="1">
      <alignment horizontal="center" vertical="center"/>
    </xf>
    <xf numFmtId="164" fontId="6" fillId="0" borderId="65" xfId="0" applyNumberFormat="1" applyFont="1" applyFill="1" applyBorder="1" applyAlignment="1">
      <alignment horizontal="center" vertical="center"/>
    </xf>
    <xf numFmtId="165" fontId="6" fillId="0" borderId="67" xfId="0" applyNumberFormat="1" applyFont="1" applyFill="1" applyBorder="1" applyAlignment="1">
      <alignment horizontal="center" vertical="center"/>
    </xf>
    <xf numFmtId="165" fontId="6" fillId="0" borderId="76" xfId="0" applyNumberFormat="1" applyFont="1" applyFill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Fill="1" applyBorder="1" applyAlignment="1">
      <alignment horizontal="center" vertical="center"/>
    </xf>
    <xf numFmtId="2" fontId="6" fillId="0" borderId="67" xfId="0" applyNumberFormat="1" applyFont="1" applyFill="1" applyBorder="1" applyAlignment="1">
      <alignment horizontal="center" vertical="center"/>
    </xf>
    <xf numFmtId="164" fontId="6" fillId="0" borderId="61" xfId="0" applyNumberFormat="1" applyFont="1" applyFill="1" applyBorder="1" applyAlignment="1">
      <alignment horizontal="center" vertical="center"/>
    </xf>
    <xf numFmtId="2" fontId="6" fillId="0" borderId="76" xfId="0" applyNumberFormat="1" applyFont="1" applyFill="1" applyBorder="1" applyAlignment="1">
      <alignment horizontal="center" vertical="center"/>
    </xf>
    <xf numFmtId="2" fontId="8" fillId="0" borderId="4" xfId="0" applyNumberFormat="1" applyFont="1" applyFill="1" applyBorder="1" applyAlignment="1">
      <alignment horizontal="center" vertical="center"/>
    </xf>
    <xf numFmtId="2" fontId="8" fillId="0" borderId="32" xfId="0" applyNumberFormat="1" applyFont="1" applyFill="1" applyBorder="1" applyAlignment="1">
      <alignment horizontal="center" vertical="center"/>
    </xf>
    <xf numFmtId="2" fontId="8" fillId="0" borderId="25" xfId="0" applyNumberFormat="1" applyFont="1" applyFill="1" applyBorder="1" applyAlignment="1">
      <alignment horizontal="center" vertical="center"/>
    </xf>
    <xf numFmtId="2" fontId="8" fillId="0" borderId="25" xfId="0" applyNumberFormat="1" applyFont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  <xf numFmtId="2" fontId="8" fillId="0" borderId="67" xfId="0" applyNumberFormat="1" applyFont="1" applyBorder="1" applyAlignment="1">
      <alignment horizontal="center" vertical="center"/>
    </xf>
    <xf numFmtId="0" fontId="8" fillId="5" borderId="40" xfId="1" applyFont="1" applyFill="1" applyBorder="1" applyAlignment="1">
      <alignment horizontal="center" vertical="center" wrapText="1"/>
    </xf>
    <xf numFmtId="0" fontId="8" fillId="5" borderId="42" xfId="1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vertical="center"/>
    </xf>
    <xf numFmtId="0" fontId="8" fillId="3" borderId="43" xfId="1" applyFont="1" applyFill="1" applyBorder="1" applyAlignment="1">
      <alignment horizontal="center" vertical="center" wrapText="1"/>
    </xf>
    <xf numFmtId="164" fontId="32" fillId="19" borderId="46" xfId="0" applyNumberFormat="1" applyFont="1" applyFill="1" applyBorder="1" applyAlignment="1">
      <alignment horizontal="center" vertical="center"/>
    </xf>
    <xf numFmtId="164" fontId="32" fillId="10" borderId="46" xfId="0" applyNumberFormat="1" applyFont="1" applyFill="1" applyBorder="1" applyAlignment="1">
      <alignment horizontal="center" vertical="center"/>
    </xf>
    <xf numFmtId="164" fontId="32" fillId="19" borderId="66" xfId="0" applyNumberFormat="1" applyFont="1" applyFill="1" applyBorder="1" applyAlignment="1">
      <alignment horizontal="center" vertical="center"/>
    </xf>
    <xf numFmtId="0" fontId="31" fillId="5" borderId="23" xfId="1" applyFont="1" applyFill="1" applyBorder="1" applyAlignment="1">
      <alignment horizontal="center" vertical="center" wrapText="1"/>
    </xf>
    <xf numFmtId="164" fontId="34" fillId="6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Fill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164" fontId="34" fillId="6" borderId="26" xfId="0" applyNumberFormat="1" applyFont="1" applyFill="1" applyBorder="1" applyAlignment="1">
      <alignment horizontal="center" vertical="center"/>
    </xf>
    <xf numFmtId="164" fontId="34" fillId="0" borderId="26" xfId="0" applyNumberFormat="1" applyFont="1" applyFill="1" applyBorder="1" applyAlignment="1">
      <alignment horizontal="center" vertical="center"/>
    </xf>
    <xf numFmtId="0" fontId="25" fillId="10" borderId="3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left" vertical="center"/>
    </xf>
    <xf numFmtId="164" fontId="6" fillId="0" borderId="42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29" xfId="0" applyNumberFormat="1" applyFont="1" applyBorder="1" applyAlignment="1">
      <alignment horizontal="center" vertical="center"/>
    </xf>
    <xf numFmtId="1" fontId="6" fillId="0" borderId="29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68" xfId="0" applyNumberFormat="1" applyFont="1" applyFill="1" applyBorder="1" applyAlignment="1">
      <alignment horizontal="center" vertical="center"/>
    </xf>
    <xf numFmtId="1" fontId="6" fillId="0" borderId="75" xfId="0" applyNumberFormat="1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2" fontId="32" fillId="0" borderId="24" xfId="0" applyNumberFormat="1" applyFont="1" applyFill="1" applyBorder="1" applyAlignment="1">
      <alignment horizontal="center" vertical="center"/>
    </xf>
    <xf numFmtId="2" fontId="32" fillId="0" borderId="2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20" xfId="0" applyFont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3" fillId="4" borderId="3" xfId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1" fontId="6" fillId="0" borderId="61" xfId="0" applyNumberFormat="1" applyFont="1" applyFill="1" applyBorder="1" applyAlignment="1">
      <alignment horizontal="center" vertical="center"/>
    </xf>
    <xf numFmtId="165" fontId="6" fillId="0" borderId="46" xfId="0" applyNumberFormat="1" applyFont="1" applyFill="1" applyBorder="1" applyAlignment="1">
      <alignment horizontal="center" vertical="center"/>
    </xf>
    <xf numFmtId="165" fontId="6" fillId="0" borderId="46" xfId="0" applyNumberFormat="1" applyFont="1" applyBorder="1" applyAlignment="1">
      <alignment horizontal="center" vertical="center"/>
    </xf>
    <xf numFmtId="165" fontId="6" fillId="0" borderId="62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5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8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8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8" fillId="21" borderId="2" xfId="1" applyFont="1" applyFill="1" applyBorder="1" applyAlignment="1">
      <alignment horizontal="center" vertical="center" wrapText="1"/>
    </xf>
    <xf numFmtId="4" fontId="8" fillId="19" borderId="2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71" fontId="0" fillId="0" borderId="0" xfId="0" applyNumberFormat="1"/>
    <xf numFmtId="0" fontId="3" fillId="0" borderId="0" xfId="0" applyFont="1" applyAlignment="1">
      <alignment horizontal="center" vertical="center"/>
    </xf>
    <xf numFmtId="172" fontId="12" fillId="0" borderId="0" xfId="0" applyNumberFormat="1" applyFont="1" applyAlignment="1">
      <alignment horizontal="center" vertical="center"/>
    </xf>
    <xf numFmtId="0" fontId="0" fillId="10" borderId="0" xfId="0" applyFill="1"/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2" fillId="0" borderId="0" xfId="0" applyNumberFormat="1" applyFont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2" fontId="42" fillId="0" borderId="24" xfId="0" applyNumberFormat="1" applyFont="1" applyFill="1" applyBorder="1" applyAlignment="1">
      <alignment horizontal="center" vertical="center"/>
    </xf>
    <xf numFmtId="2" fontId="40" fillId="0" borderId="24" xfId="0" applyNumberFormat="1" applyFont="1" applyFill="1" applyBorder="1" applyAlignment="1">
      <alignment horizontal="center" vertical="center"/>
    </xf>
    <xf numFmtId="173" fontId="6" fillId="0" borderId="24" xfId="0" applyNumberFormat="1" applyFont="1" applyBorder="1" applyAlignment="1">
      <alignment horizontal="center" vertical="center"/>
    </xf>
    <xf numFmtId="173" fontId="6" fillId="0" borderId="2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44" fillId="0" borderId="24" xfId="0" applyNumberFormat="1" applyFont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 wrapText="1"/>
    </xf>
    <xf numFmtId="2" fontId="0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Border="1" applyAlignment="1">
      <alignment horizontal="center" vertical="center"/>
    </xf>
    <xf numFmtId="2" fontId="1" fillId="0" borderId="24" xfId="0" applyNumberFormat="1" applyFont="1" applyFill="1" applyBorder="1" applyAlignment="1">
      <alignment horizontal="center" vertical="center"/>
    </xf>
    <xf numFmtId="2" fontId="0" fillId="0" borderId="24" xfId="0" applyNumberFormat="1" applyFont="1" applyFill="1" applyBorder="1" applyAlignment="1">
      <alignment horizontal="center" vertical="center"/>
    </xf>
    <xf numFmtId="2" fontId="1" fillId="0" borderId="26" xfId="0" applyNumberFormat="1" applyFont="1" applyFill="1" applyBorder="1" applyAlignment="1">
      <alignment horizontal="center" vertical="center"/>
    </xf>
    <xf numFmtId="2" fontId="6" fillId="0" borderId="47" xfId="0" applyNumberFormat="1" applyFont="1" applyFill="1" applyBorder="1" applyAlignment="1">
      <alignment horizontal="center" vertical="center"/>
    </xf>
    <xf numFmtId="2" fontId="6" fillId="0" borderId="54" xfId="0" applyNumberFormat="1" applyFont="1" applyBorder="1" applyAlignment="1">
      <alignment horizontal="center" vertical="center"/>
    </xf>
    <xf numFmtId="2" fontId="6" fillId="0" borderId="47" xfId="0" applyNumberFormat="1" applyFont="1" applyBorder="1" applyAlignment="1">
      <alignment horizontal="center" vertical="center"/>
    </xf>
    <xf numFmtId="2" fontId="6" fillId="0" borderId="7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/>
    </xf>
    <xf numFmtId="0" fontId="27" fillId="0" borderId="31" xfId="0" applyFont="1" applyFill="1" applyBorder="1" applyAlignment="1">
      <alignment horizontal="center" vertical="center"/>
    </xf>
    <xf numFmtId="167" fontId="27" fillId="0" borderId="30" xfId="0" quotePrefix="1" applyNumberFormat="1" applyFont="1" applyFill="1" applyBorder="1" applyAlignment="1">
      <alignment horizontal="center" vertical="center" wrapText="1"/>
    </xf>
    <xf numFmtId="167" fontId="27" fillId="0" borderId="31" xfId="0" applyNumberFormat="1" applyFont="1" applyFill="1" applyBorder="1" applyAlignment="1">
      <alignment horizontal="center" vertical="center" wrapText="1"/>
    </xf>
    <xf numFmtId="0" fontId="25" fillId="8" borderId="28" xfId="0" applyNumberFormat="1" applyFont="1" applyFill="1" applyBorder="1" applyAlignment="1">
      <alignment horizontal="center" vertical="center"/>
    </xf>
    <xf numFmtId="0" fontId="25" fillId="8" borderId="45" xfId="0" applyNumberFormat="1" applyFont="1" applyFill="1" applyBorder="1" applyAlignment="1">
      <alignment horizontal="center" vertical="center"/>
    </xf>
    <xf numFmtId="0" fontId="25" fillId="8" borderId="46" xfId="0" applyNumberFormat="1" applyFont="1" applyFill="1" applyBorder="1" applyAlignment="1">
      <alignment horizontal="center" vertical="center"/>
    </xf>
    <xf numFmtId="0" fontId="25" fillId="8" borderId="64" xfId="0" applyNumberFormat="1" applyFont="1" applyFill="1" applyBorder="1" applyAlignment="1">
      <alignment horizontal="center" vertical="center"/>
    </xf>
    <xf numFmtId="0" fontId="25" fillId="8" borderId="65" xfId="0" applyNumberFormat="1" applyFont="1" applyFill="1" applyBorder="1" applyAlignment="1">
      <alignment horizontal="center" vertical="center"/>
    </xf>
    <xf numFmtId="0" fontId="25" fillId="8" borderId="66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 wrapText="1"/>
    </xf>
    <xf numFmtId="0" fontId="28" fillId="8" borderId="53" xfId="0" applyNumberFormat="1" applyFont="1" applyFill="1" applyBorder="1" applyAlignment="1">
      <alignment horizontal="center" vertical="center"/>
    </xf>
    <xf numFmtId="0" fontId="28" fillId="8" borderId="7" xfId="0" applyNumberFormat="1" applyFont="1" applyFill="1" applyBorder="1" applyAlignment="1">
      <alignment horizontal="center" vertical="center"/>
    </xf>
    <xf numFmtId="0" fontId="28" fillId="8" borderId="57" xfId="0" applyNumberFormat="1" applyFont="1" applyFill="1" applyBorder="1" applyAlignment="1">
      <alignment horizontal="center" vertical="center"/>
    </xf>
    <xf numFmtId="0" fontId="28" fillId="8" borderId="28" xfId="0" applyNumberFormat="1" applyFont="1" applyFill="1" applyBorder="1" applyAlignment="1">
      <alignment horizontal="center" vertical="center"/>
    </xf>
    <xf numFmtId="0" fontId="28" fillId="8" borderId="45" xfId="0" applyNumberFormat="1" applyFont="1" applyFill="1" applyBorder="1" applyAlignment="1">
      <alignment horizontal="center" vertical="center"/>
    </xf>
    <xf numFmtId="0" fontId="28" fillId="8" borderId="46" xfId="0" applyNumberFormat="1" applyFont="1" applyFill="1" applyBorder="1" applyAlignment="1">
      <alignment horizontal="center" vertical="center"/>
    </xf>
    <xf numFmtId="0" fontId="27" fillId="0" borderId="11" xfId="0" applyFont="1" applyFill="1" applyBorder="1" applyAlignment="1">
      <alignment horizontal="center" vertical="center"/>
    </xf>
    <xf numFmtId="167" fontId="27" fillId="0" borderId="30" xfId="0" applyNumberFormat="1" applyFont="1" applyFill="1" applyBorder="1" applyAlignment="1">
      <alignment horizontal="center" vertical="center"/>
    </xf>
    <xf numFmtId="167" fontId="27" fillId="0" borderId="11" xfId="0" applyNumberFormat="1" applyFont="1" applyFill="1" applyBorder="1" applyAlignment="1">
      <alignment horizontal="center" vertical="center"/>
    </xf>
    <xf numFmtId="167" fontId="27" fillId="0" borderId="31" xfId="0" applyNumberFormat="1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horizontal="center" vertical="center"/>
    </xf>
    <xf numFmtId="167" fontId="27" fillId="0" borderId="18" xfId="0" applyNumberFormat="1" applyFont="1" applyFill="1" applyBorder="1" applyAlignment="1">
      <alignment horizontal="center" vertical="center"/>
    </xf>
    <xf numFmtId="0" fontId="25" fillId="8" borderId="35" xfId="0" applyNumberFormat="1" applyFont="1" applyFill="1" applyBorder="1" applyAlignment="1">
      <alignment horizontal="center" vertical="center"/>
    </xf>
    <xf numFmtId="0" fontId="25" fillId="8" borderId="12" xfId="0" applyNumberFormat="1" applyFont="1" applyFill="1" applyBorder="1" applyAlignment="1">
      <alignment horizontal="center" vertical="center"/>
    </xf>
    <xf numFmtId="0" fontId="25" fillId="8" borderId="58" xfId="0" applyNumberFormat="1" applyFont="1" applyFill="1" applyBorder="1" applyAlignment="1">
      <alignment horizontal="center" vertical="center"/>
    </xf>
    <xf numFmtId="0" fontId="25" fillId="8" borderId="60" xfId="0" applyNumberFormat="1" applyFont="1" applyFill="1" applyBorder="1" applyAlignment="1">
      <alignment horizontal="center" vertical="center"/>
    </xf>
    <xf numFmtId="0" fontId="25" fillId="8" borderId="61" xfId="0" applyNumberFormat="1" applyFont="1" applyFill="1" applyBorder="1" applyAlignment="1">
      <alignment horizontal="center" vertical="center"/>
    </xf>
    <xf numFmtId="0" fontId="25" fillId="8" borderId="62" xfId="0" applyNumberFormat="1" applyFont="1" applyFill="1" applyBorder="1" applyAlignment="1">
      <alignment horizontal="center" vertical="center"/>
    </xf>
    <xf numFmtId="0" fontId="25" fillId="8" borderId="48" xfId="0" applyNumberFormat="1" applyFont="1" applyFill="1" applyBorder="1" applyAlignment="1">
      <alignment horizontal="center" vertical="center"/>
    </xf>
    <xf numFmtId="0" fontId="25" fillId="8" borderId="49" xfId="0" applyNumberFormat="1" applyFont="1" applyFill="1" applyBorder="1" applyAlignment="1">
      <alignment horizontal="center" vertical="center"/>
    </xf>
    <xf numFmtId="0" fontId="25" fillId="10" borderId="46" xfId="0" applyNumberFormat="1" applyFont="1" applyFill="1" applyBorder="1" applyAlignment="1">
      <alignment horizontal="center" vertical="center"/>
    </xf>
    <xf numFmtId="0" fontId="25" fillId="10" borderId="45" xfId="0" applyNumberFormat="1" applyFont="1" applyFill="1" applyBorder="1" applyAlignment="1">
      <alignment horizontal="center" vertical="center"/>
    </xf>
    <xf numFmtId="0" fontId="28" fillId="8" borderId="50" xfId="0" applyNumberFormat="1" applyFont="1" applyFill="1" applyBorder="1" applyAlignment="1">
      <alignment horizontal="center" vertical="center"/>
    </xf>
    <xf numFmtId="0" fontId="28" fillId="8" borderId="15" xfId="0" applyNumberFormat="1" applyFont="1" applyFill="1" applyBorder="1" applyAlignment="1">
      <alignment horizontal="center" vertical="center"/>
    </xf>
    <xf numFmtId="0" fontId="28" fillId="8" borderId="51" xfId="0" applyNumberFormat="1" applyFont="1" applyFill="1" applyBorder="1" applyAlignment="1">
      <alignment horizontal="center" vertical="center"/>
    </xf>
    <xf numFmtId="0" fontId="25" fillId="10" borderId="35" xfId="0" applyNumberFormat="1" applyFont="1" applyFill="1" applyBorder="1" applyAlignment="1">
      <alignment horizontal="center" vertical="center"/>
    </xf>
    <xf numFmtId="0" fontId="25" fillId="10" borderId="12" xfId="0" applyNumberFormat="1" applyFont="1" applyFill="1" applyBorder="1" applyAlignment="1">
      <alignment horizontal="center" vertical="center"/>
    </xf>
    <xf numFmtId="0" fontId="25" fillId="10" borderId="58" xfId="0" applyNumberFormat="1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 wrapText="1"/>
    </xf>
    <xf numFmtId="0" fontId="27" fillId="0" borderId="18" xfId="0" applyFont="1" applyFill="1" applyBorder="1" applyAlignment="1">
      <alignment horizontal="center" vertical="center" wrapText="1"/>
    </xf>
    <xf numFmtId="0" fontId="25" fillId="8" borderId="55" xfId="0" applyNumberFormat="1" applyFont="1" applyFill="1" applyBorder="1" applyAlignment="1">
      <alignment horizontal="center" vertical="center"/>
    </xf>
    <xf numFmtId="0" fontId="25" fillId="10" borderId="55" xfId="0" applyNumberFormat="1" applyFont="1" applyFill="1" applyBorder="1" applyAlignment="1">
      <alignment horizontal="center" vertical="center"/>
    </xf>
    <xf numFmtId="0" fontId="25" fillId="10" borderId="49" xfId="0" applyNumberFormat="1" applyFont="1" applyFill="1" applyBorder="1" applyAlignment="1">
      <alignment horizontal="center" vertical="center"/>
    </xf>
    <xf numFmtId="0" fontId="25" fillId="10" borderId="48" xfId="0" applyNumberFormat="1" applyFont="1" applyFill="1" applyBorder="1" applyAlignment="1">
      <alignment horizontal="center" vertical="center"/>
    </xf>
    <xf numFmtId="0" fontId="25" fillId="8" borderId="53" xfId="0" applyNumberFormat="1" applyFont="1" applyFill="1" applyBorder="1" applyAlignment="1">
      <alignment horizontal="center" vertical="center"/>
    </xf>
    <xf numFmtId="0" fontId="25" fillId="8" borderId="7" xfId="0" applyNumberFormat="1" applyFont="1" applyFill="1" applyBorder="1" applyAlignment="1">
      <alignment horizontal="center" vertical="center"/>
    </xf>
    <xf numFmtId="0" fontId="25" fillId="0" borderId="39" xfId="0" applyFont="1" applyFill="1" applyBorder="1" applyAlignment="1">
      <alignment horizontal="center" vertical="center"/>
    </xf>
    <xf numFmtId="0" fontId="25" fillId="0" borderId="40" xfId="0" applyFont="1" applyFill="1" applyBorder="1" applyAlignment="1">
      <alignment horizontal="center" vertical="center"/>
    </xf>
    <xf numFmtId="0" fontId="25" fillId="8" borderId="39" xfId="0" applyFont="1" applyFill="1" applyBorder="1" applyAlignment="1">
      <alignment horizontal="center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9" xfId="0" applyFont="1" applyFill="1" applyBorder="1" applyAlignment="1">
      <alignment horizontal="center" vertical="center"/>
    </xf>
    <xf numFmtId="0" fontId="28" fillId="8" borderId="41" xfId="0" applyNumberFormat="1" applyFont="1" applyFill="1" applyBorder="1" applyAlignment="1">
      <alignment horizontal="center" vertical="center"/>
    </xf>
    <xf numFmtId="0" fontId="28" fillId="8" borderId="42" xfId="0" applyNumberFormat="1" applyFont="1" applyFill="1" applyBorder="1" applyAlignment="1">
      <alignment horizontal="center" vertical="center"/>
    </xf>
    <xf numFmtId="0" fontId="28" fillId="8" borderId="43" xfId="0" applyNumberFormat="1" applyFont="1" applyFill="1" applyBorder="1" applyAlignment="1">
      <alignment horizontal="center" vertical="center"/>
    </xf>
    <xf numFmtId="164" fontId="28" fillId="8" borderId="53" xfId="0" applyNumberFormat="1" applyFont="1" applyFill="1" applyBorder="1" applyAlignment="1">
      <alignment horizontal="center" vertical="center"/>
    </xf>
    <xf numFmtId="164" fontId="28" fillId="8" borderId="7" xfId="0" applyNumberFormat="1" applyFont="1" applyFill="1" applyBorder="1" applyAlignment="1">
      <alignment horizontal="center" vertical="center"/>
    </xf>
    <xf numFmtId="164" fontId="28" fillId="8" borderId="28" xfId="0" applyNumberFormat="1" applyFont="1" applyFill="1" applyBorder="1" applyAlignment="1">
      <alignment horizontal="center" vertical="center"/>
    </xf>
    <xf numFmtId="164" fontId="28" fillId="8" borderId="45" xfId="0" applyNumberFormat="1" applyFont="1" applyFill="1" applyBorder="1" applyAlignment="1">
      <alignment horizontal="center" vertical="center"/>
    </xf>
    <xf numFmtId="164" fontId="28" fillId="8" borderId="46" xfId="0" applyNumberFormat="1" applyFont="1" applyFill="1" applyBorder="1" applyAlignment="1">
      <alignment horizontal="center" vertical="center"/>
    </xf>
    <xf numFmtId="167" fontId="25" fillId="0" borderId="30" xfId="0" quotePrefix="1" applyNumberFormat="1" applyFont="1" applyFill="1" applyBorder="1" applyAlignment="1">
      <alignment horizontal="center" vertical="center" wrapText="1"/>
    </xf>
    <xf numFmtId="164" fontId="25" fillId="8" borderId="28" xfId="0" applyNumberFormat="1" applyFont="1" applyFill="1" applyBorder="1" applyAlignment="1">
      <alignment horizontal="center" vertical="center"/>
    </xf>
    <xf numFmtId="164" fontId="25" fillId="8" borderId="45" xfId="0" applyNumberFormat="1" applyFont="1" applyFill="1" applyBorder="1" applyAlignment="1">
      <alignment horizontal="center" vertical="center"/>
    </xf>
    <xf numFmtId="164" fontId="25" fillId="8" borderId="46" xfId="0" applyNumberFormat="1" applyFont="1" applyFill="1" applyBorder="1" applyAlignment="1">
      <alignment horizontal="center" vertical="center"/>
    </xf>
    <xf numFmtId="168" fontId="25" fillId="8" borderId="64" xfId="0" applyNumberFormat="1" applyFont="1" applyFill="1" applyBorder="1" applyAlignment="1">
      <alignment horizontal="center" vertical="center"/>
    </xf>
    <xf numFmtId="168" fontId="25" fillId="8" borderId="65" xfId="0" applyNumberFormat="1" applyFont="1" applyFill="1" applyBorder="1" applyAlignment="1">
      <alignment horizontal="center" vertical="center"/>
    </xf>
    <xf numFmtId="168" fontId="25" fillId="8" borderId="66" xfId="0" applyNumberFormat="1" applyFont="1" applyFill="1" applyBorder="1" applyAlignment="1">
      <alignment horizontal="center" vertical="center"/>
    </xf>
    <xf numFmtId="0" fontId="25" fillId="0" borderId="11" xfId="0" applyFont="1" applyFill="1" applyBorder="1" applyAlignment="1">
      <alignment horizontal="center" vertical="center"/>
    </xf>
    <xf numFmtId="164" fontId="25" fillId="8" borderId="57" xfId="0" applyNumberFormat="1" applyFont="1" applyFill="1" applyBorder="1" applyAlignment="1">
      <alignment horizontal="center" vertical="center"/>
    </xf>
    <xf numFmtId="164" fontId="25" fillId="8" borderId="7" xfId="0" applyNumberFormat="1" applyFont="1" applyFill="1" applyBorder="1" applyAlignment="1">
      <alignment horizontal="center" vertical="center"/>
    </xf>
    <xf numFmtId="164" fontId="28" fillId="8" borderId="57" xfId="0" applyNumberFormat="1" applyFont="1" applyFill="1" applyBorder="1" applyAlignment="1">
      <alignment horizontal="center" vertical="center"/>
    </xf>
    <xf numFmtId="168" fontId="25" fillId="8" borderId="55" xfId="0" applyNumberFormat="1" applyFont="1" applyFill="1" applyBorder="1" applyAlignment="1">
      <alignment horizontal="center" vertical="center"/>
    </xf>
    <xf numFmtId="168" fontId="25" fillId="8" borderId="49" xfId="0" applyNumberFormat="1" applyFont="1" applyFill="1" applyBorder="1" applyAlignment="1">
      <alignment horizontal="center" vertical="center"/>
    </xf>
    <xf numFmtId="168" fontId="25" fillId="8" borderId="48" xfId="0" applyNumberFormat="1" applyFont="1" applyFill="1" applyBorder="1" applyAlignment="1">
      <alignment horizontal="center" vertical="center"/>
    </xf>
    <xf numFmtId="164" fontId="28" fillId="8" borderId="50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164" fontId="28" fillId="8" borderId="51" xfId="0" applyNumberFormat="1" applyFont="1" applyFill="1" applyBorder="1" applyAlignment="1">
      <alignment horizontal="center" vertical="center"/>
    </xf>
    <xf numFmtId="168" fontId="25" fillId="8" borderId="28" xfId="0" applyNumberFormat="1" applyFont="1" applyFill="1" applyBorder="1" applyAlignment="1">
      <alignment horizontal="center" vertical="center"/>
    </xf>
    <xf numFmtId="168" fontId="25" fillId="8" borderId="45" xfId="0" applyNumberFormat="1" applyFont="1" applyFill="1" applyBorder="1" applyAlignment="1">
      <alignment horizontal="center" vertical="center"/>
    </xf>
    <xf numFmtId="168" fontId="25" fillId="8" borderId="46" xfId="0" applyNumberFormat="1" applyFont="1" applyFill="1" applyBorder="1" applyAlignment="1">
      <alignment horizontal="center" vertical="center"/>
    </xf>
    <xf numFmtId="164" fontId="25" fillId="8" borderId="35" xfId="0" applyNumberFormat="1" applyFont="1" applyFill="1" applyBorder="1" applyAlignment="1">
      <alignment horizontal="center" vertical="center"/>
    </xf>
    <xf numFmtId="164" fontId="25" fillId="8" borderId="12" xfId="0" applyNumberFormat="1" applyFont="1" applyFill="1" applyBorder="1" applyAlignment="1">
      <alignment horizontal="center" vertical="center"/>
    </xf>
    <xf numFmtId="164" fontId="25" fillId="8" borderId="58" xfId="0" applyNumberFormat="1" applyFont="1" applyFill="1" applyBorder="1" applyAlignment="1">
      <alignment horizontal="center" vertical="center"/>
    </xf>
    <xf numFmtId="0" fontId="25" fillId="0" borderId="30" xfId="0" applyFont="1" applyFill="1" applyBorder="1" applyAlignment="1">
      <alignment horizontal="center" vertical="center" wrapText="1"/>
    </xf>
    <xf numFmtId="164" fontId="25" fillId="8" borderId="55" xfId="0" applyNumberFormat="1" applyFont="1" applyFill="1" applyBorder="1" applyAlignment="1">
      <alignment horizontal="center" vertical="center"/>
    </xf>
    <xf numFmtId="164" fontId="25" fillId="8" borderId="49" xfId="0" applyNumberFormat="1" applyFont="1" applyFill="1" applyBorder="1" applyAlignment="1">
      <alignment horizontal="center" vertical="center"/>
    </xf>
    <xf numFmtId="164" fontId="25" fillId="8" borderId="48" xfId="0" applyNumberFormat="1" applyFont="1" applyFill="1" applyBorder="1" applyAlignment="1">
      <alignment horizontal="center" vertical="center"/>
    </xf>
    <xf numFmtId="0" fontId="8" fillId="0" borderId="24" xfId="0" applyNumberFormat="1" applyFont="1" applyBorder="1" applyAlignment="1">
      <alignment horizontal="center" vertical="center"/>
    </xf>
    <xf numFmtId="164" fontId="25" fillId="8" borderId="39" xfId="0" applyNumberFormat="1" applyFont="1" applyFill="1" applyBorder="1" applyAlignment="1">
      <alignment horizontal="center" vertical="center"/>
    </xf>
    <xf numFmtId="164" fontId="25" fillId="8" borderId="5" xfId="0" applyNumberFormat="1" applyFont="1" applyFill="1" applyBorder="1" applyAlignment="1">
      <alignment horizontal="center" vertical="center"/>
    </xf>
    <xf numFmtId="164" fontId="25" fillId="8" borderId="9" xfId="0" applyNumberFormat="1" applyFont="1" applyFill="1" applyBorder="1" applyAlignment="1">
      <alignment horizontal="center" vertical="center"/>
    </xf>
    <xf numFmtId="164" fontId="28" fillId="8" borderId="41" xfId="0" applyNumberFormat="1" applyFont="1" applyFill="1" applyBorder="1" applyAlignment="1">
      <alignment horizontal="center" vertical="center"/>
    </xf>
    <xf numFmtId="164" fontId="28" fillId="8" borderId="42" xfId="0" applyNumberFormat="1" applyFont="1" applyFill="1" applyBorder="1" applyAlignment="1">
      <alignment horizontal="center" vertical="center"/>
    </xf>
    <xf numFmtId="164" fontId="28" fillId="8" borderId="43" xfId="0" applyNumberFormat="1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79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14" fillId="0" borderId="19" xfId="0" applyNumberFormat="1" applyFont="1" applyBorder="1" applyAlignment="1">
      <alignment horizontal="center" vertical="center"/>
    </xf>
    <xf numFmtId="164" fontId="14" fillId="0" borderId="20" xfId="0" applyNumberFormat="1" applyFont="1" applyBorder="1" applyAlignment="1">
      <alignment horizontal="center" vertical="center"/>
    </xf>
    <xf numFmtId="164" fontId="14" fillId="0" borderId="20" xfId="0" applyNumberFormat="1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19" fillId="0" borderId="3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22" fillId="0" borderId="30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6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40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4" borderId="39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6" fillId="4" borderId="74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0" fontId="18" fillId="3" borderId="70" xfId="0" applyFont="1" applyFill="1" applyBorder="1" applyAlignment="1">
      <alignment horizontal="center" vertical="center"/>
    </xf>
    <xf numFmtId="0" fontId="18" fillId="3" borderId="71" xfId="0" applyFont="1" applyFill="1" applyBorder="1" applyAlignment="1">
      <alignment horizontal="center" vertical="center"/>
    </xf>
    <xf numFmtId="0" fontId="18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2" fillId="4" borderId="71" xfId="0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 vertical="center"/>
    </xf>
    <xf numFmtId="0" fontId="8" fillId="4" borderId="71" xfId="0" applyFont="1" applyFill="1" applyBorder="1" applyAlignment="1">
      <alignment horizontal="center" vertical="center"/>
    </xf>
    <xf numFmtId="0" fontId="8" fillId="4" borderId="73" xfId="0" applyFont="1" applyFill="1" applyBorder="1" applyAlignment="1">
      <alignment horizontal="center" vertical="center"/>
    </xf>
    <xf numFmtId="0" fontId="19" fillId="0" borderId="78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</cellXfs>
  <cellStyles count="3">
    <cellStyle name="Dane wyjściowe" xfId="1" builtinId="21"/>
    <cellStyle name="Normalny" xfId="0" builtinId="0"/>
    <cellStyle name="Normalny 2" xfId="2" xr:uid="{57A5E299-0D63-4BEF-AFCD-16901F5FE0E5}"/>
  </cellStyles>
  <dxfs count="0"/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27</xdr:row>
      <xdr:rowOff>142874</xdr:rowOff>
    </xdr:from>
    <xdr:to>
      <xdr:col>13</xdr:col>
      <xdr:colOff>111243</xdr:colOff>
      <xdr:row>46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33</xdr:row>
      <xdr:rowOff>47625</xdr:rowOff>
    </xdr:from>
    <xdr:to>
      <xdr:col>18</xdr:col>
      <xdr:colOff>1221</xdr:colOff>
      <xdr:row>50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view="pageBreakPreview" zoomScale="70" zoomScaleNormal="100" zoomScaleSheetLayoutView="70" workbookViewId="0">
      <selection activeCell="D4" sqref="D4"/>
    </sheetView>
  </sheetViews>
  <sheetFormatPr defaultRowHeight="15"/>
  <cols>
    <col min="1" max="1" width="7" style="104" customWidth="1"/>
    <col min="2" max="2" width="6.85546875" style="104" customWidth="1"/>
    <col min="3" max="6" width="10.85546875" style="105" customWidth="1"/>
    <col min="7" max="25" width="9.140625" style="105"/>
    <col min="26" max="26" width="9.140625" style="104"/>
    <col min="27" max="30" width="10.28515625" style="104" customWidth="1"/>
    <col min="31" max="31" width="10.42578125" style="76" customWidth="1"/>
    <col min="32" max="32" width="7.140625" style="76" customWidth="1"/>
    <col min="33" max="33" width="7.7109375" style="76" customWidth="1"/>
    <col min="34" max="34" width="9.140625" style="76"/>
    <col min="35" max="35" width="11" style="76" bestFit="1" customWidth="1"/>
    <col min="36" max="16384" width="9.140625" style="76"/>
  </cols>
  <sheetData>
    <row r="1" spans="1:35" ht="16.5" customHeight="1" thickBot="1">
      <c r="A1" s="70" t="s">
        <v>136</v>
      </c>
      <c r="B1" s="70" t="s">
        <v>137</v>
      </c>
      <c r="C1" s="71" t="s">
        <v>138</v>
      </c>
      <c r="D1" s="72" t="s">
        <v>139</v>
      </c>
      <c r="E1" s="73" t="s">
        <v>140</v>
      </c>
      <c r="F1" s="73" t="s">
        <v>141</v>
      </c>
      <c r="G1" s="72" t="s">
        <v>142</v>
      </c>
      <c r="H1" s="73" t="s">
        <v>143</v>
      </c>
      <c r="I1" s="73" t="s">
        <v>144</v>
      </c>
      <c r="J1" s="73" t="s">
        <v>145</v>
      </c>
      <c r="K1" s="73" t="s">
        <v>146</v>
      </c>
      <c r="L1" s="72" t="s">
        <v>147</v>
      </c>
      <c r="M1" s="73" t="s">
        <v>148</v>
      </c>
      <c r="N1" s="73" t="s">
        <v>149</v>
      </c>
      <c r="O1" s="73" t="s">
        <v>150</v>
      </c>
      <c r="P1" s="73" t="s">
        <v>151</v>
      </c>
      <c r="Q1" s="73" t="s">
        <v>152</v>
      </c>
      <c r="R1" s="73" t="s">
        <v>153</v>
      </c>
      <c r="S1" s="72" t="s">
        <v>154</v>
      </c>
      <c r="T1" s="73" t="s">
        <v>155</v>
      </c>
      <c r="U1" s="73" t="s">
        <v>156</v>
      </c>
      <c r="V1" s="73" t="s">
        <v>157</v>
      </c>
      <c r="W1" s="73" t="s">
        <v>158</v>
      </c>
      <c r="X1" s="73" t="s">
        <v>159</v>
      </c>
      <c r="Y1" s="73" t="s">
        <v>160</v>
      </c>
      <c r="Z1" s="72" t="s">
        <v>161</v>
      </c>
      <c r="AA1" s="73" t="s">
        <v>162</v>
      </c>
      <c r="AB1" s="73" t="s">
        <v>163</v>
      </c>
      <c r="AC1" s="74" t="s">
        <v>164</v>
      </c>
      <c r="AD1" s="74" t="s">
        <v>165</v>
      </c>
      <c r="AE1" s="75" t="s">
        <v>166</v>
      </c>
      <c r="AF1" s="70" t="s">
        <v>136</v>
      </c>
      <c r="AG1" s="70" t="s">
        <v>137</v>
      </c>
    </row>
    <row r="2" spans="1:35" ht="15" customHeight="1">
      <c r="A2" s="77">
        <v>1</v>
      </c>
      <c r="B2" s="78" t="s">
        <v>15</v>
      </c>
      <c r="C2" s="79">
        <v>13.59844</v>
      </c>
      <c r="D2" s="80"/>
      <c r="E2" s="81"/>
      <c r="F2" s="81"/>
      <c r="G2" s="80"/>
      <c r="H2" s="81"/>
      <c r="I2" s="81"/>
      <c r="J2" s="81"/>
      <c r="K2" s="81"/>
      <c r="L2" s="80"/>
      <c r="M2" s="81"/>
      <c r="N2" s="81"/>
      <c r="O2" s="81"/>
      <c r="P2" s="81"/>
      <c r="Q2" s="81"/>
      <c r="R2" s="81"/>
      <c r="S2" s="80"/>
      <c r="T2" s="81"/>
      <c r="U2" s="81"/>
      <c r="V2" s="81"/>
      <c r="W2" s="81"/>
      <c r="X2" s="81"/>
      <c r="Y2" s="81"/>
      <c r="Z2" s="82"/>
      <c r="AA2" s="83"/>
      <c r="AB2" s="83"/>
      <c r="AC2" s="83"/>
      <c r="AD2" s="83"/>
      <c r="AE2" s="84"/>
      <c r="AF2" s="77">
        <v>1</v>
      </c>
      <c r="AG2" s="78" t="s">
        <v>15</v>
      </c>
      <c r="AI2" s="85"/>
    </row>
    <row r="3" spans="1:35" ht="15" customHeight="1" thickBot="1">
      <c r="A3" s="86">
        <v>2</v>
      </c>
      <c r="B3" s="87" t="s">
        <v>16</v>
      </c>
      <c r="C3" s="88">
        <v>24.587409999999998</v>
      </c>
      <c r="D3" s="89"/>
      <c r="E3" s="90"/>
      <c r="F3" s="90"/>
      <c r="G3" s="89"/>
      <c r="H3" s="90"/>
      <c r="I3" s="90"/>
      <c r="J3" s="90"/>
      <c r="K3" s="90"/>
      <c r="L3" s="89"/>
      <c r="M3" s="90"/>
      <c r="N3" s="90"/>
      <c r="O3" s="90"/>
      <c r="P3" s="90"/>
      <c r="Q3" s="90"/>
      <c r="R3" s="90"/>
      <c r="S3" s="89"/>
      <c r="T3" s="90"/>
      <c r="U3" s="90"/>
      <c r="V3" s="90"/>
      <c r="W3" s="90"/>
      <c r="X3" s="90"/>
      <c r="Y3" s="90"/>
      <c r="Z3" s="89"/>
      <c r="AA3" s="90"/>
      <c r="AB3" s="90"/>
      <c r="AC3" s="90"/>
      <c r="AD3" s="90"/>
      <c r="AE3" s="91"/>
      <c r="AF3" s="86">
        <v>2</v>
      </c>
      <c r="AG3" s="87" t="s">
        <v>16</v>
      </c>
      <c r="AI3" s="85"/>
    </row>
    <row r="4" spans="1:35" ht="15" customHeight="1" thickTop="1">
      <c r="A4" s="77">
        <v>3</v>
      </c>
      <c r="B4" s="78" t="s">
        <v>17</v>
      </c>
      <c r="C4" s="92">
        <v>58</v>
      </c>
      <c r="D4" s="79">
        <v>5.3917200000000003</v>
      </c>
      <c r="E4" s="81"/>
      <c r="F4" s="81"/>
      <c r="G4" s="80"/>
      <c r="H4" s="81"/>
      <c r="I4" s="81"/>
      <c r="J4" s="81"/>
      <c r="K4" s="81"/>
      <c r="L4" s="80"/>
      <c r="M4" s="81"/>
      <c r="N4" s="81"/>
      <c r="O4" s="81"/>
      <c r="P4" s="81"/>
      <c r="Q4" s="81"/>
      <c r="R4" s="81"/>
      <c r="S4" s="80"/>
      <c r="T4" s="81"/>
      <c r="U4" s="81"/>
      <c r="V4" s="81"/>
      <c r="W4" s="81"/>
      <c r="X4" s="81"/>
      <c r="Y4" s="81"/>
      <c r="Z4" s="80"/>
      <c r="AA4" s="81"/>
      <c r="AB4" s="81"/>
      <c r="AC4" s="81"/>
      <c r="AD4" s="81"/>
      <c r="AE4" s="93"/>
      <c r="AF4" s="77">
        <v>3</v>
      </c>
      <c r="AG4" s="78" t="s">
        <v>17</v>
      </c>
      <c r="AI4" s="85"/>
    </row>
    <row r="5" spans="1:35" ht="15" customHeight="1">
      <c r="A5" s="94">
        <v>4</v>
      </c>
      <c r="B5" s="95" t="s">
        <v>167</v>
      </c>
      <c r="C5" s="92">
        <v>115</v>
      </c>
      <c r="D5" s="79">
        <v>9.3226999999999993</v>
      </c>
      <c r="E5" s="81"/>
      <c r="F5" s="81"/>
      <c r="G5" s="80"/>
      <c r="H5" s="81"/>
      <c r="I5" s="81"/>
      <c r="J5" s="81"/>
      <c r="K5" s="81"/>
      <c r="L5" s="80"/>
      <c r="M5" s="81"/>
      <c r="N5" s="81"/>
      <c r="O5" s="81"/>
      <c r="P5" s="81"/>
      <c r="Q5" s="81"/>
      <c r="R5" s="81"/>
      <c r="S5" s="80"/>
      <c r="T5" s="81"/>
      <c r="U5" s="81"/>
      <c r="V5" s="81"/>
      <c r="W5" s="81"/>
      <c r="X5" s="81"/>
      <c r="Y5" s="81"/>
      <c r="Z5" s="82"/>
      <c r="AA5" s="83"/>
      <c r="AB5" s="83"/>
      <c r="AC5" s="83"/>
      <c r="AD5" s="83"/>
      <c r="AE5" s="84"/>
      <c r="AF5" s="94">
        <v>4</v>
      </c>
      <c r="AG5" s="95" t="s">
        <v>167</v>
      </c>
      <c r="AI5" s="85"/>
    </row>
    <row r="6" spans="1:35" ht="15" customHeight="1">
      <c r="A6" s="94">
        <v>5</v>
      </c>
      <c r="B6" s="95" t="s">
        <v>18</v>
      </c>
      <c r="C6" s="92">
        <v>192</v>
      </c>
      <c r="D6" s="80">
        <v>12.93</v>
      </c>
      <c r="E6" s="79">
        <v>8.2980300000000007</v>
      </c>
      <c r="F6" s="81"/>
      <c r="G6" s="80"/>
      <c r="H6" s="81"/>
      <c r="I6" s="81"/>
      <c r="J6" s="81"/>
      <c r="K6" s="81"/>
      <c r="L6" s="80"/>
      <c r="M6" s="81"/>
      <c r="N6" s="81"/>
      <c r="O6" s="81"/>
      <c r="P6" s="81"/>
      <c r="Q6" s="81"/>
      <c r="R6" s="81"/>
      <c r="S6" s="80"/>
      <c r="T6" s="81"/>
      <c r="U6" s="81"/>
      <c r="V6" s="81"/>
      <c r="W6" s="81"/>
      <c r="X6" s="81"/>
      <c r="Y6" s="81"/>
      <c r="Z6" s="80"/>
      <c r="AA6" s="81"/>
      <c r="AB6" s="81"/>
      <c r="AC6" s="81"/>
      <c r="AD6" s="81"/>
      <c r="AE6" s="93"/>
      <c r="AF6" s="94">
        <v>5</v>
      </c>
      <c r="AG6" s="95" t="s">
        <v>18</v>
      </c>
      <c r="AI6" s="85"/>
    </row>
    <row r="7" spans="1:35" ht="15" customHeight="1">
      <c r="A7" s="94">
        <v>6</v>
      </c>
      <c r="B7" s="95" t="s">
        <v>19</v>
      </c>
      <c r="C7" s="92">
        <v>288</v>
      </c>
      <c r="D7" s="80">
        <v>16.59</v>
      </c>
      <c r="E7" s="79">
        <v>11.260300000000001</v>
      </c>
      <c r="F7" s="81"/>
      <c r="G7" s="80"/>
      <c r="H7" s="81"/>
      <c r="I7" s="81"/>
      <c r="J7" s="81"/>
      <c r="K7" s="81"/>
      <c r="L7" s="80"/>
      <c r="M7" s="81"/>
      <c r="N7" s="81"/>
      <c r="O7" s="81"/>
      <c r="P7" s="81"/>
      <c r="Q7" s="81"/>
      <c r="R7" s="81"/>
      <c r="S7" s="80"/>
      <c r="T7" s="81"/>
      <c r="U7" s="81"/>
      <c r="V7" s="81"/>
      <c r="W7" s="81"/>
      <c r="X7" s="81"/>
      <c r="Y7" s="81"/>
      <c r="Z7" s="80"/>
      <c r="AA7" s="81"/>
      <c r="AB7" s="81"/>
      <c r="AC7" s="81"/>
      <c r="AD7" s="81"/>
      <c r="AE7" s="93"/>
      <c r="AF7" s="94">
        <v>6</v>
      </c>
      <c r="AG7" s="95" t="s">
        <v>19</v>
      </c>
      <c r="AI7" s="85"/>
    </row>
    <row r="8" spans="1:35" ht="15" customHeight="1">
      <c r="A8" s="94">
        <v>7</v>
      </c>
      <c r="B8" s="95" t="s">
        <v>20</v>
      </c>
      <c r="C8" s="92">
        <v>403</v>
      </c>
      <c r="D8" s="80">
        <v>20.329999999999998</v>
      </c>
      <c r="E8" s="79">
        <v>14.534140000000001</v>
      </c>
      <c r="F8" s="81"/>
      <c r="G8" s="80"/>
      <c r="H8" s="81"/>
      <c r="I8" s="81"/>
      <c r="J8" s="81"/>
      <c r="K8" s="81"/>
      <c r="L8" s="80"/>
      <c r="M8" s="81"/>
      <c r="N8" s="81"/>
      <c r="O8" s="81"/>
      <c r="P8" s="81"/>
      <c r="Q8" s="81"/>
      <c r="R8" s="81"/>
      <c r="S8" s="80"/>
      <c r="T8" s="81"/>
      <c r="U8" s="81"/>
      <c r="V8" s="81"/>
      <c r="W8" s="81"/>
      <c r="X8" s="81"/>
      <c r="Y8" s="81"/>
      <c r="Z8" s="80"/>
      <c r="AA8" s="81"/>
      <c r="AB8" s="81"/>
      <c r="AC8" s="81"/>
      <c r="AD8" s="81"/>
      <c r="AE8" s="93"/>
      <c r="AF8" s="94">
        <v>7</v>
      </c>
      <c r="AG8" s="95" t="s">
        <v>20</v>
      </c>
      <c r="AI8" s="85"/>
    </row>
    <row r="9" spans="1:35" ht="15" customHeight="1">
      <c r="A9" s="94">
        <v>8</v>
      </c>
      <c r="B9" s="95" t="s">
        <v>168</v>
      </c>
      <c r="C9" s="92">
        <v>538</v>
      </c>
      <c r="D9" s="80">
        <v>28.48</v>
      </c>
      <c r="E9" s="81">
        <v>13.62</v>
      </c>
      <c r="F9" s="79">
        <v>13.61806</v>
      </c>
      <c r="G9" s="80"/>
      <c r="H9" s="81"/>
      <c r="I9" s="81"/>
      <c r="J9" s="81"/>
      <c r="K9" s="81"/>
      <c r="L9" s="80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0"/>
      <c r="AA9" s="81"/>
      <c r="AB9" s="81"/>
      <c r="AC9" s="81"/>
      <c r="AD9" s="81"/>
      <c r="AE9" s="93"/>
      <c r="AF9" s="94">
        <v>8</v>
      </c>
      <c r="AG9" s="95" t="s">
        <v>168</v>
      </c>
      <c r="AI9" s="85"/>
    </row>
    <row r="10" spans="1:35" ht="15" customHeight="1">
      <c r="A10" s="94">
        <v>9</v>
      </c>
      <c r="B10" s="95" t="s">
        <v>21</v>
      </c>
      <c r="C10" s="92">
        <v>694</v>
      </c>
      <c r="D10" s="80">
        <v>37.85</v>
      </c>
      <c r="E10" s="81">
        <v>17.420000000000002</v>
      </c>
      <c r="F10" s="79">
        <v>17.422820000000002</v>
      </c>
      <c r="G10" s="80"/>
      <c r="H10" s="81"/>
      <c r="I10" s="81"/>
      <c r="J10" s="81"/>
      <c r="K10" s="81"/>
      <c r="L10" s="80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0"/>
      <c r="AA10" s="81"/>
      <c r="AB10" s="81"/>
      <c r="AC10" s="81"/>
      <c r="AD10" s="81"/>
      <c r="AE10" s="93"/>
      <c r="AF10" s="94">
        <v>9</v>
      </c>
      <c r="AG10" s="95" t="s">
        <v>21</v>
      </c>
      <c r="AI10" s="85"/>
    </row>
    <row r="11" spans="1:35" ht="15" customHeight="1" thickBot="1">
      <c r="A11" s="86">
        <v>10</v>
      </c>
      <c r="B11" s="87" t="s">
        <v>169</v>
      </c>
      <c r="C11" s="96">
        <v>870.1</v>
      </c>
      <c r="D11" s="89">
        <v>48.87</v>
      </c>
      <c r="E11" s="90">
        <v>21.66</v>
      </c>
      <c r="F11" s="97">
        <v>21.564599999999999</v>
      </c>
      <c r="G11" s="89"/>
      <c r="H11" s="90"/>
      <c r="I11" s="90"/>
      <c r="J11" s="90"/>
      <c r="K11" s="90"/>
      <c r="L11" s="89"/>
      <c r="M11" s="90"/>
      <c r="N11" s="90"/>
      <c r="O11" s="90"/>
      <c r="P11" s="90"/>
      <c r="Q11" s="90"/>
      <c r="R11" s="90"/>
      <c r="S11" s="89"/>
      <c r="T11" s="90"/>
      <c r="U11" s="90"/>
      <c r="V11" s="90"/>
      <c r="W11" s="90"/>
      <c r="X11" s="90"/>
      <c r="Y11" s="90"/>
      <c r="Z11" s="89"/>
      <c r="AA11" s="90"/>
      <c r="AB11" s="90"/>
      <c r="AC11" s="90"/>
      <c r="AD11" s="90"/>
      <c r="AE11" s="91"/>
      <c r="AF11" s="86">
        <v>10</v>
      </c>
      <c r="AG11" s="87" t="s">
        <v>169</v>
      </c>
      <c r="AI11" s="85"/>
    </row>
    <row r="12" spans="1:35" ht="15" customHeight="1" thickTop="1">
      <c r="A12" s="77">
        <v>11</v>
      </c>
      <c r="B12" s="78" t="s">
        <v>22</v>
      </c>
      <c r="C12" s="92">
        <v>1075</v>
      </c>
      <c r="D12" s="80">
        <v>66</v>
      </c>
      <c r="E12" s="81">
        <v>34</v>
      </c>
      <c r="F12" s="81">
        <v>34</v>
      </c>
      <c r="G12" s="79">
        <v>5.1390799999999999</v>
      </c>
      <c r="H12" s="81"/>
      <c r="I12" s="81"/>
      <c r="J12" s="81"/>
      <c r="K12" s="81"/>
      <c r="L12" s="80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0"/>
      <c r="AA12" s="81"/>
      <c r="AB12" s="81"/>
      <c r="AC12" s="81"/>
      <c r="AD12" s="81"/>
      <c r="AE12" s="93"/>
      <c r="AF12" s="77">
        <v>11</v>
      </c>
      <c r="AG12" s="78" t="s">
        <v>22</v>
      </c>
      <c r="AI12" s="85"/>
    </row>
    <row r="13" spans="1:35" ht="15" customHeight="1">
      <c r="A13" s="94">
        <v>12</v>
      </c>
      <c r="B13" s="95" t="s">
        <v>170</v>
      </c>
      <c r="C13" s="92">
        <v>1308</v>
      </c>
      <c r="D13" s="98">
        <v>92</v>
      </c>
      <c r="E13" s="81">
        <v>54</v>
      </c>
      <c r="F13" s="81">
        <v>54</v>
      </c>
      <c r="G13" s="79">
        <v>7.6462399999999997</v>
      </c>
      <c r="H13" s="81"/>
      <c r="I13" s="81"/>
      <c r="J13" s="81"/>
      <c r="K13" s="81"/>
      <c r="L13" s="80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0"/>
      <c r="AA13" s="81"/>
      <c r="AB13" s="81"/>
      <c r="AC13" s="81"/>
      <c r="AD13" s="81"/>
      <c r="AE13" s="93"/>
      <c r="AF13" s="94">
        <v>12</v>
      </c>
      <c r="AG13" s="95" t="s">
        <v>170</v>
      </c>
      <c r="AI13" s="85"/>
    </row>
    <row r="14" spans="1:35" ht="15" customHeight="1">
      <c r="A14" s="94">
        <v>13</v>
      </c>
      <c r="B14" s="95" t="s">
        <v>171</v>
      </c>
      <c r="C14" s="92">
        <v>1564</v>
      </c>
      <c r="D14" s="80">
        <v>121</v>
      </c>
      <c r="E14" s="81">
        <v>77</v>
      </c>
      <c r="F14" s="81">
        <v>77</v>
      </c>
      <c r="G14" s="80">
        <v>10.62</v>
      </c>
      <c r="H14" s="79">
        <v>5.9857699999999996</v>
      </c>
      <c r="I14" s="81"/>
      <c r="J14" s="81"/>
      <c r="K14" s="81"/>
      <c r="L14" s="80"/>
      <c r="M14" s="81"/>
      <c r="N14" s="81"/>
      <c r="O14" s="81"/>
      <c r="P14" s="81"/>
      <c r="Q14" s="81"/>
      <c r="R14" s="81"/>
      <c r="S14" s="80"/>
      <c r="T14" s="81"/>
      <c r="U14" s="81"/>
      <c r="V14" s="81"/>
      <c r="W14" s="81"/>
      <c r="X14" s="81"/>
      <c r="Y14" s="81"/>
      <c r="Z14" s="80"/>
      <c r="AA14" s="81"/>
      <c r="AB14" s="81"/>
      <c r="AC14" s="81"/>
      <c r="AD14" s="81"/>
      <c r="AE14" s="93"/>
      <c r="AF14" s="94">
        <v>13</v>
      </c>
      <c r="AG14" s="95" t="s">
        <v>171</v>
      </c>
      <c r="AI14" s="85"/>
    </row>
    <row r="15" spans="1:35" ht="15" customHeight="1">
      <c r="A15" s="94">
        <v>14</v>
      </c>
      <c r="B15" s="95" t="s">
        <v>172</v>
      </c>
      <c r="C15" s="92">
        <v>1844</v>
      </c>
      <c r="D15" s="80">
        <v>154</v>
      </c>
      <c r="E15" s="81">
        <v>104</v>
      </c>
      <c r="F15" s="81">
        <v>104</v>
      </c>
      <c r="G15" s="80">
        <v>13.46</v>
      </c>
      <c r="H15" s="79">
        <v>8.1516900000000003</v>
      </c>
      <c r="I15" s="81"/>
      <c r="J15" s="81"/>
      <c r="K15" s="81"/>
      <c r="L15" s="80"/>
      <c r="M15" s="81"/>
      <c r="N15" s="81"/>
      <c r="O15" s="81"/>
      <c r="P15" s="81"/>
      <c r="Q15" s="81"/>
      <c r="R15" s="81"/>
      <c r="S15" s="80"/>
      <c r="T15" s="81"/>
      <c r="U15" s="81"/>
      <c r="V15" s="81"/>
      <c r="W15" s="81"/>
      <c r="X15" s="81"/>
      <c r="Y15" s="81"/>
      <c r="Z15" s="80"/>
      <c r="AA15" s="81"/>
      <c r="AB15" s="81"/>
      <c r="AC15" s="81"/>
      <c r="AD15" s="81"/>
      <c r="AE15" s="93"/>
      <c r="AF15" s="94">
        <v>14</v>
      </c>
      <c r="AG15" s="95" t="s">
        <v>172</v>
      </c>
      <c r="AI15" s="85"/>
    </row>
    <row r="16" spans="1:35" ht="15" customHeight="1">
      <c r="A16" s="94">
        <v>15</v>
      </c>
      <c r="B16" s="95" t="s">
        <v>173</v>
      </c>
      <c r="C16" s="92">
        <v>2148</v>
      </c>
      <c r="D16" s="80">
        <v>191</v>
      </c>
      <c r="E16" s="81">
        <v>135</v>
      </c>
      <c r="F16" s="81">
        <v>134</v>
      </c>
      <c r="G16" s="80">
        <v>16.510000000000002</v>
      </c>
      <c r="H16" s="79">
        <v>10.486689999999999</v>
      </c>
      <c r="I16" s="81"/>
      <c r="J16" s="81"/>
      <c r="K16" s="81"/>
      <c r="L16" s="80"/>
      <c r="M16" s="81"/>
      <c r="N16" s="81"/>
      <c r="O16" s="81"/>
      <c r="P16" s="81"/>
      <c r="Q16" s="81"/>
      <c r="R16" s="81"/>
      <c r="S16" s="80"/>
      <c r="T16" s="81"/>
      <c r="U16" s="81"/>
      <c r="V16" s="81"/>
      <c r="W16" s="81"/>
      <c r="X16" s="81"/>
      <c r="Y16" s="81"/>
      <c r="Z16" s="80"/>
      <c r="AA16" s="81"/>
      <c r="AB16" s="81"/>
      <c r="AC16" s="81"/>
      <c r="AD16" s="81"/>
      <c r="AE16" s="93"/>
      <c r="AF16" s="94">
        <v>15</v>
      </c>
      <c r="AG16" s="95" t="s">
        <v>173</v>
      </c>
      <c r="AI16" s="85"/>
    </row>
    <row r="17" spans="1:35" ht="15" customHeight="1">
      <c r="A17" s="94">
        <v>16</v>
      </c>
      <c r="B17" s="95" t="s">
        <v>23</v>
      </c>
      <c r="C17" s="92">
        <v>2476</v>
      </c>
      <c r="D17" s="80">
        <v>232</v>
      </c>
      <c r="E17" s="81">
        <v>170</v>
      </c>
      <c r="F17" s="81">
        <v>168</v>
      </c>
      <c r="G17" s="80">
        <v>20.2</v>
      </c>
      <c r="H17" s="81">
        <v>10.36</v>
      </c>
      <c r="I17" s="79">
        <v>10.360010000000001</v>
      </c>
      <c r="J17" s="81"/>
      <c r="K17" s="81"/>
      <c r="L17" s="80"/>
      <c r="M17" s="81"/>
      <c r="N17" s="81"/>
      <c r="O17" s="81"/>
      <c r="P17" s="81"/>
      <c r="Q17" s="81"/>
      <c r="R17" s="81"/>
      <c r="S17" s="80"/>
      <c r="T17" s="81"/>
      <c r="U17" s="81"/>
      <c r="V17" s="81"/>
      <c r="W17" s="81"/>
      <c r="X17" s="81"/>
      <c r="Y17" s="81"/>
      <c r="Z17" s="80"/>
      <c r="AA17" s="81"/>
      <c r="AB17" s="81"/>
      <c r="AC17" s="81"/>
      <c r="AD17" s="81"/>
      <c r="AE17" s="93"/>
      <c r="AF17" s="94">
        <v>16</v>
      </c>
      <c r="AG17" s="95" t="s">
        <v>23</v>
      </c>
      <c r="AI17" s="85"/>
    </row>
    <row r="18" spans="1:35" ht="15" customHeight="1">
      <c r="A18" s="94">
        <v>17</v>
      </c>
      <c r="B18" s="95" t="s">
        <v>24</v>
      </c>
      <c r="C18" s="92">
        <v>2829</v>
      </c>
      <c r="D18" s="80">
        <v>277</v>
      </c>
      <c r="E18" s="81">
        <v>208</v>
      </c>
      <c r="F18" s="81">
        <v>206</v>
      </c>
      <c r="G18" s="80">
        <v>24.54</v>
      </c>
      <c r="H18" s="81">
        <v>12.97</v>
      </c>
      <c r="I18" s="79">
        <v>12.967639999999999</v>
      </c>
      <c r="J18" s="81"/>
      <c r="K18" s="81"/>
      <c r="L18" s="80"/>
      <c r="M18" s="81"/>
      <c r="N18" s="81"/>
      <c r="O18" s="81"/>
      <c r="P18" s="81"/>
      <c r="Q18" s="81"/>
      <c r="R18" s="81"/>
      <c r="S18" s="80"/>
      <c r="T18" s="81"/>
      <c r="U18" s="81"/>
      <c r="V18" s="81"/>
      <c r="W18" s="81"/>
      <c r="X18" s="81"/>
      <c r="Y18" s="81"/>
      <c r="Z18" s="80"/>
      <c r="AA18" s="81"/>
      <c r="AB18" s="81"/>
      <c r="AC18" s="81"/>
      <c r="AD18" s="81"/>
      <c r="AE18" s="93"/>
      <c r="AF18" s="94">
        <v>17</v>
      </c>
      <c r="AG18" s="95" t="s">
        <v>24</v>
      </c>
      <c r="AI18" s="85"/>
    </row>
    <row r="19" spans="1:35" ht="15" customHeight="1" thickBot="1">
      <c r="A19" s="86">
        <v>18</v>
      </c>
      <c r="B19" s="87" t="s">
        <v>174</v>
      </c>
      <c r="C19" s="96">
        <v>3206.3</v>
      </c>
      <c r="D19" s="89">
        <v>326.5</v>
      </c>
      <c r="E19" s="90">
        <v>250.6</v>
      </c>
      <c r="F19" s="90">
        <v>248.5</v>
      </c>
      <c r="G19" s="89">
        <v>29.24</v>
      </c>
      <c r="H19" s="90">
        <v>15.94</v>
      </c>
      <c r="I19" s="97">
        <v>15.75962</v>
      </c>
      <c r="J19" s="90"/>
      <c r="K19" s="90"/>
      <c r="L19" s="89"/>
      <c r="M19" s="90"/>
      <c r="N19" s="90"/>
      <c r="O19" s="90"/>
      <c r="P19" s="90"/>
      <c r="Q19" s="90"/>
      <c r="R19" s="90"/>
      <c r="S19" s="89"/>
      <c r="T19" s="90"/>
      <c r="U19" s="90"/>
      <c r="V19" s="90"/>
      <c r="W19" s="90"/>
      <c r="X19" s="90"/>
      <c r="Y19" s="90"/>
      <c r="Z19" s="89"/>
      <c r="AA19" s="90"/>
      <c r="AB19" s="90"/>
      <c r="AC19" s="90"/>
      <c r="AD19" s="90"/>
      <c r="AE19" s="91"/>
      <c r="AF19" s="86">
        <v>18</v>
      </c>
      <c r="AG19" s="87" t="s">
        <v>174</v>
      </c>
      <c r="AI19" s="85"/>
    </row>
    <row r="20" spans="1:35" ht="15" customHeight="1" thickTop="1">
      <c r="A20" s="77">
        <v>19</v>
      </c>
      <c r="B20" s="78" t="s">
        <v>25</v>
      </c>
      <c r="C20" s="92">
        <v>3610</v>
      </c>
      <c r="D20" s="80">
        <v>381</v>
      </c>
      <c r="E20" s="81">
        <v>299</v>
      </c>
      <c r="F20" s="81">
        <v>296</v>
      </c>
      <c r="G20" s="80">
        <v>37</v>
      </c>
      <c r="H20" s="81">
        <v>19</v>
      </c>
      <c r="I20" s="81">
        <v>18.7</v>
      </c>
      <c r="J20" s="81"/>
      <c r="K20" s="81"/>
      <c r="L20" s="79">
        <v>4.3406599999999997</v>
      </c>
      <c r="M20" s="81"/>
      <c r="N20" s="81"/>
      <c r="O20" s="81"/>
      <c r="P20" s="81"/>
      <c r="Q20" s="81"/>
      <c r="R20" s="81"/>
      <c r="S20" s="80"/>
      <c r="T20" s="81"/>
      <c r="U20" s="81"/>
      <c r="V20" s="81"/>
      <c r="W20" s="81"/>
      <c r="X20" s="81"/>
      <c r="Y20" s="81"/>
      <c r="Z20" s="80"/>
      <c r="AA20" s="81"/>
      <c r="AB20" s="81"/>
      <c r="AC20" s="81"/>
      <c r="AD20" s="81"/>
      <c r="AE20" s="93"/>
      <c r="AF20" s="77">
        <v>19</v>
      </c>
      <c r="AG20" s="78" t="s">
        <v>25</v>
      </c>
      <c r="AI20" s="85"/>
    </row>
    <row r="21" spans="1:35" ht="15" customHeight="1">
      <c r="A21" s="94">
        <v>20</v>
      </c>
      <c r="B21" s="95" t="s">
        <v>175</v>
      </c>
      <c r="C21" s="92">
        <v>4041</v>
      </c>
      <c r="D21" s="80">
        <v>441</v>
      </c>
      <c r="E21" s="81">
        <v>353</v>
      </c>
      <c r="F21" s="81">
        <v>349</v>
      </c>
      <c r="G21" s="80">
        <v>46</v>
      </c>
      <c r="H21" s="81">
        <v>28</v>
      </c>
      <c r="I21" s="81">
        <v>28</v>
      </c>
      <c r="J21" s="81"/>
      <c r="K21" s="81"/>
      <c r="L21" s="79">
        <v>6.1131599999999997</v>
      </c>
      <c r="M21" s="81"/>
      <c r="N21" s="81"/>
      <c r="O21" s="81"/>
      <c r="P21" s="81"/>
      <c r="Q21" s="81"/>
      <c r="R21" s="81"/>
      <c r="S21" s="80"/>
      <c r="T21" s="81"/>
      <c r="U21" s="81"/>
      <c r="V21" s="81"/>
      <c r="W21" s="81"/>
      <c r="X21" s="81"/>
      <c r="Y21" s="81"/>
      <c r="Z21" s="80"/>
      <c r="AA21" s="81"/>
      <c r="AB21" s="81"/>
      <c r="AC21" s="81"/>
      <c r="AD21" s="81"/>
      <c r="AE21" s="93"/>
      <c r="AF21" s="94">
        <v>20</v>
      </c>
      <c r="AG21" s="95" t="s">
        <v>175</v>
      </c>
      <c r="AI21" s="85"/>
    </row>
    <row r="22" spans="1:35" ht="15" customHeight="1">
      <c r="A22" s="94">
        <v>21</v>
      </c>
      <c r="B22" s="95" t="s">
        <v>176</v>
      </c>
      <c r="C22" s="92">
        <v>4494</v>
      </c>
      <c r="D22" s="80">
        <v>503</v>
      </c>
      <c r="E22" s="81">
        <v>408</v>
      </c>
      <c r="F22" s="81">
        <v>403</v>
      </c>
      <c r="G22" s="80">
        <v>55</v>
      </c>
      <c r="H22" s="81">
        <v>33</v>
      </c>
      <c r="I22" s="81">
        <v>33</v>
      </c>
      <c r="J22" s="81">
        <v>8</v>
      </c>
      <c r="K22" s="81"/>
      <c r="L22" s="79">
        <v>6.5614999999999997</v>
      </c>
      <c r="M22" s="81"/>
      <c r="N22" s="81"/>
      <c r="O22" s="81"/>
      <c r="P22" s="81"/>
      <c r="Q22" s="81"/>
      <c r="R22" s="81"/>
      <c r="S22" s="80"/>
      <c r="T22" s="81"/>
      <c r="U22" s="81"/>
      <c r="V22" s="81"/>
      <c r="W22" s="81"/>
      <c r="X22" s="81"/>
      <c r="Y22" s="81"/>
      <c r="Z22" s="80"/>
      <c r="AA22" s="81"/>
      <c r="AB22" s="81"/>
      <c r="AC22" s="81"/>
      <c r="AD22" s="81"/>
      <c r="AE22" s="93"/>
      <c r="AF22" s="94">
        <v>21</v>
      </c>
      <c r="AG22" s="95" t="s">
        <v>176</v>
      </c>
      <c r="AI22" s="85"/>
    </row>
    <row r="23" spans="1:35" ht="15" customHeight="1">
      <c r="A23" s="94">
        <v>22</v>
      </c>
      <c r="B23" s="95" t="s">
        <v>177</v>
      </c>
      <c r="C23" s="92">
        <v>4970</v>
      </c>
      <c r="D23" s="80">
        <v>567</v>
      </c>
      <c r="E23" s="81">
        <v>465</v>
      </c>
      <c r="F23" s="81">
        <v>459</v>
      </c>
      <c r="G23" s="80">
        <v>64</v>
      </c>
      <c r="H23" s="81">
        <v>39</v>
      </c>
      <c r="I23" s="81">
        <v>38</v>
      </c>
      <c r="J23" s="81">
        <v>8</v>
      </c>
      <c r="K23" s="81"/>
      <c r="L23" s="79">
        <v>6.8281000000000001</v>
      </c>
      <c r="M23" s="81"/>
      <c r="N23" s="81"/>
      <c r="O23" s="81"/>
      <c r="P23" s="81"/>
      <c r="Q23" s="81"/>
      <c r="R23" s="81"/>
      <c r="S23" s="80"/>
      <c r="T23" s="81"/>
      <c r="U23" s="81"/>
      <c r="V23" s="81"/>
      <c r="W23" s="81"/>
      <c r="X23" s="81"/>
      <c r="Y23" s="81"/>
      <c r="Z23" s="80"/>
      <c r="AA23" s="81"/>
      <c r="AB23" s="81"/>
      <c r="AC23" s="81"/>
      <c r="AD23" s="81"/>
      <c r="AE23" s="93"/>
      <c r="AF23" s="94">
        <v>22</v>
      </c>
      <c r="AG23" s="95" t="s">
        <v>177</v>
      </c>
      <c r="AI23" s="85"/>
    </row>
    <row r="24" spans="1:35" ht="15" customHeight="1">
      <c r="A24" s="94">
        <v>23</v>
      </c>
      <c r="B24" s="95" t="s">
        <v>178</v>
      </c>
      <c r="C24" s="92">
        <v>5470</v>
      </c>
      <c r="D24" s="80">
        <v>633</v>
      </c>
      <c r="E24" s="81">
        <v>525</v>
      </c>
      <c r="F24" s="81">
        <v>518</v>
      </c>
      <c r="G24" s="80">
        <v>72</v>
      </c>
      <c r="H24" s="81">
        <v>44</v>
      </c>
      <c r="I24" s="81">
        <v>43</v>
      </c>
      <c r="J24" s="81">
        <v>8</v>
      </c>
      <c r="K24" s="81"/>
      <c r="L24" s="79">
        <v>6.7462</v>
      </c>
      <c r="M24" s="81"/>
      <c r="N24" s="81"/>
      <c r="O24" s="81"/>
      <c r="P24" s="81"/>
      <c r="Q24" s="81"/>
      <c r="R24" s="81"/>
      <c r="S24" s="80"/>
      <c r="T24" s="81"/>
      <c r="U24" s="81"/>
      <c r="V24" s="81"/>
      <c r="W24" s="81"/>
      <c r="X24" s="81"/>
      <c r="Y24" s="81"/>
      <c r="Z24" s="80"/>
      <c r="AA24" s="81"/>
      <c r="AB24" s="81"/>
      <c r="AC24" s="81"/>
      <c r="AD24" s="81"/>
      <c r="AE24" s="93"/>
      <c r="AF24" s="94">
        <v>23</v>
      </c>
      <c r="AG24" s="95" t="s">
        <v>178</v>
      </c>
      <c r="AI24" s="85"/>
    </row>
    <row r="25" spans="1:35" ht="15" customHeight="1">
      <c r="A25" s="94">
        <v>24</v>
      </c>
      <c r="B25" s="95" t="s">
        <v>179</v>
      </c>
      <c r="C25" s="92">
        <v>5995</v>
      </c>
      <c r="D25" s="80">
        <v>702</v>
      </c>
      <c r="E25" s="81">
        <v>589</v>
      </c>
      <c r="F25" s="81">
        <v>580</v>
      </c>
      <c r="G25" s="80">
        <v>80</v>
      </c>
      <c r="H25" s="81">
        <v>49</v>
      </c>
      <c r="I25" s="81">
        <v>48</v>
      </c>
      <c r="J25" s="81">
        <v>8.25</v>
      </c>
      <c r="K25" s="99"/>
      <c r="L25" s="79">
        <v>6.7664999999999997</v>
      </c>
      <c r="M25" s="81"/>
      <c r="N25" s="81"/>
      <c r="O25" s="81"/>
      <c r="P25" s="81"/>
      <c r="Q25" s="81"/>
      <c r="R25" s="81"/>
      <c r="S25" s="80"/>
      <c r="T25" s="81"/>
      <c r="U25" s="81"/>
      <c r="V25" s="81"/>
      <c r="W25" s="81"/>
      <c r="X25" s="81"/>
      <c r="Y25" s="81"/>
      <c r="Z25" s="80"/>
      <c r="AA25" s="81"/>
      <c r="AB25" s="81"/>
      <c r="AC25" s="81"/>
      <c r="AD25" s="81"/>
      <c r="AE25" s="93"/>
      <c r="AF25" s="94">
        <v>24</v>
      </c>
      <c r="AG25" s="95" t="s">
        <v>179</v>
      </c>
      <c r="AI25" s="85"/>
    </row>
    <row r="26" spans="1:35" ht="15" customHeight="1">
      <c r="A26" s="94">
        <v>25</v>
      </c>
      <c r="B26" s="95" t="s">
        <v>180</v>
      </c>
      <c r="C26" s="92">
        <v>6544</v>
      </c>
      <c r="D26" s="80">
        <v>775</v>
      </c>
      <c r="E26" s="81">
        <v>656</v>
      </c>
      <c r="F26" s="81">
        <v>645</v>
      </c>
      <c r="G26" s="80">
        <v>89</v>
      </c>
      <c r="H26" s="81">
        <v>55</v>
      </c>
      <c r="I26" s="81">
        <v>53</v>
      </c>
      <c r="J26" s="81">
        <v>9</v>
      </c>
      <c r="K26" s="99"/>
      <c r="L26" s="79">
        <v>7.4340200000000003</v>
      </c>
      <c r="M26" s="81"/>
      <c r="N26" s="81"/>
      <c r="O26" s="81"/>
      <c r="P26" s="81"/>
      <c r="Q26" s="81"/>
      <c r="R26" s="81"/>
      <c r="S26" s="80"/>
      <c r="T26" s="81"/>
      <c r="U26" s="81"/>
      <c r="V26" s="81"/>
      <c r="W26" s="81"/>
      <c r="X26" s="81"/>
      <c r="Y26" s="81"/>
      <c r="Z26" s="80"/>
      <c r="AA26" s="81"/>
      <c r="AB26" s="81"/>
      <c r="AC26" s="81"/>
      <c r="AD26" s="81"/>
      <c r="AE26" s="93"/>
      <c r="AF26" s="94">
        <v>25</v>
      </c>
      <c r="AG26" s="95" t="s">
        <v>180</v>
      </c>
      <c r="AI26" s="85"/>
    </row>
    <row r="27" spans="1:35" ht="15" customHeight="1">
      <c r="A27" s="94">
        <v>26</v>
      </c>
      <c r="B27" s="95" t="s">
        <v>181</v>
      </c>
      <c r="C27" s="92">
        <v>7117</v>
      </c>
      <c r="D27" s="80">
        <v>851</v>
      </c>
      <c r="E27" s="81">
        <v>726</v>
      </c>
      <c r="F27" s="81">
        <v>713</v>
      </c>
      <c r="G27" s="80">
        <v>98</v>
      </c>
      <c r="H27" s="81">
        <v>61</v>
      </c>
      <c r="I27" s="81">
        <v>59</v>
      </c>
      <c r="J27" s="81">
        <v>9</v>
      </c>
      <c r="K27" s="79">
        <v>9</v>
      </c>
      <c r="L27" s="79">
        <v>7.9024000000000001</v>
      </c>
      <c r="M27" s="81"/>
      <c r="N27" s="81"/>
      <c r="O27" s="81"/>
      <c r="P27" s="81"/>
      <c r="Q27" s="81"/>
      <c r="R27" s="81"/>
      <c r="S27" s="80"/>
      <c r="T27" s="81"/>
      <c r="U27" s="81"/>
      <c r="V27" s="81"/>
      <c r="W27" s="81"/>
      <c r="X27" s="81"/>
      <c r="Y27" s="81"/>
      <c r="Z27" s="80"/>
      <c r="AA27" s="81"/>
      <c r="AB27" s="81"/>
      <c r="AC27" s="81"/>
      <c r="AD27" s="81"/>
      <c r="AE27" s="93"/>
      <c r="AF27" s="94">
        <v>26</v>
      </c>
      <c r="AG27" s="95" t="s">
        <v>181</v>
      </c>
      <c r="AI27" s="85"/>
    </row>
    <row r="28" spans="1:35" ht="15" customHeight="1">
      <c r="A28" s="94">
        <v>27</v>
      </c>
      <c r="B28" s="95" t="s">
        <v>182</v>
      </c>
      <c r="C28" s="92">
        <v>7715</v>
      </c>
      <c r="D28" s="80">
        <v>931</v>
      </c>
      <c r="E28" s="81">
        <v>800</v>
      </c>
      <c r="F28" s="81">
        <v>785</v>
      </c>
      <c r="G28" s="80">
        <v>107</v>
      </c>
      <c r="H28" s="81">
        <v>68</v>
      </c>
      <c r="I28" s="81">
        <v>66</v>
      </c>
      <c r="J28" s="81">
        <v>9</v>
      </c>
      <c r="K28" s="79">
        <v>9</v>
      </c>
      <c r="L28" s="79">
        <v>7.8810000000000002</v>
      </c>
      <c r="M28" s="81"/>
      <c r="N28" s="81"/>
      <c r="O28" s="81"/>
      <c r="P28" s="81"/>
      <c r="Q28" s="81"/>
      <c r="R28" s="81"/>
      <c r="S28" s="80"/>
      <c r="T28" s="81"/>
      <c r="U28" s="81"/>
      <c r="V28" s="81"/>
      <c r="W28" s="81"/>
      <c r="X28" s="81"/>
      <c r="Y28" s="81"/>
      <c r="Z28" s="80"/>
      <c r="AA28" s="81"/>
      <c r="AB28" s="81"/>
      <c r="AC28" s="81"/>
      <c r="AD28" s="81"/>
      <c r="AE28" s="93"/>
      <c r="AF28" s="94">
        <v>27</v>
      </c>
      <c r="AG28" s="95" t="s">
        <v>182</v>
      </c>
      <c r="AI28" s="85"/>
    </row>
    <row r="29" spans="1:35" ht="15" customHeight="1">
      <c r="A29" s="94">
        <v>28</v>
      </c>
      <c r="B29" s="95" t="s">
        <v>183</v>
      </c>
      <c r="C29" s="92">
        <v>8338</v>
      </c>
      <c r="D29" s="80">
        <v>1015</v>
      </c>
      <c r="E29" s="81">
        <v>877</v>
      </c>
      <c r="F29" s="81">
        <v>860</v>
      </c>
      <c r="G29" s="80">
        <v>117</v>
      </c>
      <c r="H29" s="81">
        <v>75</v>
      </c>
      <c r="I29" s="81">
        <v>73</v>
      </c>
      <c r="J29" s="81">
        <v>10</v>
      </c>
      <c r="K29" s="81">
        <v>10</v>
      </c>
      <c r="L29" s="79">
        <v>7.6398000000000001</v>
      </c>
      <c r="M29" s="81"/>
      <c r="N29" s="81"/>
      <c r="O29" s="81"/>
      <c r="P29" s="81"/>
      <c r="Q29" s="81"/>
      <c r="R29" s="81"/>
      <c r="S29" s="80"/>
      <c r="T29" s="81"/>
      <c r="U29" s="81"/>
      <c r="V29" s="81"/>
      <c r="W29" s="81"/>
      <c r="X29" s="81"/>
      <c r="Y29" s="81"/>
      <c r="Z29" s="80"/>
      <c r="AA29" s="81"/>
      <c r="AB29" s="81"/>
      <c r="AC29" s="81"/>
      <c r="AD29" s="81"/>
      <c r="AE29" s="93"/>
      <c r="AF29" s="94">
        <v>28</v>
      </c>
      <c r="AG29" s="95" t="s">
        <v>183</v>
      </c>
      <c r="AI29" s="85"/>
    </row>
    <row r="30" spans="1:35" ht="15" customHeight="1">
      <c r="A30" s="94">
        <v>29</v>
      </c>
      <c r="B30" s="95" t="s">
        <v>184</v>
      </c>
      <c r="C30" s="92">
        <v>8986</v>
      </c>
      <c r="D30" s="80">
        <v>1103</v>
      </c>
      <c r="E30" s="81">
        <v>958</v>
      </c>
      <c r="F30" s="81">
        <v>938</v>
      </c>
      <c r="G30" s="80">
        <v>127</v>
      </c>
      <c r="H30" s="81">
        <v>82</v>
      </c>
      <c r="I30" s="81">
        <v>80</v>
      </c>
      <c r="J30" s="81">
        <v>11</v>
      </c>
      <c r="K30" s="81">
        <v>10.4</v>
      </c>
      <c r="L30" s="79">
        <v>7.7263799999999998</v>
      </c>
      <c r="M30" s="81"/>
      <c r="N30" s="81"/>
      <c r="O30" s="81"/>
      <c r="P30" s="81"/>
      <c r="Q30" s="81"/>
      <c r="R30" s="81"/>
      <c r="S30" s="80"/>
      <c r="T30" s="81"/>
      <c r="U30" s="81"/>
      <c r="V30" s="81"/>
      <c r="W30" s="81"/>
      <c r="X30" s="81"/>
      <c r="Y30" s="81"/>
      <c r="Z30" s="80"/>
      <c r="AA30" s="81"/>
      <c r="AB30" s="81"/>
      <c r="AC30" s="81"/>
      <c r="AD30" s="81"/>
      <c r="AE30" s="93"/>
      <c r="AF30" s="94">
        <v>29</v>
      </c>
      <c r="AG30" s="95" t="s">
        <v>184</v>
      </c>
      <c r="AI30" s="85"/>
    </row>
    <row r="31" spans="1:35" ht="15" customHeight="1">
      <c r="A31" s="94">
        <v>30</v>
      </c>
      <c r="B31" s="95" t="s">
        <v>185</v>
      </c>
      <c r="C31" s="92">
        <v>9663</v>
      </c>
      <c r="D31" s="80">
        <v>1198</v>
      </c>
      <c r="E31" s="81">
        <v>1047</v>
      </c>
      <c r="F31" s="81">
        <v>1024</v>
      </c>
      <c r="G31" s="80">
        <v>141</v>
      </c>
      <c r="H31" s="81">
        <v>94</v>
      </c>
      <c r="I31" s="81">
        <v>91</v>
      </c>
      <c r="J31" s="81">
        <v>12</v>
      </c>
      <c r="K31" s="81">
        <v>11.2</v>
      </c>
      <c r="L31" s="79">
        <v>9.3941999999999997</v>
      </c>
      <c r="M31" s="81"/>
      <c r="N31" s="81"/>
      <c r="O31" s="81"/>
      <c r="P31" s="81"/>
      <c r="Q31" s="81"/>
      <c r="R31" s="81"/>
      <c r="S31" s="80"/>
      <c r="T31" s="81"/>
      <c r="U31" s="81"/>
      <c r="V31" s="81"/>
      <c r="W31" s="81"/>
      <c r="X31" s="81"/>
      <c r="Y31" s="81"/>
      <c r="Z31" s="80"/>
      <c r="AA31" s="81"/>
      <c r="AB31" s="81"/>
      <c r="AC31" s="81"/>
      <c r="AD31" s="81"/>
      <c r="AE31" s="93"/>
      <c r="AF31" s="94">
        <v>30</v>
      </c>
      <c r="AG31" s="95" t="s">
        <v>185</v>
      </c>
      <c r="AI31" s="85"/>
    </row>
    <row r="32" spans="1:35" ht="15" customHeight="1">
      <c r="A32" s="94">
        <v>31</v>
      </c>
      <c r="B32" s="95" t="s">
        <v>186</v>
      </c>
      <c r="C32" s="92">
        <v>10371</v>
      </c>
      <c r="D32" s="80">
        <v>1302</v>
      </c>
      <c r="E32" s="81">
        <v>1146</v>
      </c>
      <c r="F32" s="81">
        <v>1119</v>
      </c>
      <c r="G32" s="80">
        <v>162</v>
      </c>
      <c r="H32" s="81">
        <v>111</v>
      </c>
      <c r="I32" s="81">
        <v>107</v>
      </c>
      <c r="J32" s="81">
        <v>21</v>
      </c>
      <c r="K32" s="81">
        <v>20</v>
      </c>
      <c r="L32" s="80">
        <v>11</v>
      </c>
      <c r="M32" s="79">
        <v>5.9992999999999999</v>
      </c>
      <c r="N32" s="81"/>
      <c r="O32" s="81"/>
      <c r="P32" s="81"/>
      <c r="Q32" s="81"/>
      <c r="R32" s="81"/>
      <c r="S32" s="80"/>
      <c r="T32" s="81"/>
      <c r="U32" s="81"/>
      <c r="V32" s="81"/>
      <c r="W32" s="81"/>
      <c r="X32" s="81"/>
      <c r="Y32" s="81"/>
      <c r="Z32" s="80"/>
      <c r="AA32" s="81"/>
      <c r="AB32" s="81"/>
      <c r="AC32" s="81"/>
      <c r="AD32" s="81"/>
      <c r="AE32" s="93"/>
      <c r="AF32" s="94">
        <v>31</v>
      </c>
      <c r="AG32" s="95" t="s">
        <v>186</v>
      </c>
      <c r="AI32" s="85"/>
    </row>
    <row r="33" spans="1:35" ht="15" customHeight="1">
      <c r="A33" s="94">
        <v>32</v>
      </c>
      <c r="B33" s="95" t="s">
        <v>187</v>
      </c>
      <c r="C33" s="92">
        <v>11107</v>
      </c>
      <c r="D33" s="80">
        <v>1413</v>
      </c>
      <c r="E33" s="81">
        <v>1251</v>
      </c>
      <c r="F33" s="81">
        <v>1220</v>
      </c>
      <c r="G33" s="80">
        <v>184</v>
      </c>
      <c r="H33" s="81">
        <v>130</v>
      </c>
      <c r="I33" s="81">
        <v>125</v>
      </c>
      <c r="J33" s="81">
        <v>33</v>
      </c>
      <c r="K33" s="81">
        <v>32</v>
      </c>
      <c r="L33" s="80">
        <v>14.3</v>
      </c>
      <c r="M33" s="79">
        <v>7.8994</v>
      </c>
      <c r="N33" s="81"/>
      <c r="O33" s="81"/>
      <c r="P33" s="81"/>
      <c r="Q33" s="81"/>
      <c r="R33" s="81"/>
      <c r="S33" s="80"/>
      <c r="T33" s="81"/>
      <c r="U33" s="81"/>
      <c r="V33" s="81"/>
      <c r="W33" s="81"/>
      <c r="X33" s="81"/>
      <c r="Y33" s="81"/>
      <c r="Z33" s="80"/>
      <c r="AA33" s="81"/>
      <c r="AB33" s="81"/>
      <c r="AC33" s="81"/>
      <c r="AD33" s="81"/>
      <c r="AE33" s="93"/>
      <c r="AF33" s="94">
        <v>32</v>
      </c>
      <c r="AG33" s="95" t="s">
        <v>187</v>
      </c>
      <c r="AI33" s="85"/>
    </row>
    <row r="34" spans="1:35" ht="15" customHeight="1">
      <c r="A34" s="94">
        <v>33</v>
      </c>
      <c r="B34" s="95" t="s">
        <v>188</v>
      </c>
      <c r="C34" s="92">
        <v>11871</v>
      </c>
      <c r="D34" s="80">
        <v>1531</v>
      </c>
      <c r="E34" s="81">
        <v>1362</v>
      </c>
      <c r="F34" s="81">
        <v>1327</v>
      </c>
      <c r="G34" s="80">
        <v>208</v>
      </c>
      <c r="H34" s="81">
        <v>151</v>
      </c>
      <c r="I34" s="81">
        <v>145</v>
      </c>
      <c r="J34" s="81">
        <v>46</v>
      </c>
      <c r="K34" s="81">
        <v>45</v>
      </c>
      <c r="L34" s="80">
        <v>17</v>
      </c>
      <c r="M34" s="79">
        <v>9.7886000000000006</v>
      </c>
      <c r="N34" s="81"/>
      <c r="O34" s="81"/>
      <c r="P34" s="81"/>
      <c r="Q34" s="81"/>
      <c r="R34" s="81"/>
      <c r="S34" s="80"/>
      <c r="T34" s="81"/>
      <c r="U34" s="81"/>
      <c r="V34" s="81"/>
      <c r="W34" s="81"/>
      <c r="X34" s="81"/>
      <c r="Y34" s="81"/>
      <c r="Z34" s="80"/>
      <c r="AA34" s="81"/>
      <c r="AB34" s="81"/>
      <c r="AC34" s="81"/>
      <c r="AD34" s="81"/>
      <c r="AE34" s="93"/>
      <c r="AF34" s="94">
        <v>33</v>
      </c>
      <c r="AG34" s="95" t="s">
        <v>188</v>
      </c>
      <c r="AI34" s="85"/>
    </row>
    <row r="35" spans="1:35" ht="15" customHeight="1">
      <c r="A35" s="94">
        <v>34</v>
      </c>
      <c r="B35" s="95" t="s">
        <v>189</v>
      </c>
      <c r="C35" s="92">
        <v>12662</v>
      </c>
      <c r="D35" s="80">
        <v>1656</v>
      </c>
      <c r="E35" s="81">
        <v>1479</v>
      </c>
      <c r="F35" s="81">
        <v>1439</v>
      </c>
      <c r="G35" s="80">
        <v>234</v>
      </c>
      <c r="H35" s="81">
        <v>173</v>
      </c>
      <c r="I35" s="81">
        <v>166</v>
      </c>
      <c r="J35" s="81">
        <v>61</v>
      </c>
      <c r="K35" s="81">
        <v>60</v>
      </c>
      <c r="L35" s="80">
        <v>20.149999999999999</v>
      </c>
      <c r="M35" s="81">
        <v>9.75</v>
      </c>
      <c r="N35" s="79">
        <v>9.7523800000000005</v>
      </c>
      <c r="O35" s="81"/>
      <c r="P35" s="81"/>
      <c r="Q35" s="81"/>
      <c r="R35" s="81"/>
      <c r="S35" s="80"/>
      <c r="T35" s="81"/>
      <c r="U35" s="81"/>
      <c r="V35" s="81"/>
      <c r="W35" s="81"/>
      <c r="X35" s="81"/>
      <c r="Y35" s="81"/>
      <c r="Z35" s="80"/>
      <c r="AA35" s="81"/>
      <c r="AB35" s="81"/>
      <c r="AC35" s="81"/>
      <c r="AD35" s="81"/>
      <c r="AE35" s="93"/>
      <c r="AF35" s="94">
        <v>34</v>
      </c>
      <c r="AG35" s="95" t="s">
        <v>189</v>
      </c>
      <c r="AI35" s="85"/>
    </row>
    <row r="36" spans="1:35" ht="15" customHeight="1">
      <c r="A36" s="94">
        <v>35</v>
      </c>
      <c r="B36" s="95" t="s">
        <v>26</v>
      </c>
      <c r="C36" s="92">
        <v>13481</v>
      </c>
      <c r="D36" s="80">
        <v>1787</v>
      </c>
      <c r="E36" s="81">
        <v>1602</v>
      </c>
      <c r="F36" s="81">
        <v>1556</v>
      </c>
      <c r="G36" s="80">
        <v>262</v>
      </c>
      <c r="H36" s="81">
        <v>197</v>
      </c>
      <c r="I36" s="81">
        <v>189</v>
      </c>
      <c r="J36" s="81">
        <v>77</v>
      </c>
      <c r="K36" s="81">
        <v>76</v>
      </c>
      <c r="L36" s="80">
        <v>23.8</v>
      </c>
      <c r="M36" s="81">
        <v>11.85</v>
      </c>
      <c r="N36" s="79">
        <v>11.81381</v>
      </c>
      <c r="O36" s="81"/>
      <c r="P36" s="81"/>
      <c r="Q36" s="81"/>
      <c r="R36" s="81"/>
      <c r="S36" s="80"/>
      <c r="T36" s="81"/>
      <c r="U36" s="81"/>
      <c r="V36" s="81"/>
      <c r="W36" s="81"/>
      <c r="X36" s="81"/>
      <c r="Y36" s="81"/>
      <c r="Z36" s="80"/>
      <c r="AA36" s="81"/>
      <c r="AB36" s="81"/>
      <c r="AC36" s="81"/>
      <c r="AD36" s="81"/>
      <c r="AE36" s="93"/>
      <c r="AF36" s="94">
        <v>35</v>
      </c>
      <c r="AG36" s="95" t="s">
        <v>26</v>
      </c>
      <c r="AI36" s="85"/>
    </row>
    <row r="37" spans="1:35" ht="15" customHeight="1" thickBot="1">
      <c r="A37" s="86">
        <v>36</v>
      </c>
      <c r="B37" s="87" t="s">
        <v>190</v>
      </c>
      <c r="C37" s="96">
        <v>14327</v>
      </c>
      <c r="D37" s="89">
        <v>1927</v>
      </c>
      <c r="E37" s="90">
        <v>1731</v>
      </c>
      <c r="F37" s="90">
        <v>1678</v>
      </c>
      <c r="G37" s="89">
        <v>292</v>
      </c>
      <c r="H37" s="90">
        <v>222</v>
      </c>
      <c r="I37" s="90">
        <v>214</v>
      </c>
      <c r="J37" s="90">
        <v>95</v>
      </c>
      <c r="K37" s="90">
        <v>93.8</v>
      </c>
      <c r="L37" s="89">
        <v>27.51</v>
      </c>
      <c r="M37" s="90">
        <v>14.67</v>
      </c>
      <c r="N37" s="97">
        <v>13.999610000000001</v>
      </c>
      <c r="O37" s="90"/>
      <c r="P37" s="90"/>
      <c r="Q37" s="90"/>
      <c r="R37" s="90"/>
      <c r="S37" s="89"/>
      <c r="T37" s="90"/>
      <c r="U37" s="90"/>
      <c r="V37" s="90"/>
      <c r="W37" s="90"/>
      <c r="X37" s="90"/>
      <c r="Y37" s="90"/>
      <c r="Z37" s="89"/>
      <c r="AA37" s="90"/>
      <c r="AB37" s="90"/>
      <c r="AC37" s="90"/>
      <c r="AD37" s="90"/>
      <c r="AE37" s="91"/>
      <c r="AF37" s="86">
        <v>36</v>
      </c>
      <c r="AG37" s="87" t="s">
        <v>190</v>
      </c>
      <c r="AI37" s="85"/>
    </row>
    <row r="38" spans="1:35" ht="15" customHeight="1" thickTop="1">
      <c r="A38" s="77">
        <v>37</v>
      </c>
      <c r="B38" s="78" t="s">
        <v>27</v>
      </c>
      <c r="C38" s="92">
        <v>15203</v>
      </c>
      <c r="D38" s="80">
        <v>2068</v>
      </c>
      <c r="E38" s="81">
        <v>1867</v>
      </c>
      <c r="F38" s="81">
        <v>1807</v>
      </c>
      <c r="G38" s="80">
        <v>325</v>
      </c>
      <c r="H38" s="81">
        <v>251</v>
      </c>
      <c r="I38" s="81">
        <v>242</v>
      </c>
      <c r="J38" s="81">
        <v>116</v>
      </c>
      <c r="K38" s="81">
        <v>114</v>
      </c>
      <c r="L38" s="80">
        <v>32</v>
      </c>
      <c r="M38" s="81">
        <v>16</v>
      </c>
      <c r="N38" s="81">
        <v>15.3</v>
      </c>
      <c r="O38" s="81"/>
      <c r="P38" s="81"/>
      <c r="Q38" s="81"/>
      <c r="R38" s="81"/>
      <c r="S38" s="79">
        <v>4.17713</v>
      </c>
      <c r="T38" s="81"/>
      <c r="U38" s="81"/>
      <c r="V38" s="81"/>
      <c r="W38" s="81"/>
      <c r="X38" s="81"/>
      <c r="Y38" s="81"/>
      <c r="Z38" s="80"/>
      <c r="AA38" s="81"/>
      <c r="AB38" s="81"/>
      <c r="AC38" s="81"/>
      <c r="AD38" s="81"/>
      <c r="AE38" s="93"/>
      <c r="AF38" s="77">
        <v>37</v>
      </c>
      <c r="AG38" s="78" t="s">
        <v>27</v>
      </c>
      <c r="AI38" s="85"/>
    </row>
    <row r="39" spans="1:35" ht="15" customHeight="1">
      <c r="A39" s="94">
        <v>38</v>
      </c>
      <c r="B39" s="95" t="s">
        <v>191</v>
      </c>
      <c r="C39" s="92">
        <v>16108</v>
      </c>
      <c r="D39" s="80">
        <v>2219</v>
      </c>
      <c r="E39" s="81">
        <v>2010</v>
      </c>
      <c r="F39" s="81">
        <v>1943</v>
      </c>
      <c r="G39" s="80">
        <v>361</v>
      </c>
      <c r="H39" s="81">
        <v>283</v>
      </c>
      <c r="I39" s="81">
        <v>273</v>
      </c>
      <c r="J39" s="81">
        <v>139</v>
      </c>
      <c r="K39" s="81">
        <v>137</v>
      </c>
      <c r="L39" s="80">
        <v>40</v>
      </c>
      <c r="M39" s="81">
        <v>23</v>
      </c>
      <c r="N39" s="81">
        <v>22</v>
      </c>
      <c r="O39" s="81"/>
      <c r="P39" s="81"/>
      <c r="Q39" s="81"/>
      <c r="R39" s="81"/>
      <c r="S39" s="79">
        <v>5.6948999999999996</v>
      </c>
      <c r="T39" s="81"/>
      <c r="U39" s="81"/>
      <c r="V39" s="81"/>
      <c r="W39" s="81"/>
      <c r="X39" s="81"/>
      <c r="Y39" s="81"/>
      <c r="Z39" s="80"/>
      <c r="AA39" s="81"/>
      <c r="AB39" s="81"/>
      <c r="AC39" s="81"/>
      <c r="AD39" s="81"/>
      <c r="AE39" s="93"/>
      <c r="AF39" s="94">
        <v>38</v>
      </c>
      <c r="AG39" s="95" t="s">
        <v>191</v>
      </c>
      <c r="AI39" s="85"/>
    </row>
    <row r="40" spans="1:35" ht="15" customHeight="1">
      <c r="A40" s="94" t="s">
        <v>192</v>
      </c>
      <c r="B40" s="95" t="s">
        <v>193</v>
      </c>
      <c r="C40" s="92">
        <v>17041</v>
      </c>
      <c r="D40" s="80">
        <v>2375</v>
      </c>
      <c r="E40" s="81">
        <v>2158</v>
      </c>
      <c r="F40" s="81">
        <v>2083</v>
      </c>
      <c r="G40" s="80">
        <v>397</v>
      </c>
      <c r="H40" s="81">
        <v>315</v>
      </c>
      <c r="I40" s="81">
        <v>304</v>
      </c>
      <c r="J40" s="81">
        <v>163</v>
      </c>
      <c r="K40" s="81">
        <v>161</v>
      </c>
      <c r="L40" s="80">
        <v>48</v>
      </c>
      <c r="M40" s="81">
        <v>30</v>
      </c>
      <c r="N40" s="81">
        <v>29</v>
      </c>
      <c r="O40" s="81">
        <v>6.38</v>
      </c>
      <c r="P40" s="81"/>
      <c r="Q40" s="81"/>
      <c r="R40" s="81"/>
      <c r="S40" s="79">
        <v>6.2171000000000003</v>
      </c>
      <c r="T40" s="81"/>
      <c r="U40" s="81"/>
      <c r="V40" s="81"/>
      <c r="W40" s="81"/>
      <c r="X40" s="81"/>
      <c r="Y40" s="81"/>
      <c r="Z40" s="80"/>
      <c r="AA40" s="81"/>
      <c r="AB40" s="81"/>
      <c r="AC40" s="81"/>
      <c r="AD40" s="81"/>
      <c r="AE40" s="93"/>
      <c r="AF40" s="94" t="s">
        <v>192</v>
      </c>
      <c r="AG40" s="95" t="s">
        <v>193</v>
      </c>
      <c r="AI40" s="85"/>
    </row>
    <row r="41" spans="1:35" ht="15" customHeight="1">
      <c r="A41" s="94" t="s">
        <v>194</v>
      </c>
      <c r="B41" s="95" t="s">
        <v>193</v>
      </c>
      <c r="C41" s="92">
        <v>17041</v>
      </c>
      <c r="D41" s="80">
        <v>2375</v>
      </c>
      <c r="E41" s="81">
        <v>2158</v>
      </c>
      <c r="F41" s="81">
        <v>2083</v>
      </c>
      <c r="G41" s="80">
        <v>397</v>
      </c>
      <c r="H41" s="81">
        <v>315</v>
      </c>
      <c r="I41" s="81">
        <v>304</v>
      </c>
      <c r="J41" s="81">
        <v>163</v>
      </c>
      <c r="K41" s="81">
        <v>161</v>
      </c>
      <c r="L41" s="80">
        <v>48</v>
      </c>
      <c r="M41" s="81">
        <v>30</v>
      </c>
      <c r="N41" s="81">
        <v>29</v>
      </c>
      <c r="O41" s="79">
        <v>6.2171000000000003</v>
      </c>
      <c r="P41" s="81"/>
      <c r="Q41" s="81"/>
      <c r="R41" s="81"/>
      <c r="S41" s="80">
        <v>6.48</v>
      </c>
      <c r="T41" s="81"/>
      <c r="U41" s="81"/>
      <c r="V41" s="81"/>
      <c r="W41" s="81"/>
      <c r="X41" s="81"/>
      <c r="Y41" s="81"/>
      <c r="Z41" s="80"/>
      <c r="AA41" s="81"/>
      <c r="AB41" s="81"/>
      <c r="AC41" s="81"/>
      <c r="AD41" s="81"/>
      <c r="AE41" s="93"/>
      <c r="AF41" s="94" t="s">
        <v>194</v>
      </c>
      <c r="AG41" s="95" t="s">
        <v>193</v>
      </c>
      <c r="AI41" s="85"/>
    </row>
    <row r="42" spans="1:35" ht="15" customHeight="1">
      <c r="A42" s="94">
        <v>40</v>
      </c>
      <c r="B42" s="95" t="s">
        <v>195</v>
      </c>
      <c r="C42" s="92">
        <v>18002</v>
      </c>
      <c r="D42" s="80">
        <v>2536</v>
      </c>
      <c r="E42" s="81">
        <v>2311</v>
      </c>
      <c r="F42" s="81">
        <v>2227</v>
      </c>
      <c r="G42" s="80">
        <v>434</v>
      </c>
      <c r="H42" s="81">
        <v>348</v>
      </c>
      <c r="I42" s="81">
        <v>335</v>
      </c>
      <c r="J42" s="81">
        <v>187</v>
      </c>
      <c r="K42" s="81">
        <v>185</v>
      </c>
      <c r="L42" s="80">
        <v>56</v>
      </c>
      <c r="M42" s="81">
        <v>35</v>
      </c>
      <c r="N42" s="81">
        <v>33</v>
      </c>
      <c r="O42" s="81">
        <v>8.61</v>
      </c>
      <c r="P42" s="81"/>
      <c r="Q42" s="81"/>
      <c r="R42" s="81"/>
      <c r="S42" s="79">
        <v>6.6338999999999997</v>
      </c>
      <c r="T42" s="81"/>
      <c r="U42" s="81"/>
      <c r="V42" s="81"/>
      <c r="W42" s="81"/>
      <c r="X42" s="81"/>
      <c r="Y42" s="81"/>
      <c r="Z42" s="80"/>
      <c r="AA42" s="81"/>
      <c r="AB42" s="81"/>
      <c r="AC42" s="81"/>
      <c r="AD42" s="81"/>
      <c r="AE42" s="93"/>
      <c r="AF42" s="94">
        <v>40</v>
      </c>
      <c r="AG42" s="95" t="s">
        <v>195</v>
      </c>
      <c r="AI42" s="85"/>
    </row>
    <row r="43" spans="1:35" ht="15" customHeight="1">
      <c r="A43" s="94">
        <v>41</v>
      </c>
      <c r="B43" s="95" t="s">
        <v>196</v>
      </c>
      <c r="C43" s="92">
        <v>18990</v>
      </c>
      <c r="D43" s="80">
        <v>2702</v>
      </c>
      <c r="E43" s="81">
        <v>2469</v>
      </c>
      <c r="F43" s="81">
        <v>2375</v>
      </c>
      <c r="G43" s="80">
        <v>472</v>
      </c>
      <c r="H43" s="81">
        <v>382</v>
      </c>
      <c r="I43" s="81">
        <v>367</v>
      </c>
      <c r="J43" s="81">
        <v>212</v>
      </c>
      <c r="K43" s="81">
        <v>209</v>
      </c>
      <c r="L43" s="80">
        <v>62</v>
      </c>
      <c r="M43" s="81">
        <v>40</v>
      </c>
      <c r="N43" s="81">
        <v>38</v>
      </c>
      <c r="O43" s="81">
        <v>7.17</v>
      </c>
      <c r="P43" s="81"/>
      <c r="Q43" s="81"/>
      <c r="R43" s="81"/>
      <c r="S43" s="79">
        <v>6.7588499999999998</v>
      </c>
      <c r="T43" s="81"/>
      <c r="U43" s="81"/>
      <c r="V43" s="81"/>
      <c r="W43" s="81"/>
      <c r="X43" s="81"/>
      <c r="Y43" s="81"/>
      <c r="Z43" s="80"/>
      <c r="AA43" s="81"/>
      <c r="AB43" s="81"/>
      <c r="AC43" s="81"/>
      <c r="AD43" s="81"/>
      <c r="AE43" s="93"/>
      <c r="AF43" s="94">
        <v>41</v>
      </c>
      <c r="AG43" s="95" t="s">
        <v>196</v>
      </c>
      <c r="AI43" s="85"/>
    </row>
    <row r="44" spans="1:35" ht="15" customHeight="1">
      <c r="A44" s="94">
        <v>42</v>
      </c>
      <c r="B44" s="94" t="s">
        <v>197</v>
      </c>
      <c r="C44" s="92">
        <v>20006</v>
      </c>
      <c r="D44" s="80">
        <v>2872</v>
      </c>
      <c r="E44" s="81">
        <v>2632</v>
      </c>
      <c r="F44" s="81">
        <v>2527</v>
      </c>
      <c r="G44" s="80">
        <v>511</v>
      </c>
      <c r="H44" s="81">
        <v>416</v>
      </c>
      <c r="I44" s="81">
        <v>399</v>
      </c>
      <c r="J44" s="81">
        <v>237</v>
      </c>
      <c r="K44" s="81">
        <v>234</v>
      </c>
      <c r="L44" s="80">
        <v>68</v>
      </c>
      <c r="M44" s="81">
        <v>45</v>
      </c>
      <c r="N44" s="81">
        <v>42</v>
      </c>
      <c r="O44" s="81">
        <v>8.56</v>
      </c>
      <c r="P44" s="81"/>
      <c r="Q44" s="81"/>
      <c r="R44" s="81"/>
      <c r="S44" s="79">
        <v>7.0924300000000002</v>
      </c>
      <c r="T44" s="81"/>
      <c r="U44" s="81"/>
      <c r="V44" s="81"/>
      <c r="W44" s="81"/>
      <c r="X44" s="81"/>
      <c r="Y44" s="81"/>
      <c r="Z44" s="80"/>
      <c r="AA44" s="81"/>
      <c r="AB44" s="81"/>
      <c r="AC44" s="81"/>
      <c r="AD44" s="81"/>
      <c r="AE44" s="93"/>
      <c r="AF44" s="94">
        <v>42</v>
      </c>
      <c r="AG44" s="94" t="s">
        <v>197</v>
      </c>
      <c r="AI44" s="85"/>
    </row>
    <row r="45" spans="1:35" ht="15" customHeight="1">
      <c r="A45" s="94">
        <v>43</v>
      </c>
      <c r="B45" s="94" t="s">
        <v>198</v>
      </c>
      <c r="C45" s="92">
        <v>21050</v>
      </c>
      <c r="D45" s="80">
        <v>3048</v>
      </c>
      <c r="E45" s="81">
        <v>2800</v>
      </c>
      <c r="F45" s="81">
        <v>2683</v>
      </c>
      <c r="G45" s="80">
        <v>551</v>
      </c>
      <c r="H45" s="81">
        <v>451</v>
      </c>
      <c r="I45" s="81">
        <v>432</v>
      </c>
      <c r="J45" s="81">
        <v>263</v>
      </c>
      <c r="K45" s="81">
        <v>259</v>
      </c>
      <c r="L45" s="80">
        <v>74</v>
      </c>
      <c r="M45" s="81">
        <v>49</v>
      </c>
      <c r="N45" s="81">
        <v>45</v>
      </c>
      <c r="O45" s="81">
        <v>8.6</v>
      </c>
      <c r="P45" s="79">
        <v>8.6</v>
      </c>
      <c r="Q45" s="81"/>
      <c r="R45" s="81"/>
      <c r="S45" s="79">
        <v>7.28</v>
      </c>
      <c r="T45" s="81"/>
      <c r="U45" s="81"/>
      <c r="V45" s="81"/>
      <c r="W45" s="81"/>
      <c r="X45" s="81"/>
      <c r="Y45" s="81"/>
      <c r="Z45" s="80"/>
      <c r="AA45" s="81"/>
      <c r="AB45" s="81"/>
      <c r="AC45" s="81"/>
      <c r="AD45" s="81"/>
      <c r="AE45" s="93"/>
      <c r="AF45" s="94">
        <v>43</v>
      </c>
      <c r="AG45" s="94" t="s">
        <v>198</v>
      </c>
      <c r="AI45" s="85"/>
    </row>
    <row r="46" spans="1:35" ht="15" customHeight="1">
      <c r="A46" s="94">
        <v>44</v>
      </c>
      <c r="B46" s="94" t="s">
        <v>199</v>
      </c>
      <c r="C46" s="92">
        <v>22123</v>
      </c>
      <c r="D46" s="80">
        <v>3230</v>
      </c>
      <c r="E46" s="81">
        <v>2973</v>
      </c>
      <c r="F46" s="81">
        <v>2844</v>
      </c>
      <c r="G46" s="80">
        <v>592</v>
      </c>
      <c r="H46" s="81">
        <v>488</v>
      </c>
      <c r="I46" s="81">
        <v>466</v>
      </c>
      <c r="J46" s="81">
        <v>290</v>
      </c>
      <c r="K46" s="81">
        <v>286</v>
      </c>
      <c r="L46" s="80">
        <v>81</v>
      </c>
      <c r="M46" s="81">
        <v>53</v>
      </c>
      <c r="N46" s="81">
        <v>49</v>
      </c>
      <c r="O46" s="81">
        <v>8.5</v>
      </c>
      <c r="P46" s="79">
        <v>8.5</v>
      </c>
      <c r="Q46" s="81"/>
      <c r="R46" s="81"/>
      <c r="S46" s="79">
        <v>7.3605</v>
      </c>
      <c r="T46" s="81"/>
      <c r="U46" s="81"/>
      <c r="V46" s="81"/>
      <c r="W46" s="81"/>
      <c r="X46" s="81"/>
      <c r="Y46" s="81"/>
      <c r="Z46" s="80"/>
      <c r="AA46" s="81"/>
      <c r="AB46" s="81"/>
      <c r="AC46" s="81"/>
      <c r="AD46" s="81"/>
      <c r="AE46" s="93"/>
      <c r="AF46" s="94">
        <v>44</v>
      </c>
      <c r="AG46" s="94" t="s">
        <v>199</v>
      </c>
      <c r="AI46" s="85"/>
    </row>
    <row r="47" spans="1:35" ht="15" customHeight="1">
      <c r="A47" s="94">
        <v>45</v>
      </c>
      <c r="B47" s="94" t="s">
        <v>200</v>
      </c>
      <c r="C47" s="92">
        <v>23225</v>
      </c>
      <c r="D47" s="80">
        <v>3418</v>
      </c>
      <c r="E47" s="81">
        <v>3152</v>
      </c>
      <c r="F47" s="81">
        <v>3010</v>
      </c>
      <c r="G47" s="80">
        <v>634</v>
      </c>
      <c r="H47" s="81">
        <v>526</v>
      </c>
      <c r="I47" s="81">
        <v>501</v>
      </c>
      <c r="J47" s="81">
        <v>318</v>
      </c>
      <c r="K47" s="81">
        <v>313</v>
      </c>
      <c r="L47" s="80">
        <v>87</v>
      </c>
      <c r="M47" s="81">
        <v>58</v>
      </c>
      <c r="N47" s="81">
        <v>53</v>
      </c>
      <c r="O47" s="81">
        <v>9.56</v>
      </c>
      <c r="P47" s="79">
        <v>9.56</v>
      </c>
      <c r="Q47" s="81"/>
      <c r="R47" s="81"/>
      <c r="S47" s="79">
        <v>7.4588999999999999</v>
      </c>
      <c r="T47" s="81"/>
      <c r="U47" s="81"/>
      <c r="V47" s="81"/>
      <c r="W47" s="81"/>
      <c r="X47" s="81"/>
      <c r="Y47" s="81"/>
      <c r="Z47" s="80"/>
      <c r="AA47" s="81"/>
      <c r="AB47" s="81"/>
      <c r="AC47" s="81"/>
      <c r="AD47" s="81"/>
      <c r="AE47" s="93"/>
      <c r="AF47" s="94">
        <v>45</v>
      </c>
      <c r="AG47" s="94" t="s">
        <v>200</v>
      </c>
      <c r="AI47" s="85"/>
    </row>
    <row r="48" spans="1:35" ht="15" customHeight="1">
      <c r="A48" s="94">
        <v>46</v>
      </c>
      <c r="B48" s="94" t="s">
        <v>201</v>
      </c>
      <c r="C48" s="92">
        <v>24357</v>
      </c>
      <c r="D48" s="80">
        <v>3611</v>
      </c>
      <c r="E48" s="81">
        <v>3337</v>
      </c>
      <c r="F48" s="81">
        <v>3180</v>
      </c>
      <c r="G48" s="80">
        <v>677</v>
      </c>
      <c r="H48" s="81">
        <v>565</v>
      </c>
      <c r="I48" s="81">
        <v>537</v>
      </c>
      <c r="J48" s="81">
        <v>347</v>
      </c>
      <c r="K48" s="81">
        <v>342</v>
      </c>
      <c r="L48" s="80">
        <v>93</v>
      </c>
      <c r="M48" s="99">
        <v>63</v>
      </c>
      <c r="N48" s="99">
        <v>57</v>
      </c>
      <c r="O48" s="99">
        <v>8.8699999999999992</v>
      </c>
      <c r="P48" s="79">
        <v>8.3369</v>
      </c>
      <c r="Q48" s="81"/>
      <c r="R48" s="81"/>
      <c r="S48" s="80"/>
      <c r="T48" s="81"/>
      <c r="U48" s="81"/>
      <c r="V48" s="81"/>
      <c r="W48" s="81"/>
      <c r="X48" s="81"/>
      <c r="Y48" s="81"/>
      <c r="Z48" s="80"/>
      <c r="AA48" s="81"/>
      <c r="AB48" s="81"/>
      <c r="AC48" s="81"/>
      <c r="AD48" s="81"/>
      <c r="AE48" s="93"/>
      <c r="AF48" s="94">
        <v>46</v>
      </c>
      <c r="AG48" s="94" t="s">
        <v>201</v>
      </c>
      <c r="AI48" s="85"/>
    </row>
    <row r="49" spans="1:35" ht="15" customHeight="1">
      <c r="A49" s="77">
        <v>47</v>
      </c>
      <c r="B49" s="77" t="s">
        <v>202</v>
      </c>
      <c r="C49" s="92">
        <v>25520</v>
      </c>
      <c r="D49" s="80">
        <v>3812</v>
      </c>
      <c r="E49" s="81">
        <v>3530</v>
      </c>
      <c r="F49" s="81">
        <v>3357</v>
      </c>
      <c r="G49" s="80">
        <v>724</v>
      </c>
      <c r="H49" s="81">
        <v>608</v>
      </c>
      <c r="I49" s="81">
        <v>577</v>
      </c>
      <c r="J49" s="81">
        <v>379</v>
      </c>
      <c r="K49" s="81">
        <v>373</v>
      </c>
      <c r="L49" s="80">
        <v>101</v>
      </c>
      <c r="M49" s="81">
        <v>69</v>
      </c>
      <c r="N49" s="81">
        <v>63</v>
      </c>
      <c r="O49" s="81">
        <v>11</v>
      </c>
      <c r="P49" s="81">
        <v>10</v>
      </c>
      <c r="Q49" s="81"/>
      <c r="R49" s="81"/>
      <c r="S49" s="79">
        <v>7.5762</v>
      </c>
      <c r="T49" s="81"/>
      <c r="U49" s="81"/>
      <c r="V49" s="81"/>
      <c r="W49" s="81"/>
      <c r="X49" s="81"/>
      <c r="Y49" s="81"/>
      <c r="Z49" s="80"/>
      <c r="AA49" s="81"/>
      <c r="AB49" s="81"/>
      <c r="AC49" s="81"/>
      <c r="AD49" s="81"/>
      <c r="AE49" s="93"/>
      <c r="AF49" s="77">
        <v>47</v>
      </c>
      <c r="AG49" s="77" t="s">
        <v>202</v>
      </c>
      <c r="AI49" s="85"/>
    </row>
    <row r="50" spans="1:35" ht="15" customHeight="1">
      <c r="A50" s="94">
        <v>48</v>
      </c>
      <c r="B50" s="94" t="s">
        <v>203</v>
      </c>
      <c r="C50" s="92">
        <v>26715</v>
      </c>
      <c r="D50" s="80">
        <v>4022</v>
      </c>
      <c r="E50" s="81">
        <v>3732</v>
      </c>
      <c r="F50" s="81">
        <v>3542</v>
      </c>
      <c r="G50" s="80">
        <v>775</v>
      </c>
      <c r="H50" s="81">
        <v>655</v>
      </c>
      <c r="I50" s="81">
        <v>621</v>
      </c>
      <c r="J50" s="81">
        <v>415</v>
      </c>
      <c r="K50" s="81">
        <v>408</v>
      </c>
      <c r="L50" s="80">
        <v>112</v>
      </c>
      <c r="M50" s="81">
        <v>78</v>
      </c>
      <c r="N50" s="81">
        <v>71</v>
      </c>
      <c r="O50" s="81">
        <v>14</v>
      </c>
      <c r="P50" s="81">
        <v>13</v>
      </c>
      <c r="Q50" s="81"/>
      <c r="R50" s="81"/>
      <c r="S50" s="79">
        <v>8.9938000000000002</v>
      </c>
      <c r="T50" s="81"/>
      <c r="U50" s="81"/>
      <c r="V50" s="81"/>
      <c r="W50" s="81"/>
      <c r="X50" s="81"/>
      <c r="Y50" s="81"/>
      <c r="Z50" s="80"/>
      <c r="AA50" s="81"/>
      <c r="AB50" s="81"/>
      <c r="AC50" s="81"/>
      <c r="AD50" s="81"/>
      <c r="AE50" s="93"/>
      <c r="AF50" s="94">
        <v>48</v>
      </c>
      <c r="AG50" s="94" t="s">
        <v>203</v>
      </c>
      <c r="AI50" s="85"/>
    </row>
    <row r="51" spans="1:35" ht="15" customHeight="1">
      <c r="A51" s="94">
        <v>49</v>
      </c>
      <c r="B51" s="94" t="s">
        <v>204</v>
      </c>
      <c r="C51" s="92">
        <v>27944</v>
      </c>
      <c r="D51" s="80">
        <v>4242</v>
      </c>
      <c r="E51" s="81">
        <v>3943</v>
      </c>
      <c r="F51" s="81">
        <v>3735</v>
      </c>
      <c r="G51" s="80">
        <v>830</v>
      </c>
      <c r="H51" s="81">
        <v>707</v>
      </c>
      <c r="I51" s="81">
        <v>669</v>
      </c>
      <c r="J51" s="81">
        <v>455</v>
      </c>
      <c r="K51" s="81">
        <v>447</v>
      </c>
      <c r="L51" s="80">
        <v>126</v>
      </c>
      <c r="M51" s="81">
        <v>90</v>
      </c>
      <c r="N51" s="81">
        <v>82</v>
      </c>
      <c r="O51" s="81">
        <v>21</v>
      </c>
      <c r="P51" s="81">
        <v>20</v>
      </c>
      <c r="Q51" s="81"/>
      <c r="R51" s="81"/>
      <c r="S51" s="80">
        <v>10</v>
      </c>
      <c r="T51" s="79">
        <v>5.7863600000000002</v>
      </c>
      <c r="U51" s="81"/>
      <c r="V51" s="81"/>
      <c r="W51" s="81"/>
      <c r="X51" s="81"/>
      <c r="Y51" s="81"/>
      <c r="Z51" s="80"/>
      <c r="AA51" s="81"/>
      <c r="AB51" s="81"/>
      <c r="AC51" s="81"/>
      <c r="AD51" s="81"/>
      <c r="AE51" s="93"/>
      <c r="AF51" s="94">
        <v>49</v>
      </c>
      <c r="AG51" s="94" t="s">
        <v>204</v>
      </c>
      <c r="AI51" s="85"/>
    </row>
    <row r="52" spans="1:35" ht="15" customHeight="1">
      <c r="A52" s="94">
        <v>50</v>
      </c>
      <c r="B52" s="94" t="s">
        <v>205</v>
      </c>
      <c r="C52" s="92">
        <v>29204</v>
      </c>
      <c r="D52" s="80">
        <v>4469</v>
      </c>
      <c r="E52" s="81">
        <v>4160</v>
      </c>
      <c r="F52" s="81">
        <v>3933</v>
      </c>
      <c r="G52" s="80">
        <v>888</v>
      </c>
      <c r="H52" s="81">
        <v>761</v>
      </c>
      <c r="I52" s="81">
        <v>719</v>
      </c>
      <c r="J52" s="81">
        <v>497</v>
      </c>
      <c r="K52" s="81">
        <v>489</v>
      </c>
      <c r="L52" s="80">
        <v>141</v>
      </c>
      <c r="M52" s="81">
        <v>102</v>
      </c>
      <c r="N52" s="81">
        <v>93</v>
      </c>
      <c r="O52" s="81">
        <v>29</v>
      </c>
      <c r="P52" s="81">
        <v>28</v>
      </c>
      <c r="Q52" s="81"/>
      <c r="R52" s="81"/>
      <c r="S52" s="80">
        <v>12</v>
      </c>
      <c r="T52" s="79">
        <v>7.3438999999999997</v>
      </c>
      <c r="U52" s="81"/>
      <c r="V52" s="81"/>
      <c r="W52" s="81"/>
      <c r="X52" s="81"/>
      <c r="Y52" s="81"/>
      <c r="Z52" s="80"/>
      <c r="AA52" s="81"/>
      <c r="AB52" s="81"/>
      <c r="AC52" s="81"/>
      <c r="AD52" s="81"/>
      <c r="AE52" s="93"/>
      <c r="AF52" s="94">
        <v>50</v>
      </c>
      <c r="AG52" s="94" t="s">
        <v>205</v>
      </c>
      <c r="AI52" s="85"/>
    </row>
    <row r="53" spans="1:35" ht="15" customHeight="1">
      <c r="A53" s="94">
        <v>51</v>
      </c>
      <c r="B53" s="94" t="s">
        <v>206</v>
      </c>
      <c r="C53" s="92">
        <v>30496</v>
      </c>
      <c r="D53" s="80">
        <v>4703</v>
      </c>
      <c r="E53" s="81">
        <v>4385</v>
      </c>
      <c r="F53" s="81">
        <v>4137</v>
      </c>
      <c r="G53" s="80">
        <v>949</v>
      </c>
      <c r="H53" s="81">
        <v>817</v>
      </c>
      <c r="I53" s="81">
        <v>771</v>
      </c>
      <c r="J53" s="81">
        <v>542</v>
      </c>
      <c r="K53" s="81">
        <v>533</v>
      </c>
      <c r="L53" s="80">
        <v>157</v>
      </c>
      <c r="M53" s="81">
        <v>114</v>
      </c>
      <c r="N53" s="81">
        <v>104</v>
      </c>
      <c r="O53" s="81">
        <v>38</v>
      </c>
      <c r="P53" s="81">
        <v>37</v>
      </c>
      <c r="Q53" s="81"/>
      <c r="R53" s="81"/>
      <c r="S53" s="80">
        <v>15</v>
      </c>
      <c r="T53" s="79">
        <v>8.6083999999999996</v>
      </c>
      <c r="U53" s="81"/>
      <c r="V53" s="81"/>
      <c r="W53" s="81"/>
      <c r="X53" s="81"/>
      <c r="Y53" s="81"/>
      <c r="Z53" s="80"/>
      <c r="AA53" s="81"/>
      <c r="AB53" s="81"/>
      <c r="AC53" s="81"/>
      <c r="AD53" s="81"/>
      <c r="AE53" s="93"/>
      <c r="AF53" s="94">
        <v>51</v>
      </c>
      <c r="AG53" s="94" t="s">
        <v>206</v>
      </c>
      <c r="AI53" s="85"/>
    </row>
    <row r="54" spans="1:35" ht="15" customHeight="1">
      <c r="A54" s="94">
        <v>52</v>
      </c>
      <c r="B54" s="94" t="s">
        <v>207</v>
      </c>
      <c r="C54" s="92">
        <v>31820</v>
      </c>
      <c r="D54" s="80">
        <v>4945</v>
      </c>
      <c r="E54" s="81">
        <v>4618</v>
      </c>
      <c r="F54" s="81">
        <v>4347</v>
      </c>
      <c r="G54" s="80">
        <v>1012</v>
      </c>
      <c r="H54" s="81">
        <v>876</v>
      </c>
      <c r="I54" s="81">
        <v>825</v>
      </c>
      <c r="J54" s="81">
        <v>589</v>
      </c>
      <c r="K54" s="81">
        <v>578</v>
      </c>
      <c r="L54" s="80">
        <v>174</v>
      </c>
      <c r="M54" s="81">
        <v>127</v>
      </c>
      <c r="N54" s="81">
        <v>117</v>
      </c>
      <c r="O54" s="81">
        <v>48</v>
      </c>
      <c r="P54" s="81">
        <v>46</v>
      </c>
      <c r="Q54" s="81"/>
      <c r="R54" s="81"/>
      <c r="S54" s="80">
        <v>17.84</v>
      </c>
      <c r="T54" s="81">
        <v>9.01</v>
      </c>
      <c r="U54" s="79">
        <v>9.0096000000000007</v>
      </c>
      <c r="V54" s="81"/>
      <c r="W54" s="81"/>
      <c r="X54" s="81"/>
      <c r="Y54" s="81"/>
      <c r="Z54" s="80"/>
      <c r="AA54" s="81"/>
      <c r="AB54" s="81"/>
      <c r="AC54" s="81"/>
      <c r="AD54" s="81"/>
      <c r="AE54" s="93"/>
      <c r="AF54" s="94">
        <v>52</v>
      </c>
      <c r="AG54" s="94" t="s">
        <v>207</v>
      </c>
      <c r="AI54" s="85"/>
    </row>
    <row r="55" spans="1:35" ht="15" customHeight="1">
      <c r="A55" s="94">
        <v>53</v>
      </c>
      <c r="B55" s="94" t="s">
        <v>28</v>
      </c>
      <c r="C55" s="92">
        <v>33176</v>
      </c>
      <c r="D55" s="80">
        <v>5195</v>
      </c>
      <c r="E55" s="81">
        <v>4858</v>
      </c>
      <c r="F55" s="81">
        <v>4563</v>
      </c>
      <c r="G55" s="80">
        <v>1078</v>
      </c>
      <c r="H55" s="81">
        <v>937</v>
      </c>
      <c r="I55" s="81">
        <v>881</v>
      </c>
      <c r="J55" s="81">
        <v>638</v>
      </c>
      <c r="K55" s="81">
        <v>626</v>
      </c>
      <c r="L55" s="80">
        <v>193</v>
      </c>
      <c r="M55" s="81">
        <v>141</v>
      </c>
      <c r="N55" s="81">
        <v>131</v>
      </c>
      <c r="O55" s="81">
        <v>58</v>
      </c>
      <c r="P55" s="81">
        <v>56</v>
      </c>
      <c r="Q55" s="81"/>
      <c r="R55" s="81"/>
      <c r="S55" s="80">
        <v>20.61</v>
      </c>
      <c r="T55" s="81">
        <v>10.45126</v>
      </c>
      <c r="U55" s="79">
        <v>10.45126</v>
      </c>
      <c r="V55" s="81"/>
      <c r="W55" s="81"/>
      <c r="X55" s="81"/>
      <c r="Y55" s="81"/>
      <c r="Z55" s="80"/>
      <c r="AA55" s="81"/>
      <c r="AB55" s="81"/>
      <c r="AC55" s="81"/>
      <c r="AD55" s="81"/>
      <c r="AE55" s="93"/>
      <c r="AF55" s="94">
        <v>53</v>
      </c>
      <c r="AG55" s="94" t="s">
        <v>28</v>
      </c>
      <c r="AI55" s="85"/>
    </row>
    <row r="56" spans="1:35" ht="15" customHeight="1" thickBot="1">
      <c r="A56" s="86">
        <v>54</v>
      </c>
      <c r="B56" s="86" t="s">
        <v>208</v>
      </c>
      <c r="C56" s="96">
        <v>34565</v>
      </c>
      <c r="D56" s="89">
        <v>5452</v>
      </c>
      <c r="E56" s="90">
        <v>5106</v>
      </c>
      <c r="F56" s="90">
        <v>4785</v>
      </c>
      <c r="G56" s="89">
        <v>1149</v>
      </c>
      <c r="H56" s="90">
        <v>1001</v>
      </c>
      <c r="I56" s="90">
        <v>939</v>
      </c>
      <c r="J56" s="90">
        <v>689</v>
      </c>
      <c r="K56" s="90">
        <v>676</v>
      </c>
      <c r="L56" s="89">
        <v>213</v>
      </c>
      <c r="M56" s="90">
        <v>157</v>
      </c>
      <c r="N56" s="90">
        <v>147</v>
      </c>
      <c r="O56" s="90">
        <v>69.5</v>
      </c>
      <c r="P56" s="90">
        <v>67.5</v>
      </c>
      <c r="Q56" s="90"/>
      <c r="R56" s="90"/>
      <c r="S56" s="89">
        <v>23.4</v>
      </c>
      <c r="T56" s="90">
        <v>13.44</v>
      </c>
      <c r="U56" s="97">
        <v>12.129799999999999</v>
      </c>
      <c r="V56" s="90"/>
      <c r="W56" s="90"/>
      <c r="X56" s="90"/>
      <c r="Y56" s="90"/>
      <c r="Z56" s="89"/>
      <c r="AA56" s="90"/>
      <c r="AB56" s="90"/>
      <c r="AC56" s="90"/>
      <c r="AD56" s="90"/>
      <c r="AE56" s="91"/>
      <c r="AF56" s="86">
        <v>54</v>
      </c>
      <c r="AG56" s="86" t="s">
        <v>208</v>
      </c>
      <c r="AI56" s="85"/>
    </row>
    <row r="57" spans="1:35" ht="15" customHeight="1" thickTop="1">
      <c r="A57" s="77">
        <v>55</v>
      </c>
      <c r="B57" s="77" t="s">
        <v>29</v>
      </c>
      <c r="C57" s="92">
        <v>35987</v>
      </c>
      <c r="D57" s="80">
        <v>5717</v>
      </c>
      <c r="E57" s="81">
        <v>5362</v>
      </c>
      <c r="F57" s="81">
        <v>5014</v>
      </c>
      <c r="G57" s="80">
        <v>1220</v>
      </c>
      <c r="H57" s="81">
        <v>1068</v>
      </c>
      <c r="I57" s="81">
        <v>1000</v>
      </c>
      <c r="J57" s="81">
        <v>742</v>
      </c>
      <c r="K57" s="81">
        <v>728</v>
      </c>
      <c r="L57" s="80">
        <v>233</v>
      </c>
      <c r="M57" s="81">
        <v>174</v>
      </c>
      <c r="N57" s="81">
        <v>164</v>
      </c>
      <c r="O57" s="81">
        <v>81</v>
      </c>
      <c r="P57" s="81">
        <v>79</v>
      </c>
      <c r="Q57" s="81"/>
      <c r="R57" s="81"/>
      <c r="S57" s="80">
        <v>25</v>
      </c>
      <c r="T57" s="81">
        <v>14</v>
      </c>
      <c r="U57" s="81">
        <v>12.3</v>
      </c>
      <c r="V57" s="81"/>
      <c r="W57" s="81"/>
      <c r="X57" s="81"/>
      <c r="Y57" s="81"/>
      <c r="Z57" s="79">
        <v>3.8938999999999999</v>
      </c>
      <c r="AA57" s="81"/>
      <c r="AB57" s="81"/>
      <c r="AC57" s="81"/>
      <c r="AD57" s="81"/>
      <c r="AE57" s="93"/>
      <c r="AF57" s="77">
        <v>55</v>
      </c>
      <c r="AG57" s="77" t="s">
        <v>29</v>
      </c>
      <c r="AI57" s="85"/>
    </row>
    <row r="58" spans="1:35" ht="15" customHeight="1">
      <c r="A58" s="94">
        <v>56</v>
      </c>
      <c r="B58" s="94" t="s">
        <v>209</v>
      </c>
      <c r="C58" s="92">
        <v>37442</v>
      </c>
      <c r="D58" s="80">
        <v>5991</v>
      </c>
      <c r="E58" s="81">
        <v>5626</v>
      </c>
      <c r="F58" s="81">
        <v>5249</v>
      </c>
      <c r="G58" s="80">
        <v>1293</v>
      </c>
      <c r="H58" s="81">
        <v>1138</v>
      </c>
      <c r="I58" s="81">
        <v>1063</v>
      </c>
      <c r="J58" s="81">
        <v>797</v>
      </c>
      <c r="K58" s="81">
        <v>782</v>
      </c>
      <c r="L58" s="80">
        <v>254</v>
      </c>
      <c r="M58" s="81">
        <v>193</v>
      </c>
      <c r="N58" s="81">
        <v>181</v>
      </c>
      <c r="O58" s="81">
        <v>94</v>
      </c>
      <c r="P58" s="81">
        <v>92</v>
      </c>
      <c r="Q58" s="81"/>
      <c r="R58" s="81"/>
      <c r="S58" s="80">
        <v>31</v>
      </c>
      <c r="T58" s="81">
        <v>18</v>
      </c>
      <c r="U58" s="81">
        <v>16</v>
      </c>
      <c r="V58" s="81"/>
      <c r="W58" s="81"/>
      <c r="X58" s="81"/>
      <c r="Y58" s="81"/>
      <c r="Z58" s="79">
        <v>5.2117000000000004</v>
      </c>
      <c r="AA58" s="81"/>
      <c r="AB58" s="81"/>
      <c r="AC58" s="81"/>
      <c r="AD58" s="81"/>
      <c r="AE58" s="93"/>
      <c r="AF58" s="94">
        <v>56</v>
      </c>
      <c r="AG58" s="94" t="s">
        <v>209</v>
      </c>
      <c r="AI58" s="85"/>
    </row>
    <row r="59" spans="1:35" ht="15" customHeight="1">
      <c r="A59" s="94">
        <v>57</v>
      </c>
      <c r="B59" s="94" t="s">
        <v>210</v>
      </c>
      <c r="C59" s="92">
        <v>38928</v>
      </c>
      <c r="D59" s="80">
        <v>6269</v>
      </c>
      <c r="E59" s="81">
        <v>5894</v>
      </c>
      <c r="F59" s="81">
        <v>5486</v>
      </c>
      <c r="G59" s="80">
        <v>1365</v>
      </c>
      <c r="H59" s="81">
        <v>1207</v>
      </c>
      <c r="I59" s="81">
        <v>1124</v>
      </c>
      <c r="J59" s="81">
        <v>851</v>
      </c>
      <c r="K59" s="81">
        <v>834</v>
      </c>
      <c r="L59" s="80">
        <v>273</v>
      </c>
      <c r="M59" s="81">
        <v>210</v>
      </c>
      <c r="N59" s="81">
        <v>196</v>
      </c>
      <c r="O59" s="81">
        <v>105</v>
      </c>
      <c r="P59" s="81">
        <v>103</v>
      </c>
      <c r="Q59" s="81"/>
      <c r="R59" s="81"/>
      <c r="S59" s="80">
        <v>36</v>
      </c>
      <c r="T59" s="81">
        <v>22</v>
      </c>
      <c r="U59" s="81">
        <v>19</v>
      </c>
      <c r="V59" s="81">
        <v>5.75</v>
      </c>
      <c r="W59" s="81"/>
      <c r="X59" s="81"/>
      <c r="Y59" s="81"/>
      <c r="Z59" s="79">
        <v>5.5769000000000002</v>
      </c>
      <c r="AA59" s="81"/>
      <c r="AB59" s="81"/>
      <c r="AC59" s="81"/>
      <c r="AD59" s="81"/>
      <c r="AE59" s="93"/>
      <c r="AF59" s="94">
        <v>57</v>
      </c>
      <c r="AG59" s="94" t="s">
        <v>210</v>
      </c>
      <c r="AI59" s="85"/>
    </row>
    <row r="60" spans="1:35" ht="15" customHeight="1">
      <c r="A60" s="94">
        <v>58</v>
      </c>
      <c r="B60" s="94" t="s">
        <v>211</v>
      </c>
      <c r="C60" s="92">
        <v>40446</v>
      </c>
      <c r="D60" s="80">
        <v>6552</v>
      </c>
      <c r="E60" s="81">
        <v>6167</v>
      </c>
      <c r="F60" s="81">
        <v>5726</v>
      </c>
      <c r="G60" s="80">
        <v>1437</v>
      </c>
      <c r="H60" s="81">
        <v>1275</v>
      </c>
      <c r="I60" s="81">
        <v>1184</v>
      </c>
      <c r="J60" s="81">
        <v>903</v>
      </c>
      <c r="K60" s="81">
        <v>885</v>
      </c>
      <c r="L60" s="80">
        <v>291</v>
      </c>
      <c r="M60" s="81">
        <v>225</v>
      </c>
      <c r="N60" s="81">
        <v>209</v>
      </c>
      <c r="O60" s="81">
        <v>114</v>
      </c>
      <c r="P60" s="81">
        <v>111</v>
      </c>
      <c r="Q60" s="81">
        <v>6</v>
      </c>
      <c r="R60" s="81"/>
      <c r="S60" s="80">
        <v>39</v>
      </c>
      <c r="T60" s="81">
        <v>25</v>
      </c>
      <c r="U60" s="81">
        <v>22</v>
      </c>
      <c r="V60" s="79"/>
      <c r="W60" s="81"/>
      <c r="X60" s="81"/>
      <c r="Y60" s="81"/>
      <c r="Z60" s="79">
        <v>5.5387000000000004</v>
      </c>
      <c r="AA60" s="81"/>
      <c r="AB60" s="81"/>
      <c r="AC60" s="81"/>
      <c r="AD60" s="81"/>
      <c r="AE60" s="93"/>
      <c r="AF60" s="94">
        <v>58</v>
      </c>
      <c r="AG60" s="94" t="s">
        <v>211</v>
      </c>
      <c r="AI60" s="85"/>
    </row>
    <row r="61" spans="1:35" ht="15" customHeight="1">
      <c r="A61" s="94">
        <v>59</v>
      </c>
      <c r="B61" s="94" t="s">
        <v>212</v>
      </c>
      <c r="C61" s="92">
        <v>41995</v>
      </c>
      <c r="D61" s="80">
        <v>6839</v>
      </c>
      <c r="E61" s="81">
        <v>6444</v>
      </c>
      <c r="F61" s="81">
        <v>5968</v>
      </c>
      <c r="G61" s="80">
        <v>1509</v>
      </c>
      <c r="H61" s="81">
        <v>1342</v>
      </c>
      <c r="I61" s="81">
        <v>1244</v>
      </c>
      <c r="J61" s="81">
        <v>954</v>
      </c>
      <c r="K61" s="81">
        <v>934</v>
      </c>
      <c r="L61" s="80">
        <v>307</v>
      </c>
      <c r="M61" s="81">
        <v>238</v>
      </c>
      <c r="N61" s="81">
        <v>220</v>
      </c>
      <c r="O61" s="81">
        <v>121</v>
      </c>
      <c r="P61" s="81">
        <v>117</v>
      </c>
      <c r="Q61" s="81">
        <v>6</v>
      </c>
      <c r="R61" s="81"/>
      <c r="S61" s="80">
        <v>41</v>
      </c>
      <c r="T61" s="81">
        <v>27</v>
      </c>
      <c r="U61" s="81">
        <v>24</v>
      </c>
      <c r="V61" s="81"/>
      <c r="W61" s="81"/>
      <c r="X61" s="81"/>
      <c r="Y61" s="81"/>
      <c r="Z61" s="79">
        <v>5.4729999999999999</v>
      </c>
      <c r="AA61" s="81"/>
      <c r="AB61" s="81"/>
      <c r="AC61" s="81"/>
      <c r="AD61" s="81"/>
      <c r="AE61" s="93"/>
      <c r="AF61" s="94">
        <v>59</v>
      </c>
      <c r="AG61" s="94" t="s">
        <v>212</v>
      </c>
      <c r="AI61" s="85"/>
    </row>
    <row r="62" spans="1:35" ht="15" customHeight="1">
      <c r="A62" s="94">
        <v>60</v>
      </c>
      <c r="B62" s="94" t="s">
        <v>213</v>
      </c>
      <c r="C62" s="92">
        <v>43575</v>
      </c>
      <c r="D62" s="80">
        <v>7132</v>
      </c>
      <c r="E62" s="81">
        <v>6727</v>
      </c>
      <c r="F62" s="81">
        <v>6213</v>
      </c>
      <c r="G62" s="80">
        <v>1580</v>
      </c>
      <c r="H62" s="81">
        <v>1408</v>
      </c>
      <c r="I62" s="81">
        <v>1303</v>
      </c>
      <c r="J62" s="81">
        <v>1005</v>
      </c>
      <c r="K62" s="81">
        <v>983</v>
      </c>
      <c r="L62" s="80">
        <v>321</v>
      </c>
      <c r="M62" s="81">
        <v>250</v>
      </c>
      <c r="N62" s="81">
        <v>230</v>
      </c>
      <c r="O62" s="81">
        <v>126</v>
      </c>
      <c r="P62" s="81">
        <v>122</v>
      </c>
      <c r="Q62" s="81">
        <v>6</v>
      </c>
      <c r="R62" s="81"/>
      <c r="S62" s="80">
        <v>42</v>
      </c>
      <c r="T62" s="81">
        <v>28</v>
      </c>
      <c r="U62" s="81">
        <v>25</v>
      </c>
      <c r="V62" s="81"/>
      <c r="W62" s="81"/>
      <c r="X62" s="81"/>
      <c r="Y62" s="81"/>
      <c r="Z62" s="79">
        <v>5.5250000000000004</v>
      </c>
      <c r="AA62" s="81"/>
      <c r="AB62" s="81"/>
      <c r="AC62" s="81"/>
      <c r="AD62" s="81"/>
      <c r="AE62" s="93"/>
      <c r="AF62" s="94">
        <v>60</v>
      </c>
      <c r="AG62" s="94" t="s">
        <v>213</v>
      </c>
      <c r="AI62" s="85"/>
    </row>
    <row r="63" spans="1:35" ht="15" customHeight="1">
      <c r="A63" s="94">
        <v>61</v>
      </c>
      <c r="B63" s="94" t="s">
        <v>214</v>
      </c>
      <c r="C63" s="92">
        <v>45188</v>
      </c>
      <c r="D63" s="80">
        <v>7432</v>
      </c>
      <c r="E63" s="81">
        <v>7017</v>
      </c>
      <c r="F63" s="81">
        <v>6464</v>
      </c>
      <c r="G63" s="80">
        <v>1653</v>
      </c>
      <c r="H63" s="81">
        <v>1476</v>
      </c>
      <c r="I63" s="81">
        <v>1362</v>
      </c>
      <c r="J63" s="81">
        <v>1057</v>
      </c>
      <c r="K63" s="81">
        <v>1032</v>
      </c>
      <c r="L63" s="80">
        <v>335</v>
      </c>
      <c r="M63" s="81">
        <v>261</v>
      </c>
      <c r="N63" s="81">
        <v>240</v>
      </c>
      <c r="O63" s="81">
        <v>131</v>
      </c>
      <c r="P63" s="81">
        <v>127</v>
      </c>
      <c r="Q63" s="81">
        <v>6</v>
      </c>
      <c r="R63" s="81"/>
      <c r="S63" s="80">
        <v>43</v>
      </c>
      <c r="T63" s="81">
        <v>28</v>
      </c>
      <c r="U63" s="81">
        <v>25</v>
      </c>
      <c r="V63" s="81"/>
      <c r="W63" s="81"/>
      <c r="X63" s="81"/>
      <c r="Y63" s="81"/>
      <c r="Z63" s="79">
        <v>5.5819999999999999</v>
      </c>
      <c r="AA63" s="81"/>
      <c r="AB63" s="81"/>
      <c r="AC63" s="81"/>
      <c r="AD63" s="81"/>
      <c r="AE63" s="93"/>
      <c r="AF63" s="94">
        <v>61</v>
      </c>
      <c r="AG63" s="94" t="s">
        <v>214</v>
      </c>
      <c r="AI63" s="85"/>
    </row>
    <row r="64" spans="1:35" ht="15" customHeight="1">
      <c r="A64" s="94">
        <v>62</v>
      </c>
      <c r="B64" s="94" t="s">
        <v>215</v>
      </c>
      <c r="C64" s="92">
        <v>46837</v>
      </c>
      <c r="D64" s="80">
        <v>7740</v>
      </c>
      <c r="E64" s="81">
        <v>7315</v>
      </c>
      <c r="F64" s="81">
        <v>6720</v>
      </c>
      <c r="G64" s="80">
        <v>1728</v>
      </c>
      <c r="H64" s="81">
        <v>1546</v>
      </c>
      <c r="I64" s="81">
        <v>1422</v>
      </c>
      <c r="J64" s="81">
        <v>1110</v>
      </c>
      <c r="K64" s="81">
        <v>1083</v>
      </c>
      <c r="L64" s="80">
        <v>349</v>
      </c>
      <c r="M64" s="81">
        <v>273</v>
      </c>
      <c r="N64" s="81">
        <v>251</v>
      </c>
      <c r="O64" s="81">
        <v>137</v>
      </c>
      <c r="P64" s="81">
        <v>132</v>
      </c>
      <c r="Q64" s="81">
        <v>6</v>
      </c>
      <c r="R64" s="81"/>
      <c r="S64" s="80">
        <v>44</v>
      </c>
      <c r="T64" s="81">
        <v>29</v>
      </c>
      <c r="U64" s="81">
        <v>25</v>
      </c>
      <c r="V64" s="81"/>
      <c r="W64" s="81"/>
      <c r="X64" s="81"/>
      <c r="Y64" s="81"/>
      <c r="Z64" s="79">
        <v>5.6436000000000002</v>
      </c>
      <c r="AA64" s="81"/>
      <c r="AB64" s="81"/>
      <c r="AC64" s="81"/>
      <c r="AD64" s="81"/>
      <c r="AE64" s="93"/>
      <c r="AF64" s="94">
        <v>62</v>
      </c>
      <c r="AG64" s="94" t="s">
        <v>215</v>
      </c>
      <c r="AI64" s="85"/>
    </row>
    <row r="65" spans="1:35" ht="15" customHeight="1">
      <c r="A65" s="94">
        <v>63</v>
      </c>
      <c r="B65" s="94" t="s">
        <v>216</v>
      </c>
      <c r="C65" s="92">
        <v>48522</v>
      </c>
      <c r="D65" s="80">
        <v>8056</v>
      </c>
      <c r="E65" s="81">
        <v>7621</v>
      </c>
      <c r="F65" s="81">
        <v>6981</v>
      </c>
      <c r="G65" s="80">
        <v>1805</v>
      </c>
      <c r="H65" s="81">
        <v>1618</v>
      </c>
      <c r="I65" s="99">
        <v>1484</v>
      </c>
      <c r="J65" s="81">
        <v>1164</v>
      </c>
      <c r="K65" s="81">
        <v>1135</v>
      </c>
      <c r="L65" s="80">
        <v>364</v>
      </c>
      <c r="M65" s="81">
        <v>286</v>
      </c>
      <c r="N65" s="81">
        <v>262</v>
      </c>
      <c r="O65" s="81">
        <v>143</v>
      </c>
      <c r="P65" s="81">
        <v>137</v>
      </c>
      <c r="Q65" s="81">
        <v>6</v>
      </c>
      <c r="R65" s="81"/>
      <c r="S65" s="80">
        <v>45</v>
      </c>
      <c r="T65" s="81">
        <v>30</v>
      </c>
      <c r="U65" s="81">
        <v>26</v>
      </c>
      <c r="V65" s="81"/>
      <c r="W65" s="81"/>
      <c r="X65" s="81"/>
      <c r="Y65" s="81"/>
      <c r="Z65" s="79">
        <v>5.6703999999999999</v>
      </c>
      <c r="AA65" s="81"/>
      <c r="AB65" s="81"/>
      <c r="AC65" s="81"/>
      <c r="AD65" s="81"/>
      <c r="AE65" s="93"/>
      <c r="AF65" s="94">
        <v>63</v>
      </c>
      <c r="AG65" s="94" t="s">
        <v>216</v>
      </c>
      <c r="AI65" s="85"/>
    </row>
    <row r="66" spans="1:35" ht="15" customHeight="1">
      <c r="A66" s="94" t="s">
        <v>217</v>
      </c>
      <c r="B66" s="94" t="s">
        <v>218</v>
      </c>
      <c r="C66" s="92">
        <v>50243</v>
      </c>
      <c r="D66" s="80">
        <v>8380</v>
      </c>
      <c r="E66" s="81">
        <v>7935</v>
      </c>
      <c r="F66" s="81">
        <v>7247</v>
      </c>
      <c r="G66" s="80">
        <v>1884</v>
      </c>
      <c r="H66" s="81">
        <v>1692</v>
      </c>
      <c r="I66" s="81">
        <v>1547</v>
      </c>
      <c r="J66" s="81">
        <v>1220</v>
      </c>
      <c r="K66" s="81">
        <v>1189</v>
      </c>
      <c r="L66" s="80">
        <v>380</v>
      </c>
      <c r="M66" s="81">
        <v>300</v>
      </c>
      <c r="N66" s="81">
        <v>273</v>
      </c>
      <c r="O66" s="81">
        <v>150</v>
      </c>
      <c r="P66" s="81">
        <v>143</v>
      </c>
      <c r="Q66" s="79">
        <v>6.5</v>
      </c>
      <c r="R66" s="81"/>
      <c r="S66" s="80">
        <v>46</v>
      </c>
      <c r="T66" s="81">
        <v>31</v>
      </c>
      <c r="U66" s="81">
        <v>27</v>
      </c>
      <c r="V66" s="79">
        <v>6.5</v>
      </c>
      <c r="W66" s="81"/>
      <c r="X66" s="81"/>
      <c r="Y66" s="81"/>
      <c r="Z66" s="79">
        <v>6.1501000000000001</v>
      </c>
      <c r="AA66" s="81"/>
      <c r="AB66" s="81"/>
      <c r="AC66" s="81"/>
      <c r="AD66" s="81"/>
      <c r="AE66" s="93"/>
      <c r="AF66" s="94" t="s">
        <v>217</v>
      </c>
      <c r="AG66" s="94" t="s">
        <v>218</v>
      </c>
      <c r="AI66" s="85"/>
    </row>
    <row r="67" spans="1:35" ht="15" customHeight="1">
      <c r="A67" s="94" t="s">
        <v>219</v>
      </c>
      <c r="B67" s="94" t="s">
        <v>218</v>
      </c>
      <c r="C67" s="92">
        <v>50243</v>
      </c>
      <c r="D67" s="80">
        <v>8380</v>
      </c>
      <c r="E67" s="81">
        <v>7935</v>
      </c>
      <c r="F67" s="81">
        <v>7247</v>
      </c>
      <c r="G67" s="80">
        <v>1884</v>
      </c>
      <c r="H67" s="81">
        <v>1692</v>
      </c>
      <c r="I67" s="81">
        <v>1547</v>
      </c>
      <c r="J67" s="81">
        <v>1220</v>
      </c>
      <c r="K67" s="81">
        <v>1189</v>
      </c>
      <c r="L67" s="80">
        <v>380</v>
      </c>
      <c r="M67" s="81">
        <v>300</v>
      </c>
      <c r="N67" s="81">
        <v>273</v>
      </c>
      <c r="O67" s="81">
        <v>150</v>
      </c>
      <c r="P67" s="81">
        <v>143</v>
      </c>
      <c r="Q67" s="79">
        <v>6.5</v>
      </c>
      <c r="R67" s="81"/>
      <c r="S67" s="80">
        <v>46</v>
      </c>
      <c r="T67" s="81">
        <v>31</v>
      </c>
      <c r="U67" s="81">
        <v>27</v>
      </c>
      <c r="V67" s="79">
        <v>6.1501000000000001</v>
      </c>
      <c r="W67" s="81"/>
      <c r="X67" s="81"/>
      <c r="Y67" s="81"/>
      <c r="Z67" s="80">
        <v>6.16</v>
      </c>
      <c r="AA67" s="81"/>
      <c r="AB67" s="81"/>
      <c r="AC67" s="81"/>
      <c r="AD67" s="81"/>
      <c r="AE67" s="93"/>
      <c r="AF67" s="94" t="s">
        <v>219</v>
      </c>
      <c r="AG67" s="94" t="s">
        <v>218</v>
      </c>
      <c r="AI67" s="85"/>
    </row>
    <row r="68" spans="1:35" ht="15" customHeight="1">
      <c r="A68" s="94" t="s">
        <v>220</v>
      </c>
      <c r="B68" s="94" t="s">
        <v>218</v>
      </c>
      <c r="C68" s="92">
        <v>50243</v>
      </c>
      <c r="D68" s="80">
        <v>8380</v>
      </c>
      <c r="E68" s="81">
        <v>7935</v>
      </c>
      <c r="F68" s="81">
        <v>7247</v>
      </c>
      <c r="G68" s="80">
        <v>1884</v>
      </c>
      <c r="H68" s="81">
        <v>1692</v>
      </c>
      <c r="I68" s="81">
        <v>1547</v>
      </c>
      <c r="J68" s="81">
        <v>1220</v>
      </c>
      <c r="K68" s="81">
        <v>1189</v>
      </c>
      <c r="L68" s="80">
        <v>380</v>
      </c>
      <c r="M68" s="81">
        <v>300</v>
      </c>
      <c r="N68" s="81">
        <v>273</v>
      </c>
      <c r="O68" s="81">
        <v>150</v>
      </c>
      <c r="P68" s="81">
        <v>143</v>
      </c>
      <c r="Q68" s="79">
        <v>6.1501000000000001</v>
      </c>
      <c r="R68" s="81"/>
      <c r="S68" s="80">
        <v>46</v>
      </c>
      <c r="T68" s="81">
        <v>31</v>
      </c>
      <c r="U68" s="81">
        <v>27</v>
      </c>
      <c r="V68" s="79">
        <v>6.5</v>
      </c>
      <c r="W68" s="81"/>
      <c r="X68" s="81"/>
      <c r="Y68" s="81"/>
      <c r="Z68" s="80">
        <v>6.16</v>
      </c>
      <c r="AA68" s="81"/>
      <c r="AB68" s="81"/>
      <c r="AC68" s="81"/>
      <c r="AD68" s="81"/>
      <c r="AE68" s="93"/>
      <c r="AF68" s="94" t="s">
        <v>220</v>
      </c>
      <c r="AG68" s="94" t="s">
        <v>218</v>
      </c>
      <c r="AI68" s="85"/>
    </row>
    <row r="69" spans="1:35" ht="15" customHeight="1">
      <c r="A69" s="94">
        <v>65</v>
      </c>
      <c r="B69" s="94" t="s">
        <v>221</v>
      </c>
      <c r="C69" s="92">
        <v>51999</v>
      </c>
      <c r="D69" s="80">
        <v>8711</v>
      </c>
      <c r="E69" s="81">
        <v>8256</v>
      </c>
      <c r="F69" s="81">
        <v>7518</v>
      </c>
      <c r="G69" s="80">
        <v>1965</v>
      </c>
      <c r="H69" s="81">
        <v>1768</v>
      </c>
      <c r="I69" s="81">
        <v>1612</v>
      </c>
      <c r="J69" s="81">
        <v>1277</v>
      </c>
      <c r="K69" s="81">
        <v>1243</v>
      </c>
      <c r="L69" s="80">
        <v>398</v>
      </c>
      <c r="M69" s="81">
        <v>315</v>
      </c>
      <c r="N69" s="81">
        <v>285</v>
      </c>
      <c r="O69" s="81">
        <v>157</v>
      </c>
      <c r="P69" s="81">
        <v>150</v>
      </c>
      <c r="Q69" s="81">
        <v>6</v>
      </c>
      <c r="R69" s="79">
        <v>6</v>
      </c>
      <c r="S69" s="80">
        <v>48</v>
      </c>
      <c r="T69" s="81">
        <v>32</v>
      </c>
      <c r="U69" s="81">
        <v>28</v>
      </c>
      <c r="V69" s="79"/>
      <c r="W69" s="81"/>
      <c r="X69" s="81"/>
      <c r="Y69" s="81"/>
      <c r="Z69" s="79">
        <v>5.8638000000000003</v>
      </c>
      <c r="AA69" s="81"/>
      <c r="AB69" s="81"/>
      <c r="AC69" s="81"/>
      <c r="AD69" s="81"/>
      <c r="AE69" s="93"/>
      <c r="AF69" s="94">
        <v>65</v>
      </c>
      <c r="AG69" s="94" t="s">
        <v>221</v>
      </c>
      <c r="AI69" s="85"/>
    </row>
    <row r="70" spans="1:35" ht="15" customHeight="1">
      <c r="A70" s="94">
        <v>66</v>
      </c>
      <c r="B70" s="94" t="s">
        <v>222</v>
      </c>
      <c r="C70" s="92">
        <v>53792</v>
      </c>
      <c r="D70" s="80">
        <v>9050</v>
      </c>
      <c r="E70" s="81">
        <v>8585</v>
      </c>
      <c r="F70" s="81">
        <v>7794</v>
      </c>
      <c r="G70" s="80">
        <v>2048</v>
      </c>
      <c r="H70" s="81">
        <v>1846</v>
      </c>
      <c r="I70" s="81">
        <v>1678</v>
      </c>
      <c r="J70" s="81">
        <v>1335</v>
      </c>
      <c r="K70" s="81">
        <v>1298</v>
      </c>
      <c r="L70" s="80">
        <v>416</v>
      </c>
      <c r="M70" s="81">
        <v>331</v>
      </c>
      <c r="N70" s="81">
        <v>297</v>
      </c>
      <c r="O70" s="99">
        <v>164</v>
      </c>
      <c r="P70" s="99">
        <v>157</v>
      </c>
      <c r="Q70" s="99">
        <v>6</v>
      </c>
      <c r="R70" s="79">
        <v>6</v>
      </c>
      <c r="S70" s="80">
        <v>50</v>
      </c>
      <c r="T70" s="99">
        <v>33</v>
      </c>
      <c r="U70" s="99">
        <v>28</v>
      </c>
      <c r="V70" s="99"/>
      <c r="W70" s="99"/>
      <c r="X70" s="99"/>
      <c r="Y70" s="99"/>
      <c r="Z70" s="79">
        <v>5.9389000000000003</v>
      </c>
      <c r="AA70" s="81"/>
      <c r="AB70" s="81"/>
      <c r="AC70" s="81"/>
      <c r="AD70" s="81"/>
      <c r="AE70" s="93"/>
      <c r="AF70" s="94">
        <v>66</v>
      </c>
      <c r="AG70" s="94" t="s">
        <v>222</v>
      </c>
      <c r="AI70" s="85"/>
    </row>
    <row r="71" spans="1:35" ht="15" customHeight="1">
      <c r="A71" s="94" t="s">
        <v>223</v>
      </c>
      <c r="B71" s="94" t="s">
        <v>224</v>
      </c>
      <c r="C71" s="92">
        <v>55622</v>
      </c>
      <c r="D71" s="80">
        <v>9398</v>
      </c>
      <c r="E71" s="81">
        <v>8922</v>
      </c>
      <c r="F71" s="81">
        <v>8075</v>
      </c>
      <c r="G71" s="80">
        <v>2133</v>
      </c>
      <c r="H71" s="81">
        <v>1926</v>
      </c>
      <c r="I71" s="81">
        <v>1746</v>
      </c>
      <c r="J71" s="81">
        <v>1395</v>
      </c>
      <c r="K71" s="81">
        <v>1354</v>
      </c>
      <c r="L71" s="80">
        <v>434</v>
      </c>
      <c r="M71" s="81">
        <v>348</v>
      </c>
      <c r="N71" s="81">
        <v>310</v>
      </c>
      <c r="O71" s="81">
        <v>172</v>
      </c>
      <c r="P71" s="81">
        <v>164</v>
      </c>
      <c r="Q71" s="79">
        <v>6.5</v>
      </c>
      <c r="R71" s="79">
        <v>6.5</v>
      </c>
      <c r="S71" s="80">
        <v>52</v>
      </c>
      <c r="T71" s="81">
        <v>34</v>
      </c>
      <c r="U71" s="81">
        <v>29</v>
      </c>
      <c r="V71" s="81"/>
      <c r="W71" s="81"/>
      <c r="X71" s="81"/>
      <c r="Y71" s="81"/>
      <c r="Z71" s="79">
        <v>6.0214999999999996</v>
      </c>
      <c r="AA71" s="81"/>
      <c r="AB71" s="81"/>
      <c r="AC71" s="81"/>
      <c r="AD71" s="81"/>
      <c r="AE71" s="93"/>
      <c r="AF71" s="94" t="s">
        <v>223</v>
      </c>
      <c r="AG71" s="94" t="s">
        <v>224</v>
      </c>
      <c r="AI71" s="85"/>
    </row>
    <row r="72" spans="1:35" ht="15" customHeight="1">
      <c r="A72" s="94" t="s">
        <v>225</v>
      </c>
      <c r="B72" s="94" t="s">
        <v>224</v>
      </c>
      <c r="C72" s="92">
        <v>55622</v>
      </c>
      <c r="D72" s="80">
        <v>9398</v>
      </c>
      <c r="E72" s="81">
        <v>8922</v>
      </c>
      <c r="F72" s="81">
        <v>8075</v>
      </c>
      <c r="G72" s="80">
        <v>2133</v>
      </c>
      <c r="H72" s="81">
        <v>1926</v>
      </c>
      <c r="I72" s="81">
        <v>1746</v>
      </c>
      <c r="J72" s="81">
        <v>1395</v>
      </c>
      <c r="K72" s="81">
        <v>1354</v>
      </c>
      <c r="L72" s="80">
        <v>434</v>
      </c>
      <c r="M72" s="81">
        <v>348</v>
      </c>
      <c r="N72" s="81">
        <v>310</v>
      </c>
      <c r="O72" s="81">
        <v>172</v>
      </c>
      <c r="P72" s="81">
        <v>164</v>
      </c>
      <c r="Q72" s="79">
        <v>6.0214999999999996</v>
      </c>
      <c r="R72" s="79">
        <v>6.0214999999999996</v>
      </c>
      <c r="S72" s="80">
        <v>52</v>
      </c>
      <c r="T72" s="81">
        <v>34</v>
      </c>
      <c r="U72" s="81">
        <v>29</v>
      </c>
      <c r="V72" s="81"/>
      <c r="W72" s="81"/>
      <c r="X72" s="81"/>
      <c r="Y72" s="81"/>
      <c r="Z72" s="79">
        <v>6.5</v>
      </c>
      <c r="AA72" s="81"/>
      <c r="AB72" s="81"/>
      <c r="AC72" s="81"/>
      <c r="AD72" s="81"/>
      <c r="AE72" s="93"/>
      <c r="AF72" s="94" t="s">
        <v>225</v>
      </c>
      <c r="AG72" s="94" t="s">
        <v>224</v>
      </c>
      <c r="AI72" s="85"/>
    </row>
    <row r="73" spans="1:35" ht="15" customHeight="1">
      <c r="A73" s="94" t="s">
        <v>226</v>
      </c>
      <c r="B73" s="94" t="s">
        <v>227</v>
      </c>
      <c r="C73" s="92">
        <v>57489</v>
      </c>
      <c r="D73" s="80">
        <v>9754</v>
      </c>
      <c r="E73" s="81">
        <v>9267</v>
      </c>
      <c r="F73" s="81">
        <v>8361</v>
      </c>
      <c r="G73" s="80">
        <v>2220</v>
      </c>
      <c r="H73" s="81">
        <v>2008</v>
      </c>
      <c r="I73" s="81">
        <v>1815</v>
      </c>
      <c r="J73" s="81">
        <v>1456</v>
      </c>
      <c r="K73" s="81">
        <v>1412</v>
      </c>
      <c r="L73" s="80">
        <v>452</v>
      </c>
      <c r="M73" s="81">
        <v>365</v>
      </c>
      <c r="N73" s="81">
        <v>323</v>
      </c>
      <c r="O73" s="81">
        <v>181</v>
      </c>
      <c r="P73" s="81">
        <v>172</v>
      </c>
      <c r="Q73" s="79">
        <v>6.5</v>
      </c>
      <c r="R73" s="79">
        <v>6.5</v>
      </c>
      <c r="S73" s="80">
        <v>54</v>
      </c>
      <c r="T73" s="81">
        <v>35</v>
      </c>
      <c r="U73" s="81">
        <v>30</v>
      </c>
      <c r="V73" s="81"/>
      <c r="W73" s="81"/>
      <c r="X73" s="81"/>
      <c r="Y73" s="81"/>
      <c r="Z73" s="79">
        <v>6.1077000000000004</v>
      </c>
      <c r="AA73" s="81"/>
      <c r="AB73" s="81"/>
      <c r="AC73" s="81"/>
      <c r="AD73" s="81"/>
      <c r="AE73" s="93"/>
      <c r="AF73" s="94" t="s">
        <v>226</v>
      </c>
      <c r="AG73" s="94" t="s">
        <v>227</v>
      </c>
      <c r="AI73" s="85"/>
    </row>
    <row r="74" spans="1:35" ht="15" customHeight="1">
      <c r="A74" s="94" t="s">
        <v>228</v>
      </c>
      <c r="B74" s="94" t="s">
        <v>227</v>
      </c>
      <c r="C74" s="92">
        <v>57489</v>
      </c>
      <c r="D74" s="80">
        <v>9754</v>
      </c>
      <c r="E74" s="81">
        <v>9267</v>
      </c>
      <c r="F74" s="81">
        <v>8361</v>
      </c>
      <c r="G74" s="80">
        <v>2220</v>
      </c>
      <c r="H74" s="81">
        <v>2008</v>
      </c>
      <c r="I74" s="81">
        <v>1815</v>
      </c>
      <c r="J74" s="81">
        <v>1456</v>
      </c>
      <c r="K74" s="81">
        <v>1412</v>
      </c>
      <c r="L74" s="80">
        <v>452</v>
      </c>
      <c r="M74" s="81">
        <v>365</v>
      </c>
      <c r="N74" s="81">
        <v>323</v>
      </c>
      <c r="O74" s="81">
        <v>181</v>
      </c>
      <c r="P74" s="81">
        <v>172</v>
      </c>
      <c r="Q74" s="79">
        <v>6.1077000000000004</v>
      </c>
      <c r="R74" s="79">
        <v>6.1077000000000004</v>
      </c>
      <c r="S74" s="80">
        <v>54</v>
      </c>
      <c r="T74" s="81">
        <v>35</v>
      </c>
      <c r="U74" s="81">
        <v>30</v>
      </c>
      <c r="V74" s="81"/>
      <c r="W74" s="81"/>
      <c r="X74" s="81"/>
      <c r="Y74" s="81"/>
      <c r="Z74" s="79">
        <v>6.5</v>
      </c>
      <c r="AA74" s="81"/>
      <c r="AB74" s="81"/>
      <c r="AC74" s="81"/>
      <c r="AD74" s="81"/>
      <c r="AE74" s="93"/>
      <c r="AF74" s="94" t="s">
        <v>228</v>
      </c>
      <c r="AG74" s="94" t="s">
        <v>227</v>
      </c>
      <c r="AI74" s="85"/>
    </row>
    <row r="75" spans="1:35" ht="15" customHeight="1">
      <c r="A75" s="94">
        <v>69</v>
      </c>
      <c r="B75" s="94" t="s">
        <v>229</v>
      </c>
      <c r="C75" s="92">
        <v>59393</v>
      </c>
      <c r="D75" s="80">
        <v>10118</v>
      </c>
      <c r="E75" s="81">
        <v>9620</v>
      </c>
      <c r="F75" s="81">
        <v>8651</v>
      </c>
      <c r="G75" s="80">
        <v>2309</v>
      </c>
      <c r="H75" s="81">
        <v>2092</v>
      </c>
      <c r="I75" s="81">
        <v>1885</v>
      </c>
      <c r="J75" s="81">
        <v>1518</v>
      </c>
      <c r="K75" s="81">
        <v>1471</v>
      </c>
      <c r="L75" s="80">
        <v>471</v>
      </c>
      <c r="M75" s="81">
        <v>382</v>
      </c>
      <c r="N75" s="81">
        <v>336</v>
      </c>
      <c r="O75" s="81">
        <v>190</v>
      </c>
      <c r="P75" s="81">
        <v>181</v>
      </c>
      <c r="Q75" s="81">
        <v>7</v>
      </c>
      <c r="R75" s="79">
        <v>7</v>
      </c>
      <c r="S75" s="80">
        <v>56</v>
      </c>
      <c r="T75" s="81">
        <v>36</v>
      </c>
      <c r="U75" s="81">
        <v>30</v>
      </c>
      <c r="V75" s="81"/>
      <c r="W75" s="81"/>
      <c r="X75" s="81"/>
      <c r="Y75" s="81"/>
      <c r="Z75" s="79">
        <v>6.18431</v>
      </c>
      <c r="AA75" s="81"/>
      <c r="AB75" s="81"/>
      <c r="AC75" s="81"/>
      <c r="AD75" s="81"/>
      <c r="AE75" s="93"/>
      <c r="AF75" s="94">
        <v>69</v>
      </c>
      <c r="AG75" s="94" t="s">
        <v>229</v>
      </c>
      <c r="AI75" s="85"/>
    </row>
    <row r="76" spans="1:35" ht="15" customHeight="1">
      <c r="A76" s="94">
        <v>70</v>
      </c>
      <c r="B76" s="94" t="s">
        <v>230</v>
      </c>
      <c r="C76" s="92">
        <v>61335</v>
      </c>
      <c r="D76" s="80">
        <v>10490</v>
      </c>
      <c r="E76" s="81">
        <v>9981</v>
      </c>
      <c r="F76" s="81">
        <v>8946</v>
      </c>
      <c r="G76" s="80">
        <v>2401</v>
      </c>
      <c r="H76" s="81">
        <v>2178</v>
      </c>
      <c r="I76" s="81">
        <v>1956</v>
      </c>
      <c r="J76" s="81">
        <v>1580</v>
      </c>
      <c r="K76" s="81">
        <v>1531</v>
      </c>
      <c r="L76" s="80">
        <v>490</v>
      </c>
      <c r="M76" s="81">
        <v>399</v>
      </c>
      <c r="N76" s="81">
        <v>349</v>
      </c>
      <c r="O76" s="81">
        <v>200</v>
      </c>
      <c r="P76" s="81">
        <v>190</v>
      </c>
      <c r="Q76" s="81">
        <v>8</v>
      </c>
      <c r="R76" s="81">
        <v>7</v>
      </c>
      <c r="S76" s="80">
        <v>58</v>
      </c>
      <c r="T76" s="81">
        <v>37</v>
      </c>
      <c r="U76" s="81">
        <v>31</v>
      </c>
      <c r="V76" s="81"/>
      <c r="W76" s="81"/>
      <c r="X76" s="81"/>
      <c r="Y76" s="81"/>
      <c r="Z76" s="79">
        <v>6.2541599999999997</v>
      </c>
      <c r="AA76" s="81"/>
      <c r="AB76" s="81"/>
      <c r="AC76" s="81"/>
      <c r="AD76" s="81"/>
      <c r="AE76" s="93"/>
      <c r="AF76" s="94">
        <v>70</v>
      </c>
      <c r="AG76" s="94" t="s">
        <v>230</v>
      </c>
      <c r="AI76" s="85"/>
    </row>
    <row r="77" spans="1:35" ht="15" customHeight="1">
      <c r="A77" s="94" t="s">
        <v>231</v>
      </c>
      <c r="B77" s="94" t="s">
        <v>232</v>
      </c>
      <c r="C77" s="92">
        <v>63310</v>
      </c>
      <c r="D77" s="80">
        <v>10876</v>
      </c>
      <c r="E77" s="81">
        <v>10355</v>
      </c>
      <c r="F77" s="81">
        <v>9250</v>
      </c>
      <c r="G77" s="80">
        <v>2499</v>
      </c>
      <c r="H77" s="81">
        <v>2270</v>
      </c>
      <c r="I77" s="81">
        <v>2032</v>
      </c>
      <c r="J77" s="81">
        <v>1647</v>
      </c>
      <c r="K77" s="81">
        <v>1596</v>
      </c>
      <c r="L77" s="80">
        <v>514</v>
      </c>
      <c r="M77" s="81">
        <v>420</v>
      </c>
      <c r="N77" s="81">
        <v>366</v>
      </c>
      <c r="O77" s="81">
        <v>213</v>
      </c>
      <c r="P77" s="81">
        <v>202</v>
      </c>
      <c r="Q77" s="81">
        <v>13</v>
      </c>
      <c r="R77" s="81">
        <v>12</v>
      </c>
      <c r="S77" s="80">
        <v>62</v>
      </c>
      <c r="T77" s="81">
        <v>39</v>
      </c>
      <c r="U77" s="81">
        <v>32</v>
      </c>
      <c r="V77" s="81">
        <v>6.6</v>
      </c>
      <c r="W77" s="81"/>
      <c r="X77" s="81"/>
      <c r="Y77" s="81"/>
      <c r="Z77" s="79">
        <v>5.4259000000000004</v>
      </c>
      <c r="AA77" s="81"/>
      <c r="AB77" s="81"/>
      <c r="AC77" s="81"/>
      <c r="AD77" s="81"/>
      <c r="AE77" s="93"/>
      <c r="AF77" s="94" t="s">
        <v>231</v>
      </c>
      <c r="AG77" s="94" t="s">
        <v>232</v>
      </c>
      <c r="AI77" s="85"/>
    </row>
    <row r="78" spans="1:35" ht="15" customHeight="1">
      <c r="A78" s="94" t="s">
        <v>233</v>
      </c>
      <c r="B78" s="94" t="s">
        <v>232</v>
      </c>
      <c r="C78" s="92">
        <v>63310</v>
      </c>
      <c r="D78" s="80">
        <v>10876</v>
      </c>
      <c r="E78" s="81">
        <v>10355</v>
      </c>
      <c r="F78" s="81">
        <v>9250</v>
      </c>
      <c r="G78" s="80">
        <v>2499</v>
      </c>
      <c r="H78" s="81">
        <v>2270</v>
      </c>
      <c r="I78" s="81">
        <v>2032</v>
      </c>
      <c r="J78" s="81">
        <v>1647</v>
      </c>
      <c r="K78" s="81">
        <v>1596</v>
      </c>
      <c r="L78" s="80">
        <v>514</v>
      </c>
      <c r="M78" s="81">
        <v>420</v>
      </c>
      <c r="N78" s="81">
        <v>366</v>
      </c>
      <c r="O78" s="81">
        <v>213</v>
      </c>
      <c r="P78" s="81">
        <v>202</v>
      </c>
      <c r="Q78" s="81">
        <v>13</v>
      </c>
      <c r="R78" s="81">
        <v>12</v>
      </c>
      <c r="S78" s="80">
        <v>62</v>
      </c>
      <c r="T78" s="81">
        <v>39</v>
      </c>
      <c r="U78" s="81">
        <v>32</v>
      </c>
      <c r="V78" s="79">
        <v>5.4259000000000004</v>
      </c>
      <c r="W78" s="81"/>
      <c r="X78" s="81"/>
      <c r="Y78" s="81"/>
      <c r="Z78" s="80">
        <v>7</v>
      </c>
      <c r="AA78" s="81"/>
      <c r="AB78" s="81"/>
      <c r="AC78" s="81"/>
      <c r="AD78" s="81"/>
      <c r="AE78" s="93"/>
      <c r="AF78" s="94" t="s">
        <v>233</v>
      </c>
      <c r="AG78" s="94" t="s">
        <v>232</v>
      </c>
      <c r="AI78" s="85"/>
    </row>
    <row r="79" spans="1:35" ht="15" customHeight="1">
      <c r="A79" s="94" t="s">
        <v>234</v>
      </c>
      <c r="B79" s="94" t="s">
        <v>235</v>
      </c>
      <c r="C79" s="92">
        <v>65350</v>
      </c>
      <c r="D79" s="80">
        <v>11275</v>
      </c>
      <c r="E79" s="81">
        <v>10742</v>
      </c>
      <c r="F79" s="81">
        <v>9564</v>
      </c>
      <c r="G79" s="80">
        <v>2604</v>
      </c>
      <c r="H79" s="81">
        <v>2369</v>
      </c>
      <c r="I79" s="81">
        <v>2113</v>
      </c>
      <c r="J79" s="81">
        <v>1720</v>
      </c>
      <c r="K79" s="81">
        <v>1665</v>
      </c>
      <c r="L79" s="80">
        <v>542</v>
      </c>
      <c r="M79" s="81">
        <v>444</v>
      </c>
      <c r="N79" s="81">
        <v>386</v>
      </c>
      <c r="O79" s="81">
        <v>229</v>
      </c>
      <c r="P79" s="81">
        <v>217</v>
      </c>
      <c r="Q79" s="81">
        <v>21</v>
      </c>
      <c r="R79" s="81">
        <v>20</v>
      </c>
      <c r="S79" s="80">
        <v>68</v>
      </c>
      <c r="T79" s="81">
        <v>43</v>
      </c>
      <c r="U79" s="81">
        <v>35</v>
      </c>
      <c r="V79" s="81">
        <v>7</v>
      </c>
      <c r="W79" s="81"/>
      <c r="X79" s="81"/>
      <c r="Y79" s="81"/>
      <c r="Z79" s="79">
        <v>6.8250700000000002</v>
      </c>
      <c r="AA79" s="81"/>
      <c r="AB79" s="81"/>
      <c r="AC79" s="81"/>
      <c r="AD79" s="81"/>
      <c r="AE79" s="93"/>
      <c r="AF79" s="94" t="s">
        <v>234</v>
      </c>
      <c r="AG79" s="94" t="s">
        <v>235</v>
      </c>
      <c r="AI79" s="85"/>
    </row>
    <row r="80" spans="1:35" ht="15" customHeight="1">
      <c r="A80" s="94" t="s">
        <v>236</v>
      </c>
      <c r="B80" s="94" t="s">
        <v>235</v>
      </c>
      <c r="C80" s="92">
        <v>65350</v>
      </c>
      <c r="D80" s="80">
        <v>11275</v>
      </c>
      <c r="E80" s="81">
        <v>10742</v>
      </c>
      <c r="F80" s="81">
        <v>9564</v>
      </c>
      <c r="G80" s="80">
        <v>2604</v>
      </c>
      <c r="H80" s="81">
        <v>2369</v>
      </c>
      <c r="I80" s="81">
        <v>2113</v>
      </c>
      <c r="J80" s="81">
        <v>1720</v>
      </c>
      <c r="K80" s="81">
        <v>1665</v>
      </c>
      <c r="L80" s="80">
        <v>542</v>
      </c>
      <c r="M80" s="81">
        <v>444</v>
      </c>
      <c r="N80" s="81">
        <v>386</v>
      </c>
      <c r="O80" s="81">
        <v>229</v>
      </c>
      <c r="P80" s="81">
        <v>217</v>
      </c>
      <c r="Q80" s="81">
        <v>21</v>
      </c>
      <c r="R80" s="81">
        <v>20</v>
      </c>
      <c r="S80" s="80">
        <v>68</v>
      </c>
      <c r="T80" s="81">
        <v>43</v>
      </c>
      <c r="U80" s="81">
        <v>35</v>
      </c>
      <c r="V80" s="79">
        <v>6.8250700000000002</v>
      </c>
      <c r="W80" s="81"/>
      <c r="X80" s="81"/>
      <c r="Y80" s="81"/>
      <c r="Z80" s="80">
        <v>7.5</v>
      </c>
      <c r="AA80" s="81"/>
      <c r="AB80" s="81"/>
      <c r="AC80" s="81"/>
      <c r="AD80" s="81"/>
      <c r="AE80" s="93"/>
      <c r="AF80" s="94" t="s">
        <v>236</v>
      </c>
      <c r="AG80" s="94" t="s">
        <v>235</v>
      </c>
      <c r="AI80" s="85"/>
    </row>
    <row r="81" spans="1:35" ht="15" customHeight="1">
      <c r="A81" s="94">
        <v>73</v>
      </c>
      <c r="B81" s="94" t="s">
        <v>237</v>
      </c>
      <c r="C81" s="92">
        <v>67419</v>
      </c>
      <c r="D81" s="80">
        <v>11684</v>
      </c>
      <c r="E81" s="81">
        <v>11139</v>
      </c>
      <c r="F81" s="81">
        <v>9884</v>
      </c>
      <c r="G81" s="80">
        <v>2712</v>
      </c>
      <c r="H81" s="81">
        <v>2472</v>
      </c>
      <c r="I81" s="81">
        <v>2197</v>
      </c>
      <c r="J81" s="81">
        <v>1796</v>
      </c>
      <c r="K81" s="81">
        <v>1737</v>
      </c>
      <c r="L81" s="80">
        <v>570</v>
      </c>
      <c r="M81" s="81">
        <v>469</v>
      </c>
      <c r="N81" s="81">
        <v>407</v>
      </c>
      <c r="O81" s="81">
        <v>245</v>
      </c>
      <c r="P81" s="81">
        <v>232</v>
      </c>
      <c r="Q81" s="81">
        <v>30</v>
      </c>
      <c r="R81" s="81">
        <v>28</v>
      </c>
      <c r="S81" s="80">
        <v>74</v>
      </c>
      <c r="T81" s="81">
        <v>47</v>
      </c>
      <c r="U81" s="81">
        <v>38</v>
      </c>
      <c r="V81" s="81">
        <v>8.3000000000000007</v>
      </c>
      <c r="W81" s="81"/>
      <c r="X81" s="81"/>
      <c r="Y81" s="81"/>
      <c r="Z81" s="79">
        <v>7.5495999999999999</v>
      </c>
      <c r="AA81" s="81"/>
      <c r="AB81" s="81"/>
      <c r="AC81" s="81"/>
      <c r="AD81" s="81"/>
      <c r="AE81" s="93"/>
      <c r="AF81" s="94">
        <v>73</v>
      </c>
      <c r="AG81" s="94" t="s">
        <v>237</v>
      </c>
      <c r="AI81" s="85"/>
    </row>
    <row r="82" spans="1:35" ht="15" customHeight="1">
      <c r="A82" s="94">
        <v>74</v>
      </c>
      <c r="B82" s="94" t="s">
        <v>238</v>
      </c>
      <c r="C82" s="92">
        <v>69529</v>
      </c>
      <c r="D82" s="80">
        <v>12103</v>
      </c>
      <c r="E82" s="81">
        <v>11546</v>
      </c>
      <c r="F82" s="81">
        <v>10209</v>
      </c>
      <c r="G82" s="80">
        <v>2823</v>
      </c>
      <c r="H82" s="81">
        <v>2577</v>
      </c>
      <c r="I82" s="81">
        <v>2283</v>
      </c>
      <c r="J82" s="81">
        <v>1874</v>
      </c>
      <c r="K82" s="81">
        <v>1811</v>
      </c>
      <c r="L82" s="80">
        <v>599</v>
      </c>
      <c r="M82" s="81">
        <v>495</v>
      </c>
      <c r="N82" s="81">
        <v>428</v>
      </c>
      <c r="O82" s="81">
        <v>261</v>
      </c>
      <c r="P82" s="81">
        <v>248</v>
      </c>
      <c r="Q82" s="81">
        <v>38</v>
      </c>
      <c r="R82" s="81">
        <v>36</v>
      </c>
      <c r="S82" s="80">
        <v>80</v>
      </c>
      <c r="T82" s="81">
        <v>51</v>
      </c>
      <c r="U82" s="81">
        <v>41</v>
      </c>
      <c r="V82" s="81">
        <v>9</v>
      </c>
      <c r="W82" s="81"/>
      <c r="X82" s="81"/>
      <c r="Y82" s="81"/>
      <c r="Z82" s="79">
        <v>7.8639999999999999</v>
      </c>
      <c r="AA82" s="81"/>
      <c r="AB82" s="81"/>
      <c r="AC82" s="81"/>
      <c r="AD82" s="81"/>
      <c r="AE82" s="93"/>
      <c r="AF82" s="94">
        <v>74</v>
      </c>
      <c r="AG82" s="94" t="s">
        <v>238</v>
      </c>
      <c r="AI82" s="85"/>
    </row>
    <row r="83" spans="1:35" ht="15" customHeight="1">
      <c r="A83" s="94">
        <v>75</v>
      </c>
      <c r="B83" s="94" t="s">
        <v>239</v>
      </c>
      <c r="C83" s="92">
        <v>71681</v>
      </c>
      <c r="D83" s="80">
        <v>12532</v>
      </c>
      <c r="E83" s="81">
        <v>11963</v>
      </c>
      <c r="F83" s="81">
        <v>10540</v>
      </c>
      <c r="G83" s="80">
        <v>2937</v>
      </c>
      <c r="H83" s="81">
        <v>2686</v>
      </c>
      <c r="I83" s="81">
        <v>2371</v>
      </c>
      <c r="J83" s="81">
        <v>1953</v>
      </c>
      <c r="K83" s="81">
        <v>1887</v>
      </c>
      <c r="L83" s="80">
        <v>629</v>
      </c>
      <c r="M83" s="81">
        <v>522</v>
      </c>
      <c r="N83" s="81">
        <v>450</v>
      </c>
      <c r="O83" s="81">
        <v>278</v>
      </c>
      <c r="P83" s="81">
        <v>264</v>
      </c>
      <c r="Q83" s="81">
        <v>47</v>
      </c>
      <c r="R83" s="81">
        <v>45</v>
      </c>
      <c r="S83" s="80">
        <v>86</v>
      </c>
      <c r="T83" s="81">
        <v>56</v>
      </c>
      <c r="U83" s="81">
        <v>45</v>
      </c>
      <c r="V83" s="81">
        <v>9.6</v>
      </c>
      <c r="W83" s="81"/>
      <c r="X83" s="81"/>
      <c r="Y83" s="81"/>
      <c r="Z83" s="79">
        <v>7.8334999999999999</v>
      </c>
      <c r="AA83" s="81"/>
      <c r="AB83" s="81"/>
      <c r="AC83" s="81"/>
      <c r="AD83" s="81"/>
      <c r="AE83" s="93"/>
      <c r="AF83" s="94">
        <v>75</v>
      </c>
      <c r="AG83" s="94" t="s">
        <v>239</v>
      </c>
      <c r="AI83" s="85"/>
    </row>
    <row r="84" spans="1:35" ht="15" customHeight="1">
      <c r="A84" s="94">
        <v>76</v>
      </c>
      <c r="B84" s="94" t="s">
        <v>240</v>
      </c>
      <c r="C84" s="92">
        <v>73876</v>
      </c>
      <c r="D84" s="80">
        <v>12972</v>
      </c>
      <c r="E84" s="81">
        <v>12390</v>
      </c>
      <c r="F84" s="81">
        <v>10876</v>
      </c>
      <c r="G84" s="80">
        <v>3054</v>
      </c>
      <c r="H84" s="81">
        <v>2797</v>
      </c>
      <c r="I84" s="81">
        <v>2461</v>
      </c>
      <c r="J84" s="81">
        <v>2035</v>
      </c>
      <c r="K84" s="81">
        <v>1964</v>
      </c>
      <c r="L84" s="80">
        <v>660</v>
      </c>
      <c r="M84" s="81">
        <v>551</v>
      </c>
      <c r="N84" s="81">
        <v>473</v>
      </c>
      <c r="O84" s="81">
        <v>295</v>
      </c>
      <c r="P84" s="81">
        <v>280</v>
      </c>
      <c r="Q84" s="81">
        <v>56</v>
      </c>
      <c r="R84" s="81">
        <v>54</v>
      </c>
      <c r="S84" s="80">
        <v>92</v>
      </c>
      <c r="T84" s="81">
        <v>61</v>
      </c>
      <c r="U84" s="81">
        <v>49</v>
      </c>
      <c r="V84" s="81">
        <v>9.6</v>
      </c>
      <c r="W84" s="79">
        <v>9.6</v>
      </c>
      <c r="X84" s="81"/>
      <c r="Y84" s="81"/>
      <c r="Z84" s="79">
        <v>8.4382000000000001</v>
      </c>
      <c r="AA84" s="81"/>
      <c r="AB84" s="81"/>
      <c r="AC84" s="81"/>
      <c r="AD84" s="81"/>
      <c r="AE84" s="93"/>
      <c r="AF84" s="94">
        <v>76</v>
      </c>
      <c r="AG84" s="94" t="s">
        <v>240</v>
      </c>
      <c r="AI84" s="85"/>
    </row>
    <row r="85" spans="1:35" ht="15" customHeight="1">
      <c r="A85" s="94">
        <v>77</v>
      </c>
      <c r="B85" s="94" t="s">
        <v>241</v>
      </c>
      <c r="C85" s="92">
        <v>76115</v>
      </c>
      <c r="D85" s="80">
        <v>13422</v>
      </c>
      <c r="E85" s="81">
        <v>12828</v>
      </c>
      <c r="F85" s="81">
        <v>11219</v>
      </c>
      <c r="G85" s="80">
        <v>3175</v>
      </c>
      <c r="H85" s="81">
        <v>2912</v>
      </c>
      <c r="I85" s="81">
        <v>2554</v>
      </c>
      <c r="J85" s="81">
        <v>2119</v>
      </c>
      <c r="K85" s="81">
        <v>2044</v>
      </c>
      <c r="L85" s="80">
        <v>693</v>
      </c>
      <c r="M85" s="81">
        <v>581</v>
      </c>
      <c r="N85" s="81">
        <v>497</v>
      </c>
      <c r="O85" s="81">
        <v>314</v>
      </c>
      <c r="P85" s="81">
        <v>298</v>
      </c>
      <c r="Q85" s="81">
        <v>67</v>
      </c>
      <c r="R85" s="81">
        <v>64</v>
      </c>
      <c r="S85" s="80">
        <v>99</v>
      </c>
      <c r="T85" s="81">
        <v>66</v>
      </c>
      <c r="U85" s="81">
        <v>53</v>
      </c>
      <c r="V85" s="81">
        <v>9.6</v>
      </c>
      <c r="W85" s="79">
        <v>9.6</v>
      </c>
      <c r="X85" s="81"/>
      <c r="Y85" s="81"/>
      <c r="Z85" s="79">
        <v>8.9670000000000005</v>
      </c>
      <c r="AA85" s="81"/>
      <c r="AB85" s="81"/>
      <c r="AC85" s="81"/>
      <c r="AD85" s="81"/>
      <c r="AE85" s="84"/>
      <c r="AF85" s="94">
        <v>77</v>
      </c>
      <c r="AG85" s="94" t="s">
        <v>241</v>
      </c>
      <c r="AI85" s="85"/>
    </row>
    <row r="86" spans="1:35" ht="15" customHeight="1">
      <c r="A86" s="94">
        <v>78</v>
      </c>
      <c r="B86" s="94" t="s">
        <v>242</v>
      </c>
      <c r="C86" s="92">
        <v>78399</v>
      </c>
      <c r="D86" s="80">
        <v>13883</v>
      </c>
      <c r="E86" s="81">
        <v>13277</v>
      </c>
      <c r="F86" s="81">
        <v>11567</v>
      </c>
      <c r="G86" s="80">
        <v>3300</v>
      </c>
      <c r="H86" s="81">
        <v>3030</v>
      </c>
      <c r="I86" s="81">
        <v>2649</v>
      </c>
      <c r="J86" s="81">
        <v>2206</v>
      </c>
      <c r="K86" s="81">
        <v>2126</v>
      </c>
      <c r="L86" s="80">
        <v>727</v>
      </c>
      <c r="M86" s="81">
        <v>612</v>
      </c>
      <c r="N86" s="81">
        <v>522</v>
      </c>
      <c r="O86" s="81">
        <v>335</v>
      </c>
      <c r="P86" s="81">
        <v>318</v>
      </c>
      <c r="Q86" s="81">
        <v>78</v>
      </c>
      <c r="R86" s="81">
        <v>75</v>
      </c>
      <c r="S86" s="80">
        <v>106</v>
      </c>
      <c r="T86" s="81">
        <v>71</v>
      </c>
      <c r="U86" s="81">
        <v>57</v>
      </c>
      <c r="V86" s="81">
        <v>9.6</v>
      </c>
      <c r="W86" s="79">
        <v>9.6</v>
      </c>
      <c r="X86" s="81"/>
      <c r="Y86" s="81"/>
      <c r="Z86" s="79">
        <v>8.9587000000000003</v>
      </c>
      <c r="AA86" s="81"/>
      <c r="AB86" s="81"/>
      <c r="AC86" s="81"/>
      <c r="AD86" s="81"/>
      <c r="AE86" s="84"/>
      <c r="AF86" s="94">
        <v>78</v>
      </c>
      <c r="AG86" s="94" t="s">
        <v>242</v>
      </c>
      <c r="AI86" s="85"/>
    </row>
    <row r="87" spans="1:35" ht="15" customHeight="1">
      <c r="A87" s="94">
        <v>79</v>
      </c>
      <c r="B87" s="94" t="s">
        <v>243</v>
      </c>
      <c r="C87" s="92">
        <v>80729</v>
      </c>
      <c r="D87" s="80">
        <v>14356</v>
      </c>
      <c r="E87" s="81">
        <v>13738</v>
      </c>
      <c r="F87" s="81">
        <v>11923</v>
      </c>
      <c r="G87" s="80">
        <v>3430</v>
      </c>
      <c r="H87" s="81">
        <v>3153</v>
      </c>
      <c r="I87" s="81">
        <v>2748</v>
      </c>
      <c r="J87" s="81">
        <v>2295</v>
      </c>
      <c r="K87" s="81">
        <v>2210</v>
      </c>
      <c r="L87" s="80">
        <v>764</v>
      </c>
      <c r="M87" s="81">
        <v>645</v>
      </c>
      <c r="N87" s="81">
        <v>548</v>
      </c>
      <c r="O87" s="81">
        <v>357</v>
      </c>
      <c r="P87" s="81">
        <v>339</v>
      </c>
      <c r="Q87" s="81">
        <v>91</v>
      </c>
      <c r="R87" s="81">
        <v>87</v>
      </c>
      <c r="S87" s="80">
        <v>114</v>
      </c>
      <c r="T87" s="81">
        <v>76</v>
      </c>
      <c r="U87" s="81">
        <v>61</v>
      </c>
      <c r="V87" s="81">
        <v>12.5</v>
      </c>
      <c r="W87" s="79">
        <v>11.1</v>
      </c>
      <c r="X87" s="81"/>
      <c r="Y87" s="81"/>
      <c r="Z87" s="79">
        <v>9.2255000000000003</v>
      </c>
      <c r="AA87" s="81"/>
      <c r="AB87" s="81"/>
      <c r="AC87" s="81"/>
      <c r="AD87" s="81"/>
      <c r="AE87" s="84"/>
      <c r="AF87" s="94">
        <v>79</v>
      </c>
      <c r="AG87" s="94" t="s">
        <v>243</v>
      </c>
      <c r="AI87" s="85"/>
    </row>
    <row r="88" spans="1:35" ht="15" customHeight="1">
      <c r="A88" s="94">
        <v>80</v>
      </c>
      <c r="B88" s="94" t="s">
        <v>244</v>
      </c>
      <c r="C88" s="92">
        <v>83108</v>
      </c>
      <c r="D88" s="80">
        <v>14845</v>
      </c>
      <c r="E88" s="81">
        <v>14214</v>
      </c>
      <c r="F88" s="81">
        <v>12288</v>
      </c>
      <c r="G88" s="80">
        <v>3567</v>
      </c>
      <c r="H88" s="81">
        <v>3283</v>
      </c>
      <c r="I88" s="81">
        <v>2852</v>
      </c>
      <c r="J88" s="81">
        <v>2390</v>
      </c>
      <c r="K88" s="81">
        <v>2300</v>
      </c>
      <c r="L88" s="80">
        <v>806</v>
      </c>
      <c r="M88" s="81">
        <v>683</v>
      </c>
      <c r="N88" s="81">
        <v>579</v>
      </c>
      <c r="O88" s="81">
        <v>382</v>
      </c>
      <c r="P88" s="81">
        <v>363</v>
      </c>
      <c r="Q88" s="81">
        <v>107</v>
      </c>
      <c r="R88" s="81">
        <v>103</v>
      </c>
      <c r="S88" s="80">
        <v>125</v>
      </c>
      <c r="T88" s="81">
        <v>85</v>
      </c>
      <c r="U88" s="81">
        <v>68</v>
      </c>
      <c r="V88" s="81">
        <v>14</v>
      </c>
      <c r="W88" s="81">
        <v>12</v>
      </c>
      <c r="X88" s="81"/>
      <c r="Y88" s="81"/>
      <c r="Z88" s="79">
        <v>10.4375</v>
      </c>
      <c r="AA88" s="81"/>
      <c r="AB88" s="81"/>
      <c r="AC88" s="81"/>
      <c r="AD88" s="81"/>
      <c r="AE88" s="84"/>
      <c r="AF88" s="94">
        <v>80</v>
      </c>
      <c r="AG88" s="94" t="s">
        <v>244</v>
      </c>
      <c r="AI88" s="85"/>
    </row>
    <row r="89" spans="1:35" ht="15" customHeight="1">
      <c r="A89" s="94">
        <v>81</v>
      </c>
      <c r="B89" s="94" t="s">
        <v>245</v>
      </c>
      <c r="C89" s="92">
        <v>85536</v>
      </c>
      <c r="D89" s="80">
        <v>15350</v>
      </c>
      <c r="E89" s="81">
        <v>14704</v>
      </c>
      <c r="F89" s="81">
        <v>12662</v>
      </c>
      <c r="G89" s="80">
        <v>3710</v>
      </c>
      <c r="H89" s="81">
        <v>3420</v>
      </c>
      <c r="I89" s="81">
        <v>2961</v>
      </c>
      <c r="J89" s="81">
        <v>2490</v>
      </c>
      <c r="K89" s="81">
        <v>2394</v>
      </c>
      <c r="L89" s="80">
        <v>852</v>
      </c>
      <c r="M89" s="81">
        <v>726</v>
      </c>
      <c r="N89" s="81">
        <v>615</v>
      </c>
      <c r="O89" s="81">
        <v>411</v>
      </c>
      <c r="P89" s="81">
        <v>391</v>
      </c>
      <c r="Q89" s="81">
        <v>127</v>
      </c>
      <c r="R89" s="81">
        <v>123</v>
      </c>
      <c r="S89" s="80">
        <v>139</v>
      </c>
      <c r="T89" s="81">
        <v>98</v>
      </c>
      <c r="U89" s="81">
        <v>79</v>
      </c>
      <c r="V89" s="81">
        <v>21</v>
      </c>
      <c r="W89" s="81">
        <v>19</v>
      </c>
      <c r="X89" s="81"/>
      <c r="Y89" s="81"/>
      <c r="Z89" s="80">
        <v>8</v>
      </c>
      <c r="AA89" s="79">
        <v>6.1082000000000001</v>
      </c>
      <c r="AB89" s="81"/>
      <c r="AC89" s="81"/>
      <c r="AD89" s="81"/>
      <c r="AE89" s="84"/>
      <c r="AF89" s="94">
        <v>81</v>
      </c>
      <c r="AG89" s="94" t="s">
        <v>245</v>
      </c>
      <c r="AI89" s="85"/>
    </row>
    <row r="90" spans="1:35" ht="15" customHeight="1">
      <c r="A90" s="94">
        <v>82</v>
      </c>
      <c r="B90" s="94" t="s">
        <v>246</v>
      </c>
      <c r="C90" s="92">
        <v>88011</v>
      </c>
      <c r="D90" s="80">
        <v>15867</v>
      </c>
      <c r="E90" s="81">
        <v>15206</v>
      </c>
      <c r="F90" s="81">
        <v>13041</v>
      </c>
      <c r="G90" s="80">
        <v>3857</v>
      </c>
      <c r="H90" s="81">
        <v>3560</v>
      </c>
      <c r="I90" s="81">
        <v>3072</v>
      </c>
      <c r="J90" s="81">
        <v>2592</v>
      </c>
      <c r="K90" s="81">
        <v>2490</v>
      </c>
      <c r="L90" s="80">
        <v>899</v>
      </c>
      <c r="M90" s="81">
        <v>769</v>
      </c>
      <c r="N90" s="81">
        <v>651</v>
      </c>
      <c r="O90" s="81">
        <v>441</v>
      </c>
      <c r="P90" s="81">
        <v>419</v>
      </c>
      <c r="Q90" s="81">
        <v>148</v>
      </c>
      <c r="R90" s="81">
        <v>144</v>
      </c>
      <c r="S90" s="80">
        <v>153</v>
      </c>
      <c r="T90" s="81">
        <v>111</v>
      </c>
      <c r="U90" s="81">
        <v>90</v>
      </c>
      <c r="V90" s="81">
        <v>27</v>
      </c>
      <c r="W90" s="81">
        <v>25</v>
      </c>
      <c r="X90" s="81"/>
      <c r="Y90" s="81"/>
      <c r="Z90" s="80">
        <v>10</v>
      </c>
      <c r="AA90" s="79">
        <v>7.4166600000000003</v>
      </c>
      <c r="AB90" s="81"/>
      <c r="AC90" s="81"/>
      <c r="AD90" s="81"/>
      <c r="AE90" s="84"/>
      <c r="AF90" s="94">
        <v>82</v>
      </c>
      <c r="AG90" s="94" t="s">
        <v>246</v>
      </c>
      <c r="AI90" s="85"/>
    </row>
    <row r="91" spans="1:35" ht="15" customHeight="1">
      <c r="A91" s="94">
        <v>83</v>
      </c>
      <c r="B91" s="94" t="s">
        <v>247</v>
      </c>
      <c r="C91" s="92">
        <v>90534</v>
      </c>
      <c r="D91" s="80">
        <v>16396</v>
      </c>
      <c r="E91" s="81">
        <v>15719</v>
      </c>
      <c r="F91" s="81">
        <v>13426</v>
      </c>
      <c r="G91" s="80">
        <v>4007</v>
      </c>
      <c r="H91" s="81">
        <v>3704</v>
      </c>
      <c r="I91" s="81">
        <v>3185</v>
      </c>
      <c r="J91" s="81">
        <v>2696</v>
      </c>
      <c r="K91" s="81">
        <v>2588</v>
      </c>
      <c r="L91" s="80">
        <v>946</v>
      </c>
      <c r="M91" s="81">
        <v>813</v>
      </c>
      <c r="N91" s="81">
        <v>687</v>
      </c>
      <c r="O91" s="81">
        <v>472</v>
      </c>
      <c r="P91" s="81">
        <v>448</v>
      </c>
      <c r="Q91" s="81">
        <v>170</v>
      </c>
      <c r="R91" s="81">
        <v>165</v>
      </c>
      <c r="S91" s="80">
        <v>167</v>
      </c>
      <c r="T91" s="81">
        <v>125</v>
      </c>
      <c r="U91" s="81">
        <v>101</v>
      </c>
      <c r="V91" s="81">
        <v>34</v>
      </c>
      <c r="W91" s="81">
        <v>32</v>
      </c>
      <c r="X91" s="81"/>
      <c r="Y91" s="81"/>
      <c r="Z91" s="80">
        <v>12</v>
      </c>
      <c r="AA91" s="79">
        <v>7.2855999999999996</v>
      </c>
      <c r="AB91" s="81"/>
      <c r="AC91" s="81"/>
      <c r="AD91" s="81"/>
      <c r="AE91" s="84"/>
      <c r="AF91" s="94">
        <v>83</v>
      </c>
      <c r="AG91" s="94" t="s">
        <v>247</v>
      </c>
      <c r="AI91" s="85"/>
    </row>
    <row r="92" spans="1:35" ht="15" customHeight="1">
      <c r="A92" s="94">
        <v>84</v>
      </c>
      <c r="B92" s="94" t="s">
        <v>248</v>
      </c>
      <c r="C92" s="92">
        <v>93106</v>
      </c>
      <c r="D92" s="80">
        <v>16937</v>
      </c>
      <c r="E92" s="81">
        <v>16244</v>
      </c>
      <c r="F92" s="81">
        <v>13816</v>
      </c>
      <c r="G92" s="80">
        <v>4161</v>
      </c>
      <c r="H92" s="81">
        <v>3852</v>
      </c>
      <c r="I92" s="81">
        <v>3301</v>
      </c>
      <c r="J92" s="81">
        <v>2802</v>
      </c>
      <c r="K92" s="81">
        <v>2687</v>
      </c>
      <c r="L92" s="80">
        <v>994</v>
      </c>
      <c r="M92" s="81">
        <v>858</v>
      </c>
      <c r="N92" s="81">
        <v>724</v>
      </c>
      <c r="O92" s="81">
        <v>503</v>
      </c>
      <c r="P92" s="81">
        <v>478</v>
      </c>
      <c r="Q92" s="81">
        <v>193</v>
      </c>
      <c r="R92" s="81">
        <v>187</v>
      </c>
      <c r="S92" s="80">
        <v>181</v>
      </c>
      <c r="T92" s="81">
        <v>139</v>
      </c>
      <c r="U92" s="81">
        <v>112</v>
      </c>
      <c r="V92" s="81">
        <v>41</v>
      </c>
      <c r="W92" s="81">
        <v>38</v>
      </c>
      <c r="X92" s="81"/>
      <c r="Y92" s="81"/>
      <c r="Z92" s="80">
        <v>15</v>
      </c>
      <c r="AA92" s="81">
        <v>8.43</v>
      </c>
      <c r="AB92" s="79">
        <v>8.4169999999999998</v>
      </c>
      <c r="AC92" s="81"/>
      <c r="AD92" s="81"/>
      <c r="AE92" s="84"/>
      <c r="AF92" s="94">
        <v>84</v>
      </c>
      <c r="AG92" s="94" t="s">
        <v>248</v>
      </c>
      <c r="AI92" s="85"/>
    </row>
    <row r="93" spans="1:35" ht="15" customHeight="1">
      <c r="A93" s="94">
        <v>85</v>
      </c>
      <c r="B93" s="94" t="s">
        <v>249</v>
      </c>
      <c r="C93" s="92">
        <v>95729</v>
      </c>
      <c r="D93" s="80">
        <v>17490</v>
      </c>
      <c r="E93" s="81">
        <v>16782</v>
      </c>
      <c r="F93" s="81">
        <v>14212</v>
      </c>
      <c r="G93" s="80">
        <v>4320</v>
      </c>
      <c r="H93" s="81">
        <v>4005</v>
      </c>
      <c r="I93" s="81">
        <v>3420</v>
      </c>
      <c r="J93" s="81">
        <v>2910</v>
      </c>
      <c r="K93" s="81">
        <v>2788</v>
      </c>
      <c r="L93" s="80">
        <v>1044</v>
      </c>
      <c r="M93" s="81">
        <v>904</v>
      </c>
      <c r="N93" s="81">
        <v>761</v>
      </c>
      <c r="O93" s="81">
        <v>535</v>
      </c>
      <c r="P93" s="81">
        <v>508</v>
      </c>
      <c r="Q93" s="81">
        <v>217</v>
      </c>
      <c r="R93" s="81">
        <v>211</v>
      </c>
      <c r="S93" s="80">
        <v>196</v>
      </c>
      <c r="T93" s="81">
        <v>153</v>
      </c>
      <c r="U93" s="81">
        <v>123</v>
      </c>
      <c r="V93" s="81">
        <v>48</v>
      </c>
      <c r="W93" s="81">
        <v>44</v>
      </c>
      <c r="X93" s="81"/>
      <c r="Y93" s="81"/>
      <c r="Z93" s="80">
        <v>19</v>
      </c>
      <c r="AA93" s="81">
        <v>11</v>
      </c>
      <c r="AB93" s="79">
        <v>9.3000000000000007</v>
      </c>
      <c r="AC93" s="81"/>
      <c r="AD93" s="81"/>
      <c r="AE93" s="84"/>
      <c r="AF93" s="94">
        <v>85</v>
      </c>
      <c r="AG93" s="94" t="s">
        <v>249</v>
      </c>
      <c r="AI93" s="85"/>
    </row>
    <row r="94" spans="1:35" ht="15" customHeight="1" thickBot="1">
      <c r="A94" s="86">
        <v>86</v>
      </c>
      <c r="B94" s="86" t="s">
        <v>250</v>
      </c>
      <c r="C94" s="96">
        <v>98404</v>
      </c>
      <c r="D94" s="89">
        <v>18055</v>
      </c>
      <c r="E94" s="90">
        <v>17334</v>
      </c>
      <c r="F94" s="90">
        <v>14615</v>
      </c>
      <c r="G94" s="89">
        <v>4483</v>
      </c>
      <c r="H94" s="90">
        <v>4162</v>
      </c>
      <c r="I94" s="90">
        <v>3542</v>
      </c>
      <c r="J94" s="90">
        <v>3019</v>
      </c>
      <c r="K94" s="90">
        <v>2890</v>
      </c>
      <c r="L94" s="89">
        <v>1096</v>
      </c>
      <c r="M94" s="90">
        <v>951</v>
      </c>
      <c r="N94" s="90">
        <v>798</v>
      </c>
      <c r="O94" s="90">
        <v>567</v>
      </c>
      <c r="P94" s="90">
        <v>538</v>
      </c>
      <c r="Q94" s="90">
        <v>242</v>
      </c>
      <c r="R94" s="90">
        <v>235</v>
      </c>
      <c r="S94" s="89">
        <v>212</v>
      </c>
      <c r="T94" s="90">
        <v>167</v>
      </c>
      <c r="U94" s="90">
        <v>134</v>
      </c>
      <c r="V94" s="90">
        <v>55</v>
      </c>
      <c r="W94" s="90">
        <v>51</v>
      </c>
      <c r="X94" s="90"/>
      <c r="Y94" s="90"/>
      <c r="Z94" s="89">
        <v>24</v>
      </c>
      <c r="AA94" s="90">
        <v>14</v>
      </c>
      <c r="AB94" s="97">
        <v>10.7485</v>
      </c>
      <c r="AC94" s="90"/>
      <c r="AD94" s="90"/>
      <c r="AE94" s="100"/>
      <c r="AF94" s="86">
        <v>86</v>
      </c>
      <c r="AG94" s="86" t="s">
        <v>250</v>
      </c>
      <c r="AI94" s="85"/>
    </row>
    <row r="95" spans="1:35" ht="15" customHeight="1" thickTop="1">
      <c r="A95" s="77">
        <v>87</v>
      </c>
      <c r="B95" s="77" t="s">
        <v>251</v>
      </c>
      <c r="C95" s="92">
        <v>101134</v>
      </c>
      <c r="D95" s="80">
        <v>18637</v>
      </c>
      <c r="E95" s="81">
        <v>17903</v>
      </c>
      <c r="F95" s="81">
        <v>15028</v>
      </c>
      <c r="G95" s="80">
        <v>4652</v>
      </c>
      <c r="H95" s="81">
        <v>4324</v>
      </c>
      <c r="I95" s="81">
        <v>3666</v>
      </c>
      <c r="J95" s="81">
        <v>3134</v>
      </c>
      <c r="K95" s="81">
        <v>2998</v>
      </c>
      <c r="L95" s="80">
        <v>1153</v>
      </c>
      <c r="M95" s="81">
        <v>1003</v>
      </c>
      <c r="N95" s="81">
        <v>839</v>
      </c>
      <c r="O95" s="81">
        <v>603</v>
      </c>
      <c r="P95" s="81">
        <v>572</v>
      </c>
      <c r="Q95" s="81">
        <v>268</v>
      </c>
      <c r="R95" s="81">
        <v>260</v>
      </c>
      <c r="S95" s="80">
        <v>231</v>
      </c>
      <c r="T95" s="81">
        <v>183</v>
      </c>
      <c r="U95" s="81">
        <v>147</v>
      </c>
      <c r="V95" s="81">
        <v>65</v>
      </c>
      <c r="W95" s="81">
        <v>61</v>
      </c>
      <c r="X95" s="81"/>
      <c r="Y95" s="81"/>
      <c r="Z95" s="80">
        <v>33</v>
      </c>
      <c r="AA95" s="81">
        <v>17</v>
      </c>
      <c r="AB95" s="81">
        <v>13</v>
      </c>
      <c r="AC95" s="81"/>
      <c r="AD95" s="81"/>
      <c r="AE95" s="101">
        <v>4.0727000000000002</v>
      </c>
      <c r="AF95" s="77">
        <v>87</v>
      </c>
      <c r="AG95" s="77" t="s">
        <v>251</v>
      </c>
      <c r="AI95" s="85"/>
    </row>
    <row r="96" spans="1:35" ht="15" customHeight="1">
      <c r="A96" s="94">
        <v>88</v>
      </c>
      <c r="B96" s="94" t="s">
        <v>252</v>
      </c>
      <c r="C96" s="92">
        <v>103919</v>
      </c>
      <c r="D96" s="80">
        <v>19237</v>
      </c>
      <c r="E96" s="81">
        <v>18488</v>
      </c>
      <c r="F96" s="81">
        <v>15449</v>
      </c>
      <c r="G96" s="80">
        <v>4827</v>
      </c>
      <c r="H96" s="81">
        <v>4491</v>
      </c>
      <c r="I96" s="81">
        <v>3793</v>
      </c>
      <c r="J96" s="81">
        <v>3254</v>
      </c>
      <c r="K96" s="81">
        <v>3111</v>
      </c>
      <c r="L96" s="80">
        <v>1214</v>
      </c>
      <c r="M96" s="81">
        <v>1060</v>
      </c>
      <c r="N96" s="81">
        <v>884</v>
      </c>
      <c r="O96" s="81">
        <v>642</v>
      </c>
      <c r="P96" s="81">
        <v>609</v>
      </c>
      <c r="Q96" s="81">
        <v>296</v>
      </c>
      <c r="R96" s="81">
        <v>287</v>
      </c>
      <c r="S96" s="80">
        <v>253</v>
      </c>
      <c r="T96" s="81">
        <v>201</v>
      </c>
      <c r="U96" s="81">
        <v>161</v>
      </c>
      <c r="V96" s="81">
        <v>77</v>
      </c>
      <c r="W96" s="81">
        <v>73</v>
      </c>
      <c r="X96" s="81"/>
      <c r="Y96" s="81"/>
      <c r="Z96" s="80">
        <v>46</v>
      </c>
      <c r="AA96" s="81">
        <v>28</v>
      </c>
      <c r="AB96" s="81">
        <v>23</v>
      </c>
      <c r="AC96" s="81"/>
      <c r="AD96" s="81"/>
      <c r="AE96" s="101">
        <v>5.2784000000000004</v>
      </c>
      <c r="AF96" s="94">
        <v>88</v>
      </c>
      <c r="AG96" s="94" t="s">
        <v>252</v>
      </c>
      <c r="AI96" s="85"/>
    </row>
    <row r="97" spans="1:35" ht="15" customHeight="1">
      <c r="A97" s="94" t="s">
        <v>253</v>
      </c>
      <c r="B97" s="94" t="s">
        <v>254</v>
      </c>
      <c r="C97" s="92">
        <v>106759</v>
      </c>
      <c r="D97" s="80">
        <v>19850</v>
      </c>
      <c r="E97" s="81">
        <v>19086</v>
      </c>
      <c r="F97" s="81">
        <v>15874</v>
      </c>
      <c r="G97" s="80">
        <v>5005</v>
      </c>
      <c r="H97" s="81">
        <v>4661</v>
      </c>
      <c r="I97" s="81">
        <v>3921</v>
      </c>
      <c r="J97" s="81">
        <v>3374</v>
      </c>
      <c r="K97" s="81">
        <v>3223</v>
      </c>
      <c r="L97" s="80">
        <v>1274</v>
      </c>
      <c r="M97" s="81">
        <v>1116</v>
      </c>
      <c r="N97" s="81">
        <v>928</v>
      </c>
      <c r="O97" s="81">
        <v>680</v>
      </c>
      <c r="P97" s="81">
        <v>645</v>
      </c>
      <c r="Q97" s="81">
        <v>322</v>
      </c>
      <c r="R97" s="81">
        <v>313</v>
      </c>
      <c r="S97" s="80">
        <v>274</v>
      </c>
      <c r="T97" s="81">
        <v>218</v>
      </c>
      <c r="U97" s="81">
        <v>174</v>
      </c>
      <c r="V97" s="81">
        <v>88</v>
      </c>
      <c r="W97" s="81">
        <v>83</v>
      </c>
      <c r="X97" s="81"/>
      <c r="Y97" s="81"/>
      <c r="Z97" s="80">
        <v>56</v>
      </c>
      <c r="AA97" s="81">
        <v>39</v>
      </c>
      <c r="AB97" s="81">
        <v>33</v>
      </c>
      <c r="AC97" s="81">
        <v>5.7</v>
      </c>
      <c r="AD97" s="81"/>
      <c r="AE97" s="101">
        <v>5.17</v>
      </c>
      <c r="AF97" s="94" t="s">
        <v>253</v>
      </c>
      <c r="AG97" s="94" t="s">
        <v>254</v>
      </c>
      <c r="AI97" s="85"/>
    </row>
    <row r="98" spans="1:35" ht="15" customHeight="1">
      <c r="A98" s="94" t="s">
        <v>255</v>
      </c>
      <c r="B98" s="94" t="s">
        <v>254</v>
      </c>
      <c r="C98" s="92">
        <v>106759</v>
      </c>
      <c r="D98" s="80">
        <v>19850</v>
      </c>
      <c r="E98" s="81">
        <v>19086</v>
      </c>
      <c r="F98" s="81">
        <v>15874</v>
      </c>
      <c r="G98" s="80">
        <v>5005</v>
      </c>
      <c r="H98" s="81">
        <v>4661</v>
      </c>
      <c r="I98" s="81">
        <v>3921</v>
      </c>
      <c r="J98" s="81">
        <v>3374</v>
      </c>
      <c r="K98" s="81">
        <v>3223</v>
      </c>
      <c r="L98" s="80">
        <v>1274</v>
      </c>
      <c r="M98" s="81">
        <v>1116</v>
      </c>
      <c r="N98" s="81">
        <v>928</v>
      </c>
      <c r="O98" s="81">
        <v>680</v>
      </c>
      <c r="P98" s="81">
        <v>645</v>
      </c>
      <c r="Q98" s="81">
        <v>322</v>
      </c>
      <c r="R98" s="81">
        <v>313</v>
      </c>
      <c r="S98" s="80">
        <v>274</v>
      </c>
      <c r="T98" s="81">
        <v>218</v>
      </c>
      <c r="U98" s="81">
        <v>174</v>
      </c>
      <c r="V98" s="81">
        <v>88</v>
      </c>
      <c r="W98" s="81">
        <v>83</v>
      </c>
      <c r="X98" s="81"/>
      <c r="Y98" s="81"/>
      <c r="Z98" s="80">
        <v>56</v>
      </c>
      <c r="AA98" s="81">
        <v>39</v>
      </c>
      <c r="AB98" s="81">
        <v>33</v>
      </c>
      <c r="AC98" s="79">
        <v>5.17</v>
      </c>
      <c r="AD98" s="81"/>
      <c r="AE98" s="93">
        <v>6.3</v>
      </c>
      <c r="AF98" s="94" t="s">
        <v>255</v>
      </c>
      <c r="AG98" s="94" t="s">
        <v>254</v>
      </c>
      <c r="AI98" s="85"/>
    </row>
    <row r="99" spans="1:35" ht="15" customHeight="1">
      <c r="A99" s="94" t="s">
        <v>256</v>
      </c>
      <c r="B99" s="94" t="s">
        <v>257</v>
      </c>
      <c r="C99" s="92">
        <v>109654</v>
      </c>
      <c r="D99" s="80">
        <v>20475</v>
      </c>
      <c r="E99" s="81">
        <v>19696</v>
      </c>
      <c r="F99" s="81">
        <v>16303</v>
      </c>
      <c r="G99" s="80">
        <v>5185</v>
      </c>
      <c r="H99" s="81">
        <v>4833</v>
      </c>
      <c r="I99" s="81">
        <v>4049</v>
      </c>
      <c r="J99" s="81">
        <v>3494</v>
      </c>
      <c r="K99" s="81">
        <v>3335</v>
      </c>
      <c r="L99" s="80">
        <v>1333</v>
      </c>
      <c r="M99" s="81">
        <v>1171</v>
      </c>
      <c r="N99" s="81">
        <v>970</v>
      </c>
      <c r="O99" s="81">
        <v>717</v>
      </c>
      <c r="P99" s="81">
        <v>679</v>
      </c>
      <c r="Q99" s="81">
        <v>347</v>
      </c>
      <c r="R99" s="81">
        <v>338</v>
      </c>
      <c r="S99" s="80">
        <v>293</v>
      </c>
      <c r="T99" s="81">
        <v>233</v>
      </c>
      <c r="U99" s="81">
        <v>185</v>
      </c>
      <c r="V99" s="81">
        <v>97</v>
      </c>
      <c r="W99" s="81">
        <v>91</v>
      </c>
      <c r="X99" s="81"/>
      <c r="Y99" s="81"/>
      <c r="Z99" s="80">
        <v>64</v>
      </c>
      <c r="AA99" s="81">
        <v>48</v>
      </c>
      <c r="AB99" s="81">
        <v>41</v>
      </c>
      <c r="AC99" s="79">
        <v>6.5</v>
      </c>
      <c r="AD99" s="81"/>
      <c r="AE99" s="101">
        <v>6.3067000000000002</v>
      </c>
      <c r="AF99" s="94" t="s">
        <v>256</v>
      </c>
      <c r="AG99" s="94" t="s">
        <v>257</v>
      </c>
      <c r="AI99" s="85"/>
    </row>
    <row r="100" spans="1:35" ht="15" customHeight="1">
      <c r="A100" s="94" t="s">
        <v>258</v>
      </c>
      <c r="B100" s="94" t="s">
        <v>257</v>
      </c>
      <c r="C100" s="92">
        <v>109654</v>
      </c>
      <c r="D100" s="80">
        <v>20475</v>
      </c>
      <c r="E100" s="81">
        <v>19696</v>
      </c>
      <c r="F100" s="81">
        <v>16303</v>
      </c>
      <c r="G100" s="80">
        <v>5185</v>
      </c>
      <c r="H100" s="81">
        <v>4833</v>
      </c>
      <c r="I100" s="81">
        <v>4049</v>
      </c>
      <c r="J100" s="81">
        <v>3494</v>
      </c>
      <c r="K100" s="81">
        <v>3335</v>
      </c>
      <c r="L100" s="80">
        <v>1333</v>
      </c>
      <c r="M100" s="81">
        <v>1171</v>
      </c>
      <c r="N100" s="81">
        <v>970</v>
      </c>
      <c r="O100" s="81">
        <v>717</v>
      </c>
      <c r="P100" s="81">
        <v>679</v>
      </c>
      <c r="Q100" s="81">
        <v>347</v>
      </c>
      <c r="R100" s="81">
        <v>338</v>
      </c>
      <c r="S100" s="80">
        <v>293</v>
      </c>
      <c r="T100" s="81">
        <v>233</v>
      </c>
      <c r="U100" s="81">
        <v>185</v>
      </c>
      <c r="V100" s="81">
        <v>97</v>
      </c>
      <c r="W100" s="81">
        <v>91</v>
      </c>
      <c r="X100" s="81"/>
      <c r="Y100" s="81"/>
      <c r="Z100" s="80">
        <v>64</v>
      </c>
      <c r="AA100" s="81">
        <v>48</v>
      </c>
      <c r="AB100" s="81">
        <v>41</v>
      </c>
      <c r="AC100" s="79">
        <v>6.3067000000000002</v>
      </c>
      <c r="AD100" s="81"/>
      <c r="AE100" s="101">
        <v>6.5</v>
      </c>
      <c r="AF100" s="94" t="s">
        <v>258</v>
      </c>
      <c r="AG100" s="94" t="s">
        <v>257</v>
      </c>
      <c r="AI100" s="85"/>
    </row>
    <row r="101" spans="1:35" ht="15" customHeight="1">
      <c r="A101" s="94" t="s">
        <v>259</v>
      </c>
      <c r="B101" s="94" t="s">
        <v>260</v>
      </c>
      <c r="C101" s="92">
        <v>112604</v>
      </c>
      <c r="D101" s="80">
        <v>21112</v>
      </c>
      <c r="E101" s="81">
        <v>20318</v>
      </c>
      <c r="F101" s="81">
        <v>16735</v>
      </c>
      <c r="G101" s="80">
        <v>5368</v>
      </c>
      <c r="H101" s="81">
        <v>5008</v>
      </c>
      <c r="I101" s="81">
        <v>4178</v>
      </c>
      <c r="J101" s="81">
        <v>3613</v>
      </c>
      <c r="K101" s="81">
        <v>3446</v>
      </c>
      <c r="L101" s="80">
        <v>1390</v>
      </c>
      <c r="M101" s="81">
        <v>1225</v>
      </c>
      <c r="N101" s="81">
        <v>1011</v>
      </c>
      <c r="O101" s="81">
        <v>752</v>
      </c>
      <c r="P101" s="81">
        <v>712</v>
      </c>
      <c r="Q101" s="81">
        <v>372</v>
      </c>
      <c r="R101" s="81">
        <v>362</v>
      </c>
      <c r="S101" s="80">
        <v>312</v>
      </c>
      <c r="T101" s="81">
        <v>248</v>
      </c>
      <c r="U101" s="81">
        <v>195</v>
      </c>
      <c r="V101" s="81">
        <v>104</v>
      </c>
      <c r="W101" s="81">
        <v>97</v>
      </c>
      <c r="X101" s="81">
        <v>6</v>
      </c>
      <c r="Y101" s="81"/>
      <c r="Z101" s="80">
        <v>70</v>
      </c>
      <c r="AA101" s="81">
        <v>54</v>
      </c>
      <c r="AB101" s="81">
        <v>46</v>
      </c>
      <c r="AC101" s="81">
        <v>6</v>
      </c>
      <c r="AD101" s="81"/>
      <c r="AE101" s="101">
        <v>5.89</v>
      </c>
      <c r="AF101" s="94" t="s">
        <v>259</v>
      </c>
      <c r="AG101" s="94" t="s">
        <v>260</v>
      </c>
      <c r="AI101" s="85"/>
    </row>
    <row r="102" spans="1:35" ht="15" customHeight="1">
      <c r="A102" s="94" t="s">
        <v>261</v>
      </c>
      <c r="B102" s="94" t="s">
        <v>260</v>
      </c>
      <c r="C102" s="92">
        <v>112604</v>
      </c>
      <c r="D102" s="80">
        <v>21112</v>
      </c>
      <c r="E102" s="81">
        <v>20318</v>
      </c>
      <c r="F102" s="81">
        <v>16735</v>
      </c>
      <c r="G102" s="80">
        <v>5368</v>
      </c>
      <c r="H102" s="81">
        <v>5008</v>
      </c>
      <c r="I102" s="81">
        <v>4178</v>
      </c>
      <c r="J102" s="81">
        <v>3613</v>
      </c>
      <c r="K102" s="81">
        <v>3446</v>
      </c>
      <c r="L102" s="80">
        <v>1390</v>
      </c>
      <c r="M102" s="81">
        <v>1225</v>
      </c>
      <c r="N102" s="81">
        <v>1011</v>
      </c>
      <c r="O102" s="81">
        <v>752</v>
      </c>
      <c r="P102" s="81">
        <v>712</v>
      </c>
      <c r="Q102" s="81">
        <v>372</v>
      </c>
      <c r="R102" s="81">
        <v>362</v>
      </c>
      <c r="S102" s="80">
        <v>312</v>
      </c>
      <c r="T102" s="81">
        <v>248</v>
      </c>
      <c r="U102" s="81">
        <v>195</v>
      </c>
      <c r="V102" s="81">
        <v>104</v>
      </c>
      <c r="W102" s="81">
        <v>97</v>
      </c>
      <c r="X102" s="81">
        <v>6</v>
      </c>
      <c r="Y102" s="81"/>
      <c r="Z102" s="80">
        <v>70</v>
      </c>
      <c r="AA102" s="81">
        <v>54</v>
      </c>
      <c r="AB102" s="81">
        <v>46</v>
      </c>
      <c r="AC102" s="79">
        <v>5.89</v>
      </c>
      <c r="AD102" s="81"/>
      <c r="AE102" s="93">
        <v>6</v>
      </c>
      <c r="AF102" s="94" t="s">
        <v>261</v>
      </c>
      <c r="AG102" s="94" t="s">
        <v>260</v>
      </c>
      <c r="AI102" s="85"/>
    </row>
    <row r="103" spans="1:35" ht="15" customHeight="1">
      <c r="A103" s="94" t="s">
        <v>262</v>
      </c>
      <c r="B103" s="94" t="s">
        <v>260</v>
      </c>
      <c r="C103" s="92">
        <v>112604</v>
      </c>
      <c r="D103" s="80">
        <v>21112</v>
      </c>
      <c r="E103" s="81">
        <v>20318</v>
      </c>
      <c r="F103" s="81">
        <v>16735</v>
      </c>
      <c r="G103" s="80">
        <v>5368</v>
      </c>
      <c r="H103" s="81">
        <v>5008</v>
      </c>
      <c r="I103" s="81">
        <v>4178</v>
      </c>
      <c r="J103" s="81">
        <v>3613</v>
      </c>
      <c r="K103" s="81">
        <v>3446</v>
      </c>
      <c r="L103" s="80">
        <v>1390</v>
      </c>
      <c r="M103" s="81">
        <v>1225</v>
      </c>
      <c r="N103" s="81">
        <v>1011</v>
      </c>
      <c r="O103" s="81">
        <v>752</v>
      </c>
      <c r="P103" s="81">
        <v>712</v>
      </c>
      <c r="Q103" s="81">
        <v>372</v>
      </c>
      <c r="R103" s="81">
        <v>362</v>
      </c>
      <c r="S103" s="80">
        <v>312</v>
      </c>
      <c r="T103" s="81">
        <v>248</v>
      </c>
      <c r="U103" s="81">
        <v>195</v>
      </c>
      <c r="V103" s="81">
        <v>104</v>
      </c>
      <c r="W103" s="81">
        <v>97</v>
      </c>
      <c r="X103" s="79">
        <v>5.89</v>
      </c>
      <c r="Y103" s="81"/>
      <c r="Z103" s="80">
        <v>70</v>
      </c>
      <c r="AA103" s="81">
        <v>54</v>
      </c>
      <c r="AB103" s="81">
        <v>46</v>
      </c>
      <c r="AC103" s="81">
        <v>6</v>
      </c>
      <c r="AD103" s="81"/>
      <c r="AE103" s="93">
        <v>6</v>
      </c>
      <c r="AF103" s="94" t="s">
        <v>262</v>
      </c>
      <c r="AG103" s="94" t="s">
        <v>260</v>
      </c>
      <c r="AI103" s="85"/>
    </row>
    <row r="104" spans="1:35" ht="15" customHeight="1">
      <c r="A104" s="94" t="s">
        <v>263</v>
      </c>
      <c r="B104" s="94" t="s">
        <v>264</v>
      </c>
      <c r="C104" s="92">
        <v>115611</v>
      </c>
      <c r="D104" s="80">
        <v>21762</v>
      </c>
      <c r="E104" s="81">
        <v>20953</v>
      </c>
      <c r="F104" s="81">
        <v>17171</v>
      </c>
      <c r="G104" s="80">
        <v>5553</v>
      </c>
      <c r="H104" s="81">
        <v>5187</v>
      </c>
      <c r="I104" s="81">
        <v>4308</v>
      </c>
      <c r="J104" s="81">
        <v>3733</v>
      </c>
      <c r="K104" s="81">
        <v>3557</v>
      </c>
      <c r="L104" s="80">
        <v>1446</v>
      </c>
      <c r="M104" s="81">
        <v>1278</v>
      </c>
      <c r="N104" s="81">
        <v>1050</v>
      </c>
      <c r="O104" s="81">
        <v>785</v>
      </c>
      <c r="P104" s="81">
        <v>743</v>
      </c>
      <c r="Q104" s="81">
        <v>396</v>
      </c>
      <c r="R104" s="81">
        <v>386</v>
      </c>
      <c r="S104" s="80">
        <v>329</v>
      </c>
      <c r="T104" s="81">
        <v>261</v>
      </c>
      <c r="U104" s="81">
        <v>203</v>
      </c>
      <c r="V104" s="81">
        <v>110</v>
      </c>
      <c r="W104" s="81">
        <v>101</v>
      </c>
      <c r="X104" s="79">
        <v>6.5</v>
      </c>
      <c r="Y104" s="81"/>
      <c r="Z104" s="80">
        <v>74</v>
      </c>
      <c r="AA104" s="81">
        <v>57</v>
      </c>
      <c r="AB104" s="81">
        <v>48</v>
      </c>
      <c r="AC104" s="79">
        <v>6.5</v>
      </c>
      <c r="AD104" s="81"/>
      <c r="AE104" s="101">
        <v>6.1940499999999998</v>
      </c>
      <c r="AF104" s="94" t="s">
        <v>263</v>
      </c>
      <c r="AG104" s="94" t="s">
        <v>264</v>
      </c>
      <c r="AI104" s="85"/>
    </row>
    <row r="105" spans="1:35" ht="15" customHeight="1">
      <c r="A105" s="94" t="s">
        <v>265</v>
      </c>
      <c r="B105" s="94" t="s">
        <v>264</v>
      </c>
      <c r="C105" s="92">
        <v>115611</v>
      </c>
      <c r="D105" s="80">
        <v>21762</v>
      </c>
      <c r="E105" s="81">
        <v>20953</v>
      </c>
      <c r="F105" s="81">
        <v>17171</v>
      </c>
      <c r="G105" s="80">
        <v>5553</v>
      </c>
      <c r="H105" s="81">
        <v>5187</v>
      </c>
      <c r="I105" s="81">
        <v>4308</v>
      </c>
      <c r="J105" s="81">
        <v>3733</v>
      </c>
      <c r="K105" s="81">
        <v>3557</v>
      </c>
      <c r="L105" s="80">
        <v>1446</v>
      </c>
      <c r="M105" s="81">
        <v>1278</v>
      </c>
      <c r="N105" s="81">
        <v>1050</v>
      </c>
      <c r="O105" s="81">
        <v>785</v>
      </c>
      <c r="P105" s="81">
        <v>743</v>
      </c>
      <c r="Q105" s="81">
        <v>396</v>
      </c>
      <c r="R105" s="81">
        <v>386</v>
      </c>
      <c r="S105" s="80">
        <v>329</v>
      </c>
      <c r="T105" s="81">
        <v>261</v>
      </c>
      <c r="U105" s="81">
        <v>203</v>
      </c>
      <c r="V105" s="81">
        <v>110</v>
      </c>
      <c r="W105" s="81">
        <v>101</v>
      </c>
      <c r="X105" s="79">
        <v>6.5</v>
      </c>
      <c r="Y105" s="81"/>
      <c r="Z105" s="80">
        <v>74</v>
      </c>
      <c r="AA105" s="81">
        <v>57</v>
      </c>
      <c r="AB105" s="81">
        <v>48</v>
      </c>
      <c r="AC105" s="79">
        <v>6.1940499999999998</v>
      </c>
      <c r="AD105" s="81"/>
      <c r="AE105" s="101">
        <v>6.5</v>
      </c>
      <c r="AF105" s="94" t="s">
        <v>265</v>
      </c>
      <c r="AG105" s="94" t="s">
        <v>264</v>
      </c>
      <c r="AI105" s="85"/>
    </row>
    <row r="106" spans="1:35" ht="15" customHeight="1">
      <c r="A106" s="94" t="s">
        <v>266</v>
      </c>
      <c r="B106" s="94" t="s">
        <v>264</v>
      </c>
      <c r="C106" s="92">
        <v>115611</v>
      </c>
      <c r="D106" s="80">
        <v>21762</v>
      </c>
      <c r="E106" s="81">
        <v>20953</v>
      </c>
      <c r="F106" s="81">
        <v>17171</v>
      </c>
      <c r="G106" s="80">
        <v>5553</v>
      </c>
      <c r="H106" s="81">
        <v>5187</v>
      </c>
      <c r="I106" s="81">
        <v>4308</v>
      </c>
      <c r="J106" s="81">
        <v>3733</v>
      </c>
      <c r="K106" s="81">
        <v>3557</v>
      </c>
      <c r="L106" s="80">
        <v>1446</v>
      </c>
      <c r="M106" s="81">
        <v>1278</v>
      </c>
      <c r="N106" s="81">
        <v>1050</v>
      </c>
      <c r="O106" s="81">
        <v>785</v>
      </c>
      <c r="P106" s="81">
        <v>743</v>
      </c>
      <c r="Q106" s="81">
        <v>396</v>
      </c>
      <c r="R106" s="81">
        <v>386</v>
      </c>
      <c r="S106" s="80">
        <v>329</v>
      </c>
      <c r="T106" s="81">
        <v>261</v>
      </c>
      <c r="U106" s="81">
        <v>203</v>
      </c>
      <c r="V106" s="81">
        <v>110</v>
      </c>
      <c r="W106" s="81">
        <v>101</v>
      </c>
      <c r="X106" s="79">
        <v>6.1940499999999998</v>
      </c>
      <c r="Y106" s="81"/>
      <c r="Z106" s="80">
        <v>74</v>
      </c>
      <c r="AA106" s="81">
        <v>57</v>
      </c>
      <c r="AB106" s="81">
        <v>48</v>
      </c>
      <c r="AC106" s="79">
        <v>6.5</v>
      </c>
      <c r="AD106" s="81"/>
      <c r="AE106" s="101">
        <v>6.5</v>
      </c>
      <c r="AF106" s="94" t="s">
        <v>266</v>
      </c>
      <c r="AG106" s="94" t="s">
        <v>264</v>
      </c>
      <c r="AI106" s="85"/>
    </row>
    <row r="107" spans="1:35" ht="15" customHeight="1">
      <c r="A107" s="102" t="s">
        <v>267</v>
      </c>
      <c r="B107" s="102" t="s">
        <v>268</v>
      </c>
      <c r="C107" s="92">
        <v>118676</v>
      </c>
      <c r="D107" s="80">
        <v>22427</v>
      </c>
      <c r="E107" s="81">
        <v>21602</v>
      </c>
      <c r="F107" s="81">
        <v>17612</v>
      </c>
      <c r="G107" s="80">
        <v>5742</v>
      </c>
      <c r="H107" s="81">
        <v>5370</v>
      </c>
      <c r="I107" s="81">
        <v>4440</v>
      </c>
      <c r="J107" s="81">
        <v>3854</v>
      </c>
      <c r="K107" s="81">
        <v>3669</v>
      </c>
      <c r="L107" s="80">
        <v>1504</v>
      </c>
      <c r="M107" s="81">
        <v>1331</v>
      </c>
      <c r="N107" s="81">
        <v>1089</v>
      </c>
      <c r="O107" s="81">
        <v>819</v>
      </c>
      <c r="P107" s="81">
        <v>774</v>
      </c>
      <c r="Q107" s="81">
        <v>421</v>
      </c>
      <c r="R107" s="81">
        <v>410</v>
      </c>
      <c r="S107" s="80">
        <v>346</v>
      </c>
      <c r="T107" s="81">
        <v>274</v>
      </c>
      <c r="U107" s="81">
        <v>211</v>
      </c>
      <c r="V107" s="81">
        <v>116</v>
      </c>
      <c r="W107" s="81">
        <v>106</v>
      </c>
      <c r="X107" s="79">
        <v>6.5</v>
      </c>
      <c r="Y107" s="81"/>
      <c r="Z107" s="80">
        <v>78</v>
      </c>
      <c r="AA107" s="81">
        <v>61</v>
      </c>
      <c r="AB107" s="81">
        <v>51</v>
      </c>
      <c r="AC107" s="79">
        <v>6.5</v>
      </c>
      <c r="AD107" s="81"/>
      <c r="AE107" s="101">
        <v>6.2656999999999998</v>
      </c>
      <c r="AF107" s="102" t="s">
        <v>267</v>
      </c>
      <c r="AG107" s="102" t="s">
        <v>268</v>
      </c>
      <c r="AI107" s="85"/>
    </row>
    <row r="108" spans="1:35" ht="15" customHeight="1">
      <c r="A108" s="102" t="s">
        <v>269</v>
      </c>
      <c r="B108" s="102" t="s">
        <v>268</v>
      </c>
      <c r="C108" s="92">
        <v>118676</v>
      </c>
      <c r="D108" s="80">
        <v>22427</v>
      </c>
      <c r="E108" s="81">
        <v>21602</v>
      </c>
      <c r="F108" s="81">
        <v>17612</v>
      </c>
      <c r="G108" s="80">
        <v>5742</v>
      </c>
      <c r="H108" s="81">
        <v>5370</v>
      </c>
      <c r="I108" s="81">
        <v>4440</v>
      </c>
      <c r="J108" s="81">
        <v>3854</v>
      </c>
      <c r="K108" s="81">
        <v>3669</v>
      </c>
      <c r="L108" s="80">
        <v>1504</v>
      </c>
      <c r="M108" s="81">
        <v>1331</v>
      </c>
      <c r="N108" s="81">
        <v>1089</v>
      </c>
      <c r="O108" s="81">
        <v>819</v>
      </c>
      <c r="P108" s="81">
        <v>774</v>
      </c>
      <c r="Q108" s="81">
        <v>421</v>
      </c>
      <c r="R108" s="81">
        <v>410</v>
      </c>
      <c r="S108" s="80">
        <v>346</v>
      </c>
      <c r="T108" s="81">
        <v>274</v>
      </c>
      <c r="U108" s="81">
        <v>211</v>
      </c>
      <c r="V108" s="81">
        <v>116</v>
      </c>
      <c r="W108" s="81">
        <v>106</v>
      </c>
      <c r="X108" s="79">
        <v>6.5</v>
      </c>
      <c r="Y108" s="81"/>
      <c r="Z108" s="80">
        <v>78</v>
      </c>
      <c r="AA108" s="81">
        <v>61</v>
      </c>
      <c r="AB108" s="81">
        <v>51</v>
      </c>
      <c r="AC108" s="79">
        <v>6.2656999999999998</v>
      </c>
      <c r="AD108" s="81"/>
      <c r="AE108" s="101">
        <v>6.5</v>
      </c>
      <c r="AF108" s="102" t="s">
        <v>269</v>
      </c>
      <c r="AG108" s="102" t="s">
        <v>268</v>
      </c>
      <c r="AI108" s="85"/>
    </row>
    <row r="109" spans="1:35" ht="15" customHeight="1">
      <c r="A109" s="102" t="s">
        <v>270</v>
      </c>
      <c r="B109" s="102" t="s">
        <v>268</v>
      </c>
      <c r="C109" s="92">
        <v>118676</v>
      </c>
      <c r="D109" s="80">
        <v>22427</v>
      </c>
      <c r="E109" s="81">
        <v>21602</v>
      </c>
      <c r="F109" s="81">
        <v>17612</v>
      </c>
      <c r="G109" s="80">
        <v>5742</v>
      </c>
      <c r="H109" s="81">
        <v>5370</v>
      </c>
      <c r="I109" s="81">
        <v>4440</v>
      </c>
      <c r="J109" s="81">
        <v>3854</v>
      </c>
      <c r="K109" s="81">
        <v>3669</v>
      </c>
      <c r="L109" s="80">
        <v>1504</v>
      </c>
      <c r="M109" s="81">
        <v>1331</v>
      </c>
      <c r="N109" s="81">
        <v>1089</v>
      </c>
      <c r="O109" s="81">
        <v>819</v>
      </c>
      <c r="P109" s="81">
        <v>774</v>
      </c>
      <c r="Q109" s="81">
        <v>421</v>
      </c>
      <c r="R109" s="81">
        <v>410</v>
      </c>
      <c r="S109" s="80">
        <v>346</v>
      </c>
      <c r="T109" s="81">
        <v>274</v>
      </c>
      <c r="U109" s="81">
        <v>211</v>
      </c>
      <c r="V109" s="81">
        <v>116</v>
      </c>
      <c r="W109" s="81">
        <v>106</v>
      </c>
      <c r="X109" s="79">
        <v>6.2656999999999998</v>
      </c>
      <c r="Y109" s="81"/>
      <c r="Z109" s="80">
        <v>78</v>
      </c>
      <c r="AA109" s="81">
        <v>61</v>
      </c>
      <c r="AB109" s="81">
        <v>51</v>
      </c>
      <c r="AC109" s="79">
        <v>6.5</v>
      </c>
      <c r="AD109" s="81"/>
      <c r="AE109" s="101">
        <v>6.5</v>
      </c>
      <c r="AF109" s="102" t="s">
        <v>270</v>
      </c>
      <c r="AG109" s="102" t="s">
        <v>268</v>
      </c>
      <c r="AI109" s="85"/>
    </row>
    <row r="110" spans="1:35" ht="15" customHeight="1">
      <c r="A110" s="102" t="s">
        <v>271</v>
      </c>
      <c r="B110" s="102" t="s">
        <v>272</v>
      </c>
      <c r="C110" s="92">
        <v>121800</v>
      </c>
      <c r="D110" s="80">
        <v>23109</v>
      </c>
      <c r="E110" s="81">
        <v>22267</v>
      </c>
      <c r="F110" s="81">
        <v>18059</v>
      </c>
      <c r="G110" s="80">
        <v>5936</v>
      </c>
      <c r="H110" s="81">
        <v>5557</v>
      </c>
      <c r="I110" s="81">
        <v>4574</v>
      </c>
      <c r="J110" s="81">
        <v>3977</v>
      </c>
      <c r="K110" s="81">
        <v>3783</v>
      </c>
      <c r="L110" s="80">
        <v>1563</v>
      </c>
      <c r="M110" s="81">
        <v>1384</v>
      </c>
      <c r="N110" s="81">
        <v>1128</v>
      </c>
      <c r="O110" s="81">
        <v>853</v>
      </c>
      <c r="P110" s="81">
        <v>805</v>
      </c>
      <c r="Q110" s="81">
        <v>446</v>
      </c>
      <c r="R110" s="81">
        <v>434</v>
      </c>
      <c r="S110" s="80">
        <v>363</v>
      </c>
      <c r="T110" s="81">
        <v>287</v>
      </c>
      <c r="U110" s="81">
        <v>219</v>
      </c>
      <c r="V110" s="81">
        <v>122</v>
      </c>
      <c r="W110" s="81">
        <v>111</v>
      </c>
      <c r="X110" s="79">
        <v>6.5</v>
      </c>
      <c r="Y110" s="81"/>
      <c r="Z110" s="80">
        <v>83</v>
      </c>
      <c r="AA110" s="81">
        <v>65</v>
      </c>
      <c r="AB110" s="81">
        <v>54</v>
      </c>
      <c r="AC110" s="81"/>
      <c r="AD110" s="99"/>
      <c r="AE110" s="101">
        <v>6.0262000000000002</v>
      </c>
      <c r="AF110" s="102" t="s">
        <v>271</v>
      </c>
      <c r="AG110" s="102" t="s">
        <v>272</v>
      </c>
      <c r="AI110" s="85"/>
    </row>
    <row r="111" spans="1:35" ht="15" customHeight="1">
      <c r="A111" s="102" t="s">
        <v>273</v>
      </c>
      <c r="B111" s="102" t="s">
        <v>272</v>
      </c>
      <c r="C111" s="92">
        <v>121800</v>
      </c>
      <c r="D111" s="80">
        <v>23109</v>
      </c>
      <c r="E111" s="81">
        <v>22267</v>
      </c>
      <c r="F111" s="81">
        <v>18059</v>
      </c>
      <c r="G111" s="80">
        <v>5936</v>
      </c>
      <c r="H111" s="81">
        <v>5557</v>
      </c>
      <c r="I111" s="81">
        <v>4574</v>
      </c>
      <c r="J111" s="81">
        <v>3977</v>
      </c>
      <c r="K111" s="81">
        <v>3783</v>
      </c>
      <c r="L111" s="80">
        <v>1563</v>
      </c>
      <c r="M111" s="81">
        <v>1384</v>
      </c>
      <c r="N111" s="81">
        <v>1128</v>
      </c>
      <c r="O111" s="81">
        <v>853</v>
      </c>
      <c r="P111" s="81">
        <v>805</v>
      </c>
      <c r="Q111" s="81">
        <v>446</v>
      </c>
      <c r="R111" s="81">
        <v>434</v>
      </c>
      <c r="S111" s="80">
        <v>363</v>
      </c>
      <c r="T111" s="81">
        <v>287</v>
      </c>
      <c r="U111" s="81">
        <v>219</v>
      </c>
      <c r="V111" s="81">
        <v>122</v>
      </c>
      <c r="W111" s="81">
        <v>111</v>
      </c>
      <c r="X111" s="79">
        <v>6.0262000000000002</v>
      </c>
      <c r="Y111" s="81"/>
      <c r="Z111" s="80">
        <v>83</v>
      </c>
      <c r="AA111" s="81">
        <v>65</v>
      </c>
      <c r="AB111" s="81">
        <v>54</v>
      </c>
      <c r="AC111" s="81"/>
      <c r="AD111" s="99"/>
      <c r="AE111" s="101">
        <v>6.5</v>
      </c>
      <c r="AF111" s="102" t="s">
        <v>273</v>
      </c>
      <c r="AG111" s="102" t="s">
        <v>272</v>
      </c>
      <c r="AI111" s="85"/>
    </row>
    <row r="112" spans="1:35" ht="15" customHeight="1">
      <c r="A112" s="102" t="s">
        <v>274</v>
      </c>
      <c r="B112" s="102" t="s">
        <v>275</v>
      </c>
      <c r="C112" s="92">
        <v>124984</v>
      </c>
      <c r="D112" s="80">
        <v>23808</v>
      </c>
      <c r="E112" s="81">
        <v>22949</v>
      </c>
      <c r="F112" s="81">
        <v>18512</v>
      </c>
      <c r="G112" s="80">
        <v>6135</v>
      </c>
      <c r="H112" s="81">
        <v>5748</v>
      </c>
      <c r="I112" s="81">
        <v>4710</v>
      </c>
      <c r="J112" s="81">
        <v>4102</v>
      </c>
      <c r="K112" s="81">
        <v>3898</v>
      </c>
      <c r="L112" s="80">
        <v>1623</v>
      </c>
      <c r="M112" s="81">
        <v>1439</v>
      </c>
      <c r="N112" s="81">
        <v>1167</v>
      </c>
      <c r="O112" s="81">
        <v>888</v>
      </c>
      <c r="P112" s="81">
        <v>837</v>
      </c>
      <c r="Q112" s="81">
        <v>471</v>
      </c>
      <c r="R112" s="81">
        <v>458</v>
      </c>
      <c r="S112" s="80">
        <v>380</v>
      </c>
      <c r="T112" s="81">
        <v>301</v>
      </c>
      <c r="U112" s="81">
        <v>227</v>
      </c>
      <c r="V112" s="81">
        <v>128</v>
      </c>
      <c r="W112" s="81">
        <v>116</v>
      </c>
      <c r="X112" s="81">
        <v>6</v>
      </c>
      <c r="Y112" s="81"/>
      <c r="Z112" s="80">
        <v>87</v>
      </c>
      <c r="AA112" s="81">
        <v>69</v>
      </c>
      <c r="AB112" s="81">
        <v>57</v>
      </c>
      <c r="AC112" s="81"/>
      <c r="AD112" s="99"/>
      <c r="AE112" s="101">
        <v>5.9737999999999998</v>
      </c>
      <c r="AF112" s="102" t="s">
        <v>274</v>
      </c>
      <c r="AG112" s="102" t="s">
        <v>275</v>
      </c>
      <c r="AI112" s="85"/>
    </row>
    <row r="113" spans="1:35" ht="15" customHeight="1">
      <c r="A113" s="102" t="s">
        <v>276</v>
      </c>
      <c r="B113" s="102" t="s">
        <v>275</v>
      </c>
      <c r="C113" s="92">
        <v>124984</v>
      </c>
      <c r="D113" s="80">
        <v>23808</v>
      </c>
      <c r="E113" s="81">
        <v>22949</v>
      </c>
      <c r="F113" s="81">
        <v>18512</v>
      </c>
      <c r="G113" s="80">
        <v>6135</v>
      </c>
      <c r="H113" s="81">
        <v>5748</v>
      </c>
      <c r="I113" s="81">
        <v>4710</v>
      </c>
      <c r="J113" s="81">
        <v>4102</v>
      </c>
      <c r="K113" s="81">
        <v>3898</v>
      </c>
      <c r="L113" s="80">
        <v>1623</v>
      </c>
      <c r="M113" s="81">
        <v>1439</v>
      </c>
      <c r="N113" s="81">
        <v>1167</v>
      </c>
      <c r="O113" s="81">
        <v>888</v>
      </c>
      <c r="P113" s="81">
        <v>837</v>
      </c>
      <c r="Q113" s="81">
        <v>471</v>
      </c>
      <c r="R113" s="81">
        <v>458</v>
      </c>
      <c r="S113" s="80">
        <v>380</v>
      </c>
      <c r="T113" s="81">
        <v>301</v>
      </c>
      <c r="U113" s="81">
        <v>227</v>
      </c>
      <c r="V113" s="81">
        <v>128</v>
      </c>
      <c r="W113" s="81">
        <v>116</v>
      </c>
      <c r="X113" s="79">
        <v>5.9737999999999998</v>
      </c>
      <c r="Y113" s="81"/>
      <c r="Z113" s="80">
        <v>87</v>
      </c>
      <c r="AA113" s="81">
        <v>69</v>
      </c>
      <c r="AB113" s="81">
        <v>57</v>
      </c>
      <c r="AC113" s="81"/>
      <c r="AD113" s="99"/>
      <c r="AE113" s="93">
        <v>6</v>
      </c>
      <c r="AF113" s="102" t="s">
        <v>276</v>
      </c>
      <c r="AG113" s="102" t="s">
        <v>275</v>
      </c>
      <c r="AI113" s="85"/>
    </row>
    <row r="114" spans="1:35" ht="15" customHeight="1">
      <c r="A114" s="102" t="s">
        <v>277</v>
      </c>
      <c r="B114" s="102" t="s">
        <v>278</v>
      </c>
      <c r="C114" s="92">
        <v>128229</v>
      </c>
      <c r="D114" s="80">
        <v>24524</v>
      </c>
      <c r="E114" s="81">
        <v>23648</v>
      </c>
      <c r="F114" s="81">
        <v>18971</v>
      </c>
      <c r="G114" s="80">
        <v>6339</v>
      </c>
      <c r="H114" s="81">
        <v>5944</v>
      </c>
      <c r="I114" s="81">
        <v>4848</v>
      </c>
      <c r="J114" s="81">
        <v>4230</v>
      </c>
      <c r="K114" s="81">
        <v>4016</v>
      </c>
      <c r="L114" s="80">
        <v>1684</v>
      </c>
      <c r="M114" s="81">
        <v>1495</v>
      </c>
      <c r="N114" s="81">
        <v>1207</v>
      </c>
      <c r="O114" s="81">
        <v>923</v>
      </c>
      <c r="P114" s="81">
        <v>869</v>
      </c>
      <c r="Q114" s="81">
        <v>497</v>
      </c>
      <c r="R114" s="81">
        <v>484</v>
      </c>
      <c r="S114" s="80">
        <v>697</v>
      </c>
      <c r="T114" s="81">
        <v>315</v>
      </c>
      <c r="U114" s="81">
        <v>235</v>
      </c>
      <c r="V114" s="81">
        <v>134</v>
      </c>
      <c r="W114" s="81">
        <v>121</v>
      </c>
      <c r="X114" s="81">
        <v>6</v>
      </c>
      <c r="Y114" s="81"/>
      <c r="Z114" s="80">
        <v>92</v>
      </c>
      <c r="AA114" s="81">
        <v>73</v>
      </c>
      <c r="AB114" s="81">
        <v>60</v>
      </c>
      <c r="AC114" s="81">
        <v>6</v>
      </c>
      <c r="AD114" s="99"/>
      <c r="AE114" s="101">
        <v>5.9915000000000003</v>
      </c>
      <c r="AF114" s="102" t="s">
        <v>277</v>
      </c>
      <c r="AG114" s="102" t="s">
        <v>278</v>
      </c>
      <c r="AI114" s="85"/>
    </row>
    <row r="115" spans="1:35" ht="15" customHeight="1">
      <c r="A115" s="102" t="s">
        <v>279</v>
      </c>
      <c r="B115" s="102" t="s">
        <v>278</v>
      </c>
      <c r="C115" s="92">
        <v>128229</v>
      </c>
      <c r="D115" s="80">
        <v>24524</v>
      </c>
      <c r="E115" s="81">
        <v>23648</v>
      </c>
      <c r="F115" s="81">
        <v>18971</v>
      </c>
      <c r="G115" s="80">
        <v>6339</v>
      </c>
      <c r="H115" s="81">
        <v>5944</v>
      </c>
      <c r="I115" s="81">
        <v>4848</v>
      </c>
      <c r="J115" s="81">
        <v>4230</v>
      </c>
      <c r="K115" s="81">
        <v>4016</v>
      </c>
      <c r="L115" s="80">
        <v>1684</v>
      </c>
      <c r="M115" s="81">
        <v>1495</v>
      </c>
      <c r="N115" s="81">
        <v>1207</v>
      </c>
      <c r="O115" s="81">
        <v>923</v>
      </c>
      <c r="P115" s="81">
        <v>869</v>
      </c>
      <c r="Q115" s="81">
        <v>497</v>
      </c>
      <c r="R115" s="81">
        <v>484</v>
      </c>
      <c r="S115" s="80">
        <v>697</v>
      </c>
      <c r="T115" s="81">
        <v>315</v>
      </c>
      <c r="U115" s="81">
        <v>235</v>
      </c>
      <c r="V115" s="81">
        <v>134</v>
      </c>
      <c r="W115" s="81">
        <v>121</v>
      </c>
      <c r="X115" s="81">
        <v>6</v>
      </c>
      <c r="Y115" s="81"/>
      <c r="Z115" s="80">
        <v>92</v>
      </c>
      <c r="AA115" s="81">
        <v>73</v>
      </c>
      <c r="AB115" s="81">
        <v>60</v>
      </c>
      <c r="AC115" s="79">
        <v>5.9915000000000003</v>
      </c>
      <c r="AD115" s="99"/>
      <c r="AE115" s="93">
        <v>6</v>
      </c>
      <c r="AF115" s="102" t="s">
        <v>279</v>
      </c>
      <c r="AG115" s="102" t="s">
        <v>278</v>
      </c>
      <c r="AI115" s="85"/>
    </row>
    <row r="116" spans="1:35" ht="15" customHeight="1">
      <c r="A116" s="102" t="s">
        <v>280</v>
      </c>
      <c r="B116" s="102" t="s">
        <v>278</v>
      </c>
      <c r="C116" s="92">
        <v>128229</v>
      </c>
      <c r="D116" s="80">
        <v>24524</v>
      </c>
      <c r="E116" s="81">
        <v>23648</v>
      </c>
      <c r="F116" s="81">
        <v>18971</v>
      </c>
      <c r="G116" s="80">
        <v>6339</v>
      </c>
      <c r="H116" s="81">
        <v>5944</v>
      </c>
      <c r="I116" s="81">
        <v>4848</v>
      </c>
      <c r="J116" s="81">
        <v>4230</v>
      </c>
      <c r="K116" s="81">
        <v>4016</v>
      </c>
      <c r="L116" s="80">
        <v>1684</v>
      </c>
      <c r="M116" s="81">
        <v>1495</v>
      </c>
      <c r="N116" s="81">
        <v>1207</v>
      </c>
      <c r="O116" s="81">
        <v>923</v>
      </c>
      <c r="P116" s="81">
        <v>869</v>
      </c>
      <c r="Q116" s="81">
        <v>497</v>
      </c>
      <c r="R116" s="81">
        <v>484</v>
      </c>
      <c r="S116" s="80">
        <v>697</v>
      </c>
      <c r="T116" s="81">
        <v>315</v>
      </c>
      <c r="U116" s="81">
        <v>235</v>
      </c>
      <c r="V116" s="81">
        <v>134</v>
      </c>
      <c r="W116" s="81">
        <v>121</v>
      </c>
      <c r="X116" s="79">
        <v>5.9915000000000003</v>
      </c>
      <c r="Y116" s="81"/>
      <c r="Z116" s="80">
        <v>92</v>
      </c>
      <c r="AA116" s="81">
        <v>73</v>
      </c>
      <c r="AB116" s="81">
        <v>60</v>
      </c>
      <c r="AC116" s="81">
        <v>6</v>
      </c>
      <c r="AD116" s="99"/>
      <c r="AE116" s="93">
        <v>6</v>
      </c>
      <c r="AF116" s="102" t="s">
        <v>280</v>
      </c>
      <c r="AG116" s="102" t="s">
        <v>278</v>
      </c>
      <c r="AI116" s="85"/>
    </row>
    <row r="117" spans="1:35" ht="15" customHeight="1">
      <c r="A117" s="102" t="s">
        <v>281</v>
      </c>
      <c r="B117" s="102" t="s">
        <v>282</v>
      </c>
      <c r="C117" s="92">
        <v>131536</v>
      </c>
      <c r="D117" s="80">
        <v>25257</v>
      </c>
      <c r="E117" s="81">
        <v>24361</v>
      </c>
      <c r="F117" s="81">
        <v>19435</v>
      </c>
      <c r="G117" s="80">
        <v>6548</v>
      </c>
      <c r="H117" s="81">
        <v>6145</v>
      </c>
      <c r="I117" s="81">
        <v>4989</v>
      </c>
      <c r="J117" s="81">
        <v>4360</v>
      </c>
      <c r="K117" s="81">
        <v>4136</v>
      </c>
      <c r="L117" s="80">
        <v>1746</v>
      </c>
      <c r="M117" s="81">
        <v>1553</v>
      </c>
      <c r="N117" s="81">
        <v>1248</v>
      </c>
      <c r="O117" s="81">
        <v>959</v>
      </c>
      <c r="P117" s="81">
        <v>902</v>
      </c>
      <c r="Q117" s="81">
        <v>525</v>
      </c>
      <c r="R117" s="81">
        <v>517</v>
      </c>
      <c r="S117" s="80">
        <v>414</v>
      </c>
      <c r="T117" s="81">
        <v>330</v>
      </c>
      <c r="U117" s="81">
        <v>243</v>
      </c>
      <c r="V117" s="81">
        <v>141</v>
      </c>
      <c r="W117" s="81">
        <v>126</v>
      </c>
      <c r="X117" s="79">
        <v>6.5</v>
      </c>
      <c r="Y117" s="79">
        <v>6.5</v>
      </c>
      <c r="Z117" s="80">
        <v>97</v>
      </c>
      <c r="AA117" s="81">
        <v>78</v>
      </c>
      <c r="AB117" s="81">
        <v>64</v>
      </c>
      <c r="AC117" s="79"/>
      <c r="AD117" s="99"/>
      <c r="AE117" s="101">
        <v>6.1978999999999997</v>
      </c>
      <c r="AF117" s="102" t="s">
        <v>281</v>
      </c>
      <c r="AG117" s="102" t="s">
        <v>282</v>
      </c>
      <c r="AI117" s="85"/>
    </row>
    <row r="118" spans="1:35" ht="15" customHeight="1">
      <c r="A118" s="102" t="s">
        <v>283</v>
      </c>
      <c r="B118" s="102" t="s">
        <v>282</v>
      </c>
      <c r="C118" s="92">
        <v>131536</v>
      </c>
      <c r="D118" s="80">
        <v>25257</v>
      </c>
      <c r="E118" s="81">
        <v>24361</v>
      </c>
      <c r="F118" s="81">
        <v>19435</v>
      </c>
      <c r="G118" s="80">
        <v>6548</v>
      </c>
      <c r="H118" s="81">
        <v>6145</v>
      </c>
      <c r="I118" s="81">
        <v>4989</v>
      </c>
      <c r="J118" s="81">
        <v>4360</v>
      </c>
      <c r="K118" s="81">
        <v>4136</v>
      </c>
      <c r="L118" s="80">
        <v>1746</v>
      </c>
      <c r="M118" s="81">
        <v>1553</v>
      </c>
      <c r="N118" s="81">
        <v>1248</v>
      </c>
      <c r="O118" s="81">
        <v>959</v>
      </c>
      <c r="P118" s="81">
        <v>902</v>
      </c>
      <c r="Q118" s="81">
        <v>525</v>
      </c>
      <c r="R118" s="81">
        <v>517</v>
      </c>
      <c r="S118" s="80">
        <v>414</v>
      </c>
      <c r="T118" s="81">
        <v>330</v>
      </c>
      <c r="U118" s="81">
        <v>243</v>
      </c>
      <c r="V118" s="81">
        <v>141</v>
      </c>
      <c r="W118" s="81">
        <v>126</v>
      </c>
      <c r="X118" s="79">
        <v>6.1978999999999997</v>
      </c>
      <c r="Y118" s="79">
        <v>6.1978999999999997</v>
      </c>
      <c r="Z118" s="80">
        <v>97</v>
      </c>
      <c r="AA118" s="81">
        <v>78</v>
      </c>
      <c r="AB118" s="81">
        <v>64</v>
      </c>
      <c r="AC118" s="79"/>
      <c r="AD118" s="99"/>
      <c r="AE118" s="101">
        <v>6.5</v>
      </c>
      <c r="AF118" s="102" t="s">
        <v>283</v>
      </c>
      <c r="AG118" s="102" t="s">
        <v>282</v>
      </c>
      <c r="AI118" s="85"/>
    </row>
    <row r="119" spans="1:35" ht="15" customHeight="1">
      <c r="A119" s="102" t="s">
        <v>284</v>
      </c>
      <c r="B119" s="102" t="s">
        <v>285</v>
      </c>
      <c r="C119" s="92">
        <v>135906</v>
      </c>
      <c r="D119" s="80">
        <v>26007</v>
      </c>
      <c r="E119" s="81">
        <v>25097</v>
      </c>
      <c r="F119" s="81">
        <v>19905</v>
      </c>
      <c r="G119" s="80">
        <v>6762</v>
      </c>
      <c r="H119" s="81">
        <v>6351</v>
      </c>
      <c r="I119" s="81">
        <v>5132</v>
      </c>
      <c r="J119" s="81">
        <v>4493</v>
      </c>
      <c r="K119" s="81">
        <v>4258</v>
      </c>
      <c r="L119" s="80">
        <v>1809</v>
      </c>
      <c r="M119" s="81">
        <v>1613</v>
      </c>
      <c r="N119" s="81">
        <v>1289</v>
      </c>
      <c r="O119" s="81">
        <v>995</v>
      </c>
      <c r="P119" s="81">
        <v>935</v>
      </c>
      <c r="Q119" s="81">
        <v>554</v>
      </c>
      <c r="R119" s="81">
        <v>539</v>
      </c>
      <c r="S119" s="80">
        <v>431</v>
      </c>
      <c r="T119" s="81">
        <v>345</v>
      </c>
      <c r="U119" s="81">
        <v>252</v>
      </c>
      <c r="V119" s="81">
        <v>149</v>
      </c>
      <c r="W119" s="81">
        <v>131</v>
      </c>
      <c r="X119" s="79">
        <v>6.5</v>
      </c>
      <c r="Y119" s="79">
        <v>6.5</v>
      </c>
      <c r="Z119" s="80">
        <v>103</v>
      </c>
      <c r="AA119" s="81">
        <v>83</v>
      </c>
      <c r="AB119" s="81">
        <v>68</v>
      </c>
      <c r="AC119" s="79"/>
      <c r="AD119" s="99"/>
      <c r="AE119" s="101">
        <v>6.2816999999999998</v>
      </c>
      <c r="AF119" s="102" t="s">
        <v>284</v>
      </c>
      <c r="AG119" s="102" t="s">
        <v>285</v>
      </c>
      <c r="AI119" s="85"/>
    </row>
    <row r="120" spans="1:35" ht="15" customHeight="1">
      <c r="A120" s="102" t="s">
        <v>286</v>
      </c>
      <c r="B120" s="102" t="s">
        <v>285</v>
      </c>
      <c r="C120" s="92">
        <v>135906</v>
      </c>
      <c r="D120" s="80">
        <v>26007</v>
      </c>
      <c r="E120" s="81">
        <v>25097</v>
      </c>
      <c r="F120" s="81">
        <v>19905</v>
      </c>
      <c r="G120" s="80">
        <v>6762</v>
      </c>
      <c r="H120" s="81">
        <v>6351</v>
      </c>
      <c r="I120" s="81">
        <v>5132</v>
      </c>
      <c r="J120" s="81">
        <v>4493</v>
      </c>
      <c r="K120" s="81">
        <v>4258</v>
      </c>
      <c r="L120" s="80">
        <v>1809</v>
      </c>
      <c r="M120" s="81">
        <v>1613</v>
      </c>
      <c r="N120" s="81">
        <v>1289</v>
      </c>
      <c r="O120" s="81">
        <v>995</v>
      </c>
      <c r="P120" s="81">
        <v>935</v>
      </c>
      <c r="Q120" s="81">
        <v>554</v>
      </c>
      <c r="R120" s="81">
        <v>539</v>
      </c>
      <c r="S120" s="80">
        <v>431</v>
      </c>
      <c r="T120" s="81">
        <v>345</v>
      </c>
      <c r="U120" s="81">
        <v>252</v>
      </c>
      <c r="V120" s="81">
        <v>149</v>
      </c>
      <c r="W120" s="81">
        <v>131</v>
      </c>
      <c r="X120" s="79">
        <v>6.2816999999999998</v>
      </c>
      <c r="Y120" s="79">
        <v>6.2816999999999998</v>
      </c>
      <c r="Z120" s="80">
        <v>103</v>
      </c>
      <c r="AA120" s="81">
        <v>83</v>
      </c>
      <c r="AB120" s="81">
        <v>68</v>
      </c>
      <c r="AC120" s="79"/>
      <c r="AD120" s="99"/>
      <c r="AE120" s="101">
        <v>6.5</v>
      </c>
      <c r="AF120" s="102" t="s">
        <v>286</v>
      </c>
      <c r="AG120" s="102" t="s">
        <v>285</v>
      </c>
      <c r="AI120" s="85"/>
    </row>
    <row r="121" spans="1:35" ht="15" customHeight="1">
      <c r="A121" s="102" t="s">
        <v>287</v>
      </c>
      <c r="B121" s="102" t="s">
        <v>288</v>
      </c>
      <c r="C121" s="92">
        <v>139340</v>
      </c>
      <c r="D121" s="80">
        <v>26774</v>
      </c>
      <c r="E121" s="81">
        <v>25847</v>
      </c>
      <c r="F121" s="81">
        <v>20380</v>
      </c>
      <c r="G121" s="80">
        <v>6982</v>
      </c>
      <c r="H121" s="81">
        <v>6562</v>
      </c>
      <c r="I121" s="81">
        <v>5278</v>
      </c>
      <c r="J121" s="81">
        <v>4628</v>
      </c>
      <c r="K121" s="81">
        <v>4382</v>
      </c>
      <c r="L121" s="80">
        <v>1873</v>
      </c>
      <c r="M121" s="81">
        <v>1675</v>
      </c>
      <c r="N121" s="81">
        <v>1331</v>
      </c>
      <c r="O121" s="81">
        <v>1032</v>
      </c>
      <c r="P121" s="81">
        <v>968</v>
      </c>
      <c r="Q121" s="81">
        <v>584</v>
      </c>
      <c r="R121" s="81">
        <v>569</v>
      </c>
      <c r="S121" s="80">
        <v>448</v>
      </c>
      <c r="T121" s="81">
        <v>361</v>
      </c>
      <c r="U121" s="81">
        <v>261</v>
      </c>
      <c r="V121" s="81">
        <v>157</v>
      </c>
      <c r="W121" s="81">
        <v>137</v>
      </c>
      <c r="X121" s="79">
        <v>6.5</v>
      </c>
      <c r="Y121" s="79">
        <v>6.5</v>
      </c>
      <c r="Z121" s="80">
        <v>108</v>
      </c>
      <c r="AA121" s="81">
        <v>88</v>
      </c>
      <c r="AB121" s="81">
        <v>72</v>
      </c>
      <c r="AC121" s="79"/>
      <c r="AD121" s="99"/>
      <c r="AE121" s="101">
        <v>6.42</v>
      </c>
      <c r="AF121" s="102" t="s">
        <v>287</v>
      </c>
      <c r="AG121" s="102" t="s">
        <v>288</v>
      </c>
      <c r="AI121" s="85"/>
    </row>
    <row r="122" spans="1:35" ht="15" customHeight="1">
      <c r="A122" s="102" t="s">
        <v>289</v>
      </c>
      <c r="B122" s="102" t="s">
        <v>288</v>
      </c>
      <c r="C122" s="92">
        <v>139340</v>
      </c>
      <c r="D122" s="80">
        <v>26774</v>
      </c>
      <c r="E122" s="81">
        <v>25847</v>
      </c>
      <c r="F122" s="81">
        <v>20380</v>
      </c>
      <c r="G122" s="80">
        <v>6982</v>
      </c>
      <c r="H122" s="81">
        <v>6562</v>
      </c>
      <c r="I122" s="81">
        <v>5278</v>
      </c>
      <c r="J122" s="81">
        <v>4628</v>
      </c>
      <c r="K122" s="81">
        <v>4382</v>
      </c>
      <c r="L122" s="80">
        <v>1873</v>
      </c>
      <c r="M122" s="81">
        <v>1675</v>
      </c>
      <c r="N122" s="81">
        <v>1331</v>
      </c>
      <c r="O122" s="81">
        <v>1032</v>
      </c>
      <c r="P122" s="81">
        <v>968</v>
      </c>
      <c r="Q122" s="81">
        <v>584</v>
      </c>
      <c r="R122" s="81">
        <v>569</v>
      </c>
      <c r="S122" s="80">
        <v>448</v>
      </c>
      <c r="T122" s="81">
        <v>361</v>
      </c>
      <c r="U122" s="81">
        <v>261</v>
      </c>
      <c r="V122" s="81">
        <v>157</v>
      </c>
      <c r="W122" s="81">
        <v>137</v>
      </c>
      <c r="X122" s="79">
        <v>6.42</v>
      </c>
      <c r="Y122" s="79">
        <v>6.42</v>
      </c>
      <c r="Z122" s="80">
        <v>108</v>
      </c>
      <c r="AA122" s="81">
        <v>88</v>
      </c>
      <c r="AB122" s="81">
        <v>72</v>
      </c>
      <c r="AC122" s="79"/>
      <c r="AD122" s="99"/>
      <c r="AE122" s="101">
        <v>6.5</v>
      </c>
      <c r="AF122" s="102" t="s">
        <v>289</v>
      </c>
      <c r="AG122" s="102" t="s">
        <v>288</v>
      </c>
      <c r="AI122" s="85"/>
    </row>
    <row r="123" spans="1:35" ht="15" customHeight="1">
      <c r="A123" s="102" t="s">
        <v>290</v>
      </c>
      <c r="B123" s="102" t="s">
        <v>291</v>
      </c>
      <c r="C123" s="92">
        <v>142839</v>
      </c>
      <c r="D123" s="80">
        <v>27559</v>
      </c>
      <c r="E123" s="81">
        <v>26614</v>
      </c>
      <c r="F123" s="81">
        <v>20860</v>
      </c>
      <c r="G123" s="80">
        <v>7208</v>
      </c>
      <c r="H123" s="81">
        <v>6779</v>
      </c>
      <c r="I123" s="81">
        <v>5426</v>
      </c>
      <c r="J123" s="81">
        <v>4766</v>
      </c>
      <c r="K123" s="81">
        <v>4508</v>
      </c>
      <c r="L123" s="80">
        <v>1939</v>
      </c>
      <c r="M123" s="81">
        <v>1739</v>
      </c>
      <c r="N123" s="81">
        <v>1373</v>
      </c>
      <c r="O123" s="81">
        <v>1069</v>
      </c>
      <c r="P123" s="81">
        <v>1002</v>
      </c>
      <c r="Q123" s="81">
        <v>615</v>
      </c>
      <c r="R123" s="81">
        <v>599</v>
      </c>
      <c r="S123" s="80">
        <v>465</v>
      </c>
      <c r="T123" s="81">
        <v>377</v>
      </c>
      <c r="U123" s="81">
        <v>270</v>
      </c>
      <c r="V123" s="81">
        <v>166</v>
      </c>
      <c r="W123" s="81">
        <v>143</v>
      </c>
      <c r="X123" s="79">
        <v>6.51</v>
      </c>
      <c r="Y123" s="79">
        <v>6.51</v>
      </c>
      <c r="Z123" s="80">
        <v>114</v>
      </c>
      <c r="AA123" s="81">
        <v>93</v>
      </c>
      <c r="AB123" s="81">
        <v>76</v>
      </c>
      <c r="AC123" s="79"/>
      <c r="AD123" s="99"/>
      <c r="AE123" s="101">
        <v>6.5</v>
      </c>
      <c r="AF123" s="102" t="s">
        <v>290</v>
      </c>
      <c r="AG123" s="102" t="s">
        <v>291</v>
      </c>
      <c r="AI123" s="85"/>
    </row>
    <row r="124" spans="1:35" ht="15" customHeight="1">
      <c r="A124" s="102" t="s">
        <v>292</v>
      </c>
      <c r="B124" s="102" t="s">
        <v>291</v>
      </c>
      <c r="C124" s="92">
        <v>142839</v>
      </c>
      <c r="D124" s="80">
        <v>27559</v>
      </c>
      <c r="E124" s="81">
        <v>26614</v>
      </c>
      <c r="F124" s="81">
        <v>20860</v>
      </c>
      <c r="G124" s="80">
        <v>7208</v>
      </c>
      <c r="H124" s="81">
        <v>6779</v>
      </c>
      <c r="I124" s="81">
        <v>5426</v>
      </c>
      <c r="J124" s="81">
        <v>4766</v>
      </c>
      <c r="K124" s="81">
        <v>4508</v>
      </c>
      <c r="L124" s="80">
        <v>1939</v>
      </c>
      <c r="M124" s="81">
        <v>1739</v>
      </c>
      <c r="N124" s="81">
        <v>1373</v>
      </c>
      <c r="O124" s="81">
        <v>1069</v>
      </c>
      <c r="P124" s="81">
        <v>1002</v>
      </c>
      <c r="Q124" s="81">
        <v>615</v>
      </c>
      <c r="R124" s="81">
        <v>599</v>
      </c>
      <c r="S124" s="80">
        <v>465</v>
      </c>
      <c r="T124" s="81">
        <v>377</v>
      </c>
      <c r="U124" s="81">
        <v>270</v>
      </c>
      <c r="V124" s="81">
        <v>166</v>
      </c>
      <c r="W124" s="81">
        <v>143</v>
      </c>
      <c r="X124" s="79">
        <v>6.5</v>
      </c>
      <c r="Y124" s="79">
        <v>6.5</v>
      </c>
      <c r="Z124" s="80">
        <v>114</v>
      </c>
      <c r="AA124" s="81">
        <v>93</v>
      </c>
      <c r="AB124" s="81">
        <v>76</v>
      </c>
      <c r="AC124" s="79"/>
      <c r="AD124" s="99"/>
      <c r="AE124" s="101">
        <v>6.51</v>
      </c>
      <c r="AF124" s="102" t="s">
        <v>292</v>
      </c>
      <c r="AG124" s="102" t="s">
        <v>291</v>
      </c>
      <c r="AI124" s="85"/>
    </row>
    <row r="125" spans="1:35" ht="15" customHeight="1">
      <c r="A125" s="102">
        <v>101</v>
      </c>
      <c r="B125" s="102" t="s">
        <v>293</v>
      </c>
      <c r="C125" s="92">
        <v>146404</v>
      </c>
      <c r="D125" s="80">
        <v>28361</v>
      </c>
      <c r="E125" s="81">
        <v>27399</v>
      </c>
      <c r="F125" s="81">
        <v>21345</v>
      </c>
      <c r="G125" s="80">
        <v>7440</v>
      </c>
      <c r="H125" s="81">
        <v>7002</v>
      </c>
      <c r="I125" s="81">
        <v>5577</v>
      </c>
      <c r="J125" s="81">
        <v>4906</v>
      </c>
      <c r="K125" s="81">
        <v>4636</v>
      </c>
      <c r="L125" s="80">
        <v>2006</v>
      </c>
      <c r="M125" s="81">
        <v>1805</v>
      </c>
      <c r="N125" s="81">
        <v>1416</v>
      </c>
      <c r="O125" s="81">
        <v>1107</v>
      </c>
      <c r="P125" s="81">
        <v>1036</v>
      </c>
      <c r="Q125" s="81">
        <v>647</v>
      </c>
      <c r="R125" s="81">
        <v>630</v>
      </c>
      <c r="S125" s="80">
        <v>482</v>
      </c>
      <c r="T125" s="81">
        <v>393</v>
      </c>
      <c r="U125" s="81">
        <v>279</v>
      </c>
      <c r="V125" s="81">
        <v>175</v>
      </c>
      <c r="W125" s="81">
        <v>149</v>
      </c>
      <c r="X125" s="81">
        <v>7</v>
      </c>
      <c r="Y125" s="79">
        <v>7</v>
      </c>
      <c r="Z125" s="80">
        <v>120</v>
      </c>
      <c r="AA125" s="81">
        <v>99</v>
      </c>
      <c r="AB125" s="81">
        <v>81</v>
      </c>
      <c r="AC125" s="81"/>
      <c r="AD125" s="99"/>
      <c r="AE125" s="101">
        <v>6.58</v>
      </c>
      <c r="AF125" s="102">
        <v>101</v>
      </c>
      <c r="AG125" s="102" t="s">
        <v>293</v>
      </c>
      <c r="AI125" s="85"/>
    </row>
    <row r="126" spans="1:35" ht="15" customHeight="1">
      <c r="A126" s="102">
        <v>102</v>
      </c>
      <c r="B126" s="102" t="s">
        <v>294</v>
      </c>
      <c r="C126" s="92">
        <v>150036</v>
      </c>
      <c r="D126" s="80">
        <v>29181</v>
      </c>
      <c r="E126" s="81">
        <v>28202</v>
      </c>
      <c r="F126" s="81">
        <v>21835</v>
      </c>
      <c r="G126" s="80">
        <v>7678</v>
      </c>
      <c r="H126" s="81">
        <v>7231</v>
      </c>
      <c r="I126" s="81">
        <v>5731</v>
      </c>
      <c r="J126" s="81">
        <v>5048</v>
      </c>
      <c r="K126" s="81">
        <v>4766</v>
      </c>
      <c r="L126" s="80">
        <v>2074</v>
      </c>
      <c r="M126" s="81">
        <v>1873</v>
      </c>
      <c r="N126" s="81">
        <v>1459</v>
      </c>
      <c r="O126" s="81">
        <v>1146</v>
      </c>
      <c r="P126" s="81">
        <v>1071</v>
      </c>
      <c r="Q126" s="81">
        <v>680</v>
      </c>
      <c r="R126" s="81">
        <v>662</v>
      </c>
      <c r="S126" s="80">
        <v>499</v>
      </c>
      <c r="T126" s="81">
        <v>410</v>
      </c>
      <c r="U126" s="81">
        <v>288</v>
      </c>
      <c r="V126" s="81">
        <v>185</v>
      </c>
      <c r="W126" s="81">
        <v>155</v>
      </c>
      <c r="X126" s="81">
        <v>8</v>
      </c>
      <c r="Y126" s="81">
        <v>7</v>
      </c>
      <c r="Z126" s="80">
        <v>126</v>
      </c>
      <c r="AA126" s="81">
        <v>105</v>
      </c>
      <c r="AB126" s="81">
        <v>86</v>
      </c>
      <c r="AC126" s="81"/>
      <c r="AD126" s="81"/>
      <c r="AE126" s="101">
        <v>6.65</v>
      </c>
      <c r="AF126" s="102">
        <v>102</v>
      </c>
      <c r="AG126" s="102" t="s">
        <v>294</v>
      </c>
      <c r="AI126" s="85"/>
    </row>
    <row r="127" spans="1:35" ht="15" customHeight="1">
      <c r="A127" s="102">
        <v>103</v>
      </c>
      <c r="B127" s="102" t="s">
        <v>295</v>
      </c>
      <c r="C127" s="92">
        <v>153736</v>
      </c>
      <c r="D127" s="80">
        <v>30023</v>
      </c>
      <c r="E127" s="81">
        <v>29027</v>
      </c>
      <c r="F127" s="81">
        <v>22332</v>
      </c>
      <c r="G127" s="80">
        <v>7925</v>
      </c>
      <c r="H127" s="81">
        <v>7469</v>
      </c>
      <c r="I127" s="81">
        <v>5891</v>
      </c>
      <c r="J127" s="81">
        <v>5196</v>
      </c>
      <c r="K127" s="81">
        <v>4901</v>
      </c>
      <c r="L127" s="80">
        <v>2147</v>
      </c>
      <c r="M127" s="81">
        <v>1946</v>
      </c>
      <c r="N127" s="81">
        <v>1506</v>
      </c>
      <c r="O127" s="81">
        <v>1188</v>
      </c>
      <c r="P127" s="81">
        <v>1109</v>
      </c>
      <c r="Q127" s="81">
        <v>716</v>
      </c>
      <c r="R127" s="81">
        <v>697</v>
      </c>
      <c r="S127" s="80">
        <v>519</v>
      </c>
      <c r="T127" s="81">
        <v>430</v>
      </c>
      <c r="U127" s="81">
        <v>300</v>
      </c>
      <c r="V127" s="81">
        <v>198</v>
      </c>
      <c r="W127" s="81">
        <v>163</v>
      </c>
      <c r="X127" s="81">
        <v>13</v>
      </c>
      <c r="Y127" s="81">
        <v>12</v>
      </c>
      <c r="Z127" s="80">
        <v>134</v>
      </c>
      <c r="AA127" s="81">
        <v>113</v>
      </c>
      <c r="AB127" s="81">
        <v>93</v>
      </c>
      <c r="AC127" s="81">
        <v>7</v>
      </c>
      <c r="AD127" s="81"/>
      <c r="AE127" s="101">
        <v>4.9000000000000004</v>
      </c>
      <c r="AF127" s="102">
        <v>103</v>
      </c>
      <c r="AG127" s="102" t="s">
        <v>295</v>
      </c>
      <c r="AI127" s="85"/>
    </row>
    <row r="128" spans="1:35" ht="15" customHeight="1">
      <c r="A128" s="102">
        <v>104</v>
      </c>
      <c r="B128" s="102" t="s">
        <v>199</v>
      </c>
      <c r="C128" s="92">
        <v>157500</v>
      </c>
      <c r="D128" s="80">
        <v>30887</v>
      </c>
      <c r="E128" s="81">
        <v>29874</v>
      </c>
      <c r="F128" s="81">
        <v>22837</v>
      </c>
      <c r="G128" s="80">
        <v>8182</v>
      </c>
      <c r="H128" s="81">
        <v>7716</v>
      </c>
      <c r="I128" s="81">
        <v>6057</v>
      </c>
      <c r="J128" s="81">
        <v>5350</v>
      </c>
      <c r="K128" s="81">
        <v>5042</v>
      </c>
      <c r="L128" s="80">
        <v>2225</v>
      </c>
      <c r="M128" s="81">
        <v>2024</v>
      </c>
      <c r="N128" s="81">
        <v>1557</v>
      </c>
      <c r="O128" s="81">
        <v>1233</v>
      </c>
      <c r="P128" s="81">
        <v>1151</v>
      </c>
      <c r="Q128" s="81">
        <v>755</v>
      </c>
      <c r="R128" s="81">
        <v>735</v>
      </c>
      <c r="S128" s="80">
        <v>542</v>
      </c>
      <c r="T128" s="81">
        <v>454</v>
      </c>
      <c r="U128" s="81">
        <v>315</v>
      </c>
      <c r="V128" s="81">
        <v>213</v>
      </c>
      <c r="W128" s="81">
        <v>173</v>
      </c>
      <c r="X128" s="81">
        <v>21</v>
      </c>
      <c r="Y128" s="81">
        <v>20</v>
      </c>
      <c r="Z128" s="80">
        <v>144</v>
      </c>
      <c r="AA128" s="81">
        <v>123</v>
      </c>
      <c r="AB128" s="81">
        <v>102</v>
      </c>
      <c r="AC128" s="81">
        <v>8</v>
      </c>
      <c r="AD128" s="81"/>
      <c r="AE128" s="101">
        <v>6</v>
      </c>
      <c r="AF128" s="102">
        <v>104</v>
      </c>
      <c r="AG128" s="102" t="s">
        <v>199</v>
      </c>
      <c r="AI128" s="85"/>
    </row>
    <row r="129" spans="1:35" ht="15" customHeight="1">
      <c r="A129" s="102">
        <v>105</v>
      </c>
      <c r="B129" s="102" t="s">
        <v>296</v>
      </c>
      <c r="C129" s="92">
        <v>161340</v>
      </c>
      <c r="D129" s="80">
        <v>31770</v>
      </c>
      <c r="E129" s="81">
        <v>30740</v>
      </c>
      <c r="F129" s="81">
        <v>23346</v>
      </c>
      <c r="G129" s="80">
        <v>8446</v>
      </c>
      <c r="H129" s="81">
        <v>7970</v>
      </c>
      <c r="I129" s="81">
        <v>6227</v>
      </c>
      <c r="J129" s="81">
        <v>5507</v>
      </c>
      <c r="K129" s="81">
        <v>5185</v>
      </c>
      <c r="L129" s="80">
        <v>2304</v>
      </c>
      <c r="M129" s="81">
        <v>2105</v>
      </c>
      <c r="N129" s="81">
        <v>1609</v>
      </c>
      <c r="O129" s="81">
        <v>1279</v>
      </c>
      <c r="P129" s="81">
        <v>1193</v>
      </c>
      <c r="Q129" s="81">
        <v>795</v>
      </c>
      <c r="R129" s="81">
        <v>774</v>
      </c>
      <c r="S129" s="80">
        <v>565</v>
      </c>
      <c r="T129" s="81">
        <v>479</v>
      </c>
      <c r="U129" s="81">
        <v>330</v>
      </c>
      <c r="V129" s="81">
        <v>229</v>
      </c>
      <c r="W129" s="81">
        <v>183</v>
      </c>
      <c r="X129" s="81">
        <v>29</v>
      </c>
      <c r="Y129" s="81">
        <v>27</v>
      </c>
      <c r="Z129" s="80">
        <v>154</v>
      </c>
      <c r="AA129" s="81">
        <v>133</v>
      </c>
      <c r="AB129" s="81">
        <v>111</v>
      </c>
      <c r="AC129" s="81">
        <v>9</v>
      </c>
      <c r="AD129" s="81"/>
      <c r="AE129" s="93">
        <v>8</v>
      </c>
      <c r="AF129" s="102">
        <v>105</v>
      </c>
      <c r="AG129" s="102" t="s">
        <v>296</v>
      </c>
      <c r="AI129" s="85"/>
    </row>
    <row r="130" spans="1:35" ht="15" customHeight="1">
      <c r="A130" s="102">
        <v>106</v>
      </c>
      <c r="B130" s="102" t="s">
        <v>297</v>
      </c>
      <c r="C130" s="92">
        <v>165250</v>
      </c>
      <c r="D130" s="80">
        <v>32670</v>
      </c>
      <c r="E130" s="81">
        <v>31630</v>
      </c>
      <c r="F130" s="81">
        <v>23860</v>
      </c>
      <c r="G130" s="80">
        <v>8717</v>
      </c>
      <c r="H130" s="81">
        <v>8231</v>
      </c>
      <c r="I130" s="81">
        <v>6401</v>
      </c>
      <c r="J130" s="81">
        <v>5667</v>
      </c>
      <c r="K130" s="81">
        <v>5330</v>
      </c>
      <c r="L130" s="80">
        <v>1385</v>
      </c>
      <c r="M130" s="81">
        <v>2189</v>
      </c>
      <c r="N130" s="81">
        <v>1662</v>
      </c>
      <c r="O130" s="81">
        <v>1326</v>
      </c>
      <c r="P130" s="81">
        <v>1236</v>
      </c>
      <c r="Q130" s="81">
        <v>836</v>
      </c>
      <c r="R130" s="81">
        <v>814</v>
      </c>
      <c r="S130" s="80">
        <v>588</v>
      </c>
      <c r="T130" s="81">
        <v>505</v>
      </c>
      <c r="U130" s="81">
        <v>345</v>
      </c>
      <c r="V130" s="81">
        <v>246</v>
      </c>
      <c r="W130" s="81">
        <v>193</v>
      </c>
      <c r="X130" s="81">
        <v>37</v>
      </c>
      <c r="Y130" s="81">
        <v>35</v>
      </c>
      <c r="Z130" s="80">
        <v>164</v>
      </c>
      <c r="AA130" s="81">
        <v>143</v>
      </c>
      <c r="AB130" s="81">
        <v>120</v>
      </c>
      <c r="AC130" s="81">
        <v>9</v>
      </c>
      <c r="AD130" s="81"/>
      <c r="AE130" s="93">
        <v>8</v>
      </c>
      <c r="AF130" s="102">
        <v>106</v>
      </c>
      <c r="AG130" s="102" t="s">
        <v>297</v>
      </c>
      <c r="AI130" s="85"/>
    </row>
    <row r="131" spans="1:35" ht="15" customHeight="1">
      <c r="A131" s="102">
        <v>107</v>
      </c>
      <c r="B131" s="102" t="s">
        <v>298</v>
      </c>
      <c r="C131" s="92">
        <v>169240</v>
      </c>
      <c r="D131" s="80">
        <v>33600</v>
      </c>
      <c r="E131" s="81">
        <v>32530</v>
      </c>
      <c r="F131" s="81">
        <v>24380</v>
      </c>
      <c r="G131" s="80">
        <v>8995</v>
      </c>
      <c r="H131" s="81">
        <v>8499</v>
      </c>
      <c r="I131" s="81">
        <v>6579</v>
      </c>
      <c r="J131" s="81">
        <v>5830</v>
      </c>
      <c r="K131" s="81">
        <v>5478</v>
      </c>
      <c r="L131" s="80">
        <v>2468</v>
      </c>
      <c r="M131" s="81">
        <v>2276</v>
      </c>
      <c r="N131" s="81">
        <v>1716</v>
      </c>
      <c r="O131" s="81">
        <v>1374</v>
      </c>
      <c r="P131" s="81">
        <v>1279</v>
      </c>
      <c r="Q131" s="81">
        <v>878</v>
      </c>
      <c r="R131" s="81">
        <v>855</v>
      </c>
      <c r="S131" s="80">
        <v>611</v>
      </c>
      <c r="T131" s="81">
        <v>529</v>
      </c>
      <c r="U131" s="81">
        <v>360</v>
      </c>
      <c r="V131" s="81">
        <v>263</v>
      </c>
      <c r="W131" s="81">
        <v>203</v>
      </c>
      <c r="X131" s="81">
        <v>46</v>
      </c>
      <c r="Y131" s="81">
        <v>44</v>
      </c>
      <c r="Z131" s="80">
        <v>174</v>
      </c>
      <c r="AA131" s="81">
        <v>153</v>
      </c>
      <c r="AB131" s="81">
        <v>129</v>
      </c>
      <c r="AC131" s="81">
        <v>10</v>
      </c>
      <c r="AD131" s="81"/>
      <c r="AE131" s="93">
        <v>8</v>
      </c>
      <c r="AF131" s="102">
        <v>107</v>
      </c>
      <c r="AG131" s="102" t="s">
        <v>298</v>
      </c>
      <c r="AI131" s="85"/>
    </row>
    <row r="132" spans="1:35" ht="15" customHeight="1" thickBot="1">
      <c r="A132" s="102">
        <v>108</v>
      </c>
      <c r="B132" s="102" t="s">
        <v>299</v>
      </c>
      <c r="C132" s="92">
        <v>173290</v>
      </c>
      <c r="D132" s="80">
        <v>34540</v>
      </c>
      <c r="E132" s="81">
        <v>33460</v>
      </c>
      <c r="F132" s="81">
        <v>24900</v>
      </c>
      <c r="G132" s="80">
        <v>9280</v>
      </c>
      <c r="H132" s="81">
        <v>8770</v>
      </c>
      <c r="I132" s="81">
        <v>6760</v>
      </c>
      <c r="J132" s="81">
        <v>5996</v>
      </c>
      <c r="K132" s="81">
        <v>5628</v>
      </c>
      <c r="L132" s="80">
        <v>2553</v>
      </c>
      <c r="M132" s="81">
        <v>2366</v>
      </c>
      <c r="N132" s="81">
        <v>1771</v>
      </c>
      <c r="O132" s="81">
        <v>1422</v>
      </c>
      <c r="P132" s="81">
        <v>1323</v>
      </c>
      <c r="Q132" s="81">
        <v>921</v>
      </c>
      <c r="R132" s="81">
        <v>897</v>
      </c>
      <c r="S132" s="80">
        <v>634</v>
      </c>
      <c r="T132" s="81">
        <v>554</v>
      </c>
      <c r="U132" s="81">
        <v>375</v>
      </c>
      <c r="V132" s="81">
        <v>281</v>
      </c>
      <c r="W132" s="81">
        <v>213</v>
      </c>
      <c r="X132" s="81">
        <v>56</v>
      </c>
      <c r="Y132" s="81">
        <v>54</v>
      </c>
      <c r="Z132" s="80">
        <v>184</v>
      </c>
      <c r="AA132" s="81">
        <v>163</v>
      </c>
      <c r="AB132" s="81">
        <v>138</v>
      </c>
      <c r="AC132" s="81">
        <v>10</v>
      </c>
      <c r="AD132" s="79">
        <v>10</v>
      </c>
      <c r="AE132" s="93">
        <v>9</v>
      </c>
      <c r="AF132" s="102">
        <v>108</v>
      </c>
      <c r="AG132" s="102" t="s">
        <v>299</v>
      </c>
      <c r="AI132" s="85"/>
    </row>
    <row r="133" spans="1:35" ht="16.5" customHeight="1" thickBot="1">
      <c r="A133" s="70" t="s">
        <v>136</v>
      </c>
      <c r="B133" s="70" t="s">
        <v>137</v>
      </c>
      <c r="C133" s="71" t="s">
        <v>138</v>
      </c>
      <c r="D133" s="72" t="s">
        <v>139</v>
      </c>
      <c r="E133" s="73" t="s">
        <v>140</v>
      </c>
      <c r="F133" s="73" t="s">
        <v>141</v>
      </c>
      <c r="G133" s="72" t="s">
        <v>142</v>
      </c>
      <c r="H133" s="73" t="s">
        <v>143</v>
      </c>
      <c r="I133" s="73" t="s">
        <v>144</v>
      </c>
      <c r="J133" s="73" t="s">
        <v>145</v>
      </c>
      <c r="K133" s="73" t="s">
        <v>146</v>
      </c>
      <c r="L133" s="72" t="s">
        <v>147</v>
      </c>
      <c r="M133" s="73" t="s">
        <v>148</v>
      </c>
      <c r="N133" s="73" t="s">
        <v>149</v>
      </c>
      <c r="O133" s="73" t="s">
        <v>150</v>
      </c>
      <c r="P133" s="73" t="s">
        <v>151</v>
      </c>
      <c r="Q133" s="73" t="s">
        <v>152</v>
      </c>
      <c r="R133" s="73" t="s">
        <v>153</v>
      </c>
      <c r="S133" s="72" t="s">
        <v>154</v>
      </c>
      <c r="T133" s="73" t="s">
        <v>155</v>
      </c>
      <c r="U133" s="73" t="s">
        <v>156</v>
      </c>
      <c r="V133" s="73" t="s">
        <v>157</v>
      </c>
      <c r="W133" s="73" t="s">
        <v>158</v>
      </c>
      <c r="X133" s="73" t="s">
        <v>159</v>
      </c>
      <c r="Y133" s="73" t="s">
        <v>160</v>
      </c>
      <c r="Z133" s="72" t="s">
        <v>161</v>
      </c>
      <c r="AA133" s="73" t="s">
        <v>162</v>
      </c>
      <c r="AB133" s="73" t="s">
        <v>163</v>
      </c>
      <c r="AC133" s="74" t="s">
        <v>164</v>
      </c>
      <c r="AD133" s="74" t="s">
        <v>165</v>
      </c>
      <c r="AE133" s="75" t="s">
        <v>166</v>
      </c>
      <c r="AF133" s="70" t="s">
        <v>136</v>
      </c>
      <c r="AG133" s="70" t="s">
        <v>137</v>
      </c>
      <c r="AI133" s="10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105" customWidth="1"/>
    <col min="8" max="12" width="12.85546875" style="105" customWidth="1"/>
    <col min="13" max="13" width="9.140625" style="108"/>
    <col min="14" max="16384" width="9.140625" style="76"/>
  </cols>
  <sheetData>
    <row r="1" spans="1:13" ht="15" customHeight="1" thickBot="1">
      <c r="A1" s="477" t="s">
        <v>300</v>
      </c>
      <c r="B1" s="478"/>
      <c r="C1" s="106" t="s">
        <v>301</v>
      </c>
      <c r="D1" s="479" t="s">
        <v>138</v>
      </c>
      <c r="E1" s="480"/>
      <c r="F1" s="481" t="s">
        <v>139</v>
      </c>
      <c r="G1" s="480"/>
      <c r="H1" s="73" t="s">
        <v>140</v>
      </c>
      <c r="I1" s="73" t="s">
        <v>141</v>
      </c>
      <c r="J1" s="72" t="s">
        <v>142</v>
      </c>
      <c r="K1" s="73" t="s">
        <v>143</v>
      </c>
      <c r="L1" s="107" t="s">
        <v>144</v>
      </c>
    </row>
    <row r="2" spans="1:13" s="116" customFormat="1" ht="15" customHeight="1">
      <c r="A2" s="109">
        <v>9</v>
      </c>
      <c r="B2" s="110" t="s">
        <v>21</v>
      </c>
      <c r="C2" s="111"/>
      <c r="D2" s="482">
        <v>694</v>
      </c>
      <c r="E2" s="483"/>
      <c r="F2" s="484">
        <v>37.85</v>
      </c>
      <c r="G2" s="483"/>
      <c r="H2" s="112">
        <v>17.43</v>
      </c>
      <c r="I2" s="112">
        <v>17.422820000000002</v>
      </c>
      <c r="J2" s="113"/>
      <c r="K2" s="112"/>
      <c r="L2" s="114"/>
      <c r="M2" s="115"/>
    </row>
    <row r="3" spans="1:13" ht="15" customHeight="1">
      <c r="A3" s="447" t="s">
        <v>302</v>
      </c>
      <c r="B3" s="78" t="s">
        <v>21</v>
      </c>
      <c r="C3" s="448" t="s">
        <v>303</v>
      </c>
      <c r="D3" s="433">
        <v>694</v>
      </c>
      <c r="E3" s="434"/>
      <c r="F3" s="435" t="s">
        <v>133</v>
      </c>
      <c r="G3" s="434"/>
      <c r="H3" s="117" t="s">
        <v>133</v>
      </c>
      <c r="I3" s="117">
        <v>21.5</v>
      </c>
      <c r="J3" s="118"/>
      <c r="K3" s="117"/>
      <c r="L3" s="119"/>
    </row>
    <row r="4" spans="1:13" ht="15" customHeight="1" thickBot="1">
      <c r="A4" s="451"/>
      <c r="B4" s="87" t="s">
        <v>21</v>
      </c>
      <c r="C4" s="452"/>
      <c r="D4" s="453">
        <v>694</v>
      </c>
      <c r="E4" s="454"/>
      <c r="F4" s="459" t="s">
        <v>133</v>
      </c>
      <c r="G4" s="460"/>
      <c r="H4" s="120" t="s">
        <v>133</v>
      </c>
      <c r="I4" s="120" t="s">
        <v>133</v>
      </c>
      <c r="J4" s="121"/>
      <c r="K4" s="120"/>
      <c r="L4" s="122"/>
    </row>
    <row r="5" spans="1:13" s="116" customFormat="1" ht="15" customHeight="1" thickTop="1">
      <c r="A5" s="123">
        <v>8</v>
      </c>
      <c r="B5" s="124" t="s">
        <v>168</v>
      </c>
      <c r="C5" s="125"/>
      <c r="D5" s="463">
        <v>538</v>
      </c>
      <c r="E5" s="464"/>
      <c r="F5" s="465">
        <v>28.48</v>
      </c>
      <c r="G5" s="464"/>
      <c r="H5" s="126">
        <v>13.62</v>
      </c>
      <c r="I5" s="126">
        <v>13.61806</v>
      </c>
      <c r="J5" s="127"/>
      <c r="K5" s="126"/>
      <c r="L5" s="128"/>
      <c r="M5" s="115"/>
    </row>
    <row r="6" spans="1:13" ht="15" customHeight="1">
      <c r="A6" s="447" t="s">
        <v>304</v>
      </c>
      <c r="B6" s="78" t="s">
        <v>168</v>
      </c>
      <c r="C6" s="448" t="s">
        <v>305</v>
      </c>
      <c r="D6" s="475">
        <v>544.20000000000005</v>
      </c>
      <c r="E6" s="476"/>
      <c r="F6" s="118">
        <v>39.6</v>
      </c>
      <c r="G6" s="129">
        <v>27.9</v>
      </c>
      <c r="H6" s="130">
        <v>18.8</v>
      </c>
      <c r="I6" s="130"/>
      <c r="J6" s="131"/>
      <c r="K6" s="130"/>
      <c r="L6" s="132"/>
    </row>
    <row r="7" spans="1:13" ht="15" customHeight="1" thickBot="1">
      <c r="A7" s="451"/>
      <c r="B7" s="133" t="s">
        <v>168</v>
      </c>
      <c r="C7" s="452"/>
      <c r="D7" s="453">
        <v>543.1</v>
      </c>
      <c r="E7" s="454"/>
      <c r="F7" s="121">
        <v>41.6</v>
      </c>
      <c r="G7" s="134">
        <v>25.3</v>
      </c>
      <c r="H7" s="120">
        <v>21.1</v>
      </c>
      <c r="I7" s="120"/>
      <c r="J7" s="121"/>
      <c r="K7" s="120"/>
      <c r="L7" s="122"/>
    </row>
    <row r="8" spans="1:13" s="116" customFormat="1" ht="15" customHeight="1" thickTop="1">
      <c r="A8" s="123">
        <v>7</v>
      </c>
      <c r="B8" s="124" t="s">
        <v>20</v>
      </c>
      <c r="C8" s="125"/>
      <c r="D8" s="463">
        <v>403</v>
      </c>
      <c r="E8" s="464"/>
      <c r="F8" s="465">
        <v>20.329999999999998</v>
      </c>
      <c r="G8" s="464"/>
      <c r="H8" s="126">
        <v>14.534140000000001</v>
      </c>
      <c r="I8" s="126"/>
      <c r="J8" s="127"/>
      <c r="K8" s="126"/>
      <c r="L8" s="128"/>
      <c r="M8" s="115"/>
    </row>
    <row r="9" spans="1:13" ht="15" customHeight="1">
      <c r="A9" s="447" t="s">
        <v>306</v>
      </c>
      <c r="B9" s="95" t="s">
        <v>20</v>
      </c>
      <c r="C9" s="448" t="s">
        <v>307</v>
      </c>
      <c r="D9" s="433">
        <v>409.9</v>
      </c>
      <c r="E9" s="434"/>
      <c r="F9" s="118">
        <v>37.299999999999997</v>
      </c>
      <c r="G9" s="135">
        <v>18.600000000000001</v>
      </c>
      <c r="H9" s="117"/>
      <c r="I9" s="117"/>
      <c r="J9" s="118"/>
      <c r="K9" s="117"/>
      <c r="L9" s="119"/>
    </row>
    <row r="10" spans="1:13" ht="15" customHeight="1" thickBot="1">
      <c r="A10" s="451"/>
      <c r="B10" s="133" t="s">
        <v>20</v>
      </c>
      <c r="C10" s="452"/>
      <c r="D10" s="453">
        <v>409.9</v>
      </c>
      <c r="E10" s="454"/>
      <c r="F10" s="121">
        <v>37.299999999999997</v>
      </c>
      <c r="G10" s="134">
        <v>18.600000000000001</v>
      </c>
      <c r="H10" s="120"/>
      <c r="I10" s="120"/>
      <c r="J10" s="121"/>
      <c r="K10" s="120"/>
      <c r="L10" s="122"/>
    </row>
    <row r="11" spans="1:13" s="116" customFormat="1" ht="15" customHeight="1" thickTop="1">
      <c r="A11" s="123">
        <v>1</v>
      </c>
      <c r="B11" s="124" t="s">
        <v>15</v>
      </c>
      <c r="C11" s="125"/>
      <c r="D11" s="463">
        <v>13.59844</v>
      </c>
      <c r="E11" s="464"/>
      <c r="F11" s="136"/>
      <c r="G11" s="137"/>
      <c r="H11" s="126"/>
      <c r="I11" s="126"/>
      <c r="J11" s="127"/>
      <c r="K11" s="126"/>
      <c r="L11" s="128"/>
      <c r="M11" s="115"/>
    </row>
    <row r="12" spans="1:13" s="116" customFormat="1" ht="15" customHeight="1">
      <c r="A12" s="138">
        <v>9</v>
      </c>
      <c r="B12" s="139" t="s">
        <v>21</v>
      </c>
      <c r="C12" s="140"/>
      <c r="D12" s="444">
        <v>694</v>
      </c>
      <c r="E12" s="445"/>
      <c r="F12" s="446">
        <v>37.85</v>
      </c>
      <c r="G12" s="445"/>
      <c r="H12" s="141">
        <v>17.420000000000002</v>
      </c>
      <c r="I12" s="141">
        <v>17.422820000000002</v>
      </c>
      <c r="J12" s="142"/>
      <c r="K12" s="141"/>
      <c r="L12" s="143"/>
      <c r="M12" s="115"/>
    </row>
    <row r="13" spans="1:13" ht="15" customHeight="1">
      <c r="A13" s="447" t="s">
        <v>87</v>
      </c>
      <c r="B13" s="95" t="s">
        <v>15</v>
      </c>
      <c r="C13" s="448" t="s">
        <v>308</v>
      </c>
      <c r="D13" s="144"/>
      <c r="E13" s="135"/>
      <c r="F13" s="145"/>
      <c r="G13" s="135"/>
      <c r="H13" s="117"/>
      <c r="I13" s="117"/>
      <c r="J13" s="118"/>
      <c r="K13" s="117"/>
      <c r="L13" s="119"/>
    </row>
    <row r="14" spans="1:13" ht="15" customHeight="1" thickBot="1">
      <c r="A14" s="451"/>
      <c r="B14" s="133" t="s">
        <v>21</v>
      </c>
      <c r="C14" s="452"/>
      <c r="D14" s="471">
        <v>694</v>
      </c>
      <c r="E14" s="460"/>
      <c r="F14" s="459">
        <v>39</v>
      </c>
      <c r="G14" s="460"/>
      <c r="H14" s="164">
        <v>27</v>
      </c>
      <c r="I14" s="164">
        <v>22</v>
      </c>
      <c r="J14" s="121"/>
      <c r="K14" s="120"/>
      <c r="L14" s="122"/>
    </row>
    <row r="15" spans="1:13" s="116" customFormat="1" ht="15" customHeight="1" thickTop="1">
      <c r="A15" s="123">
        <v>1</v>
      </c>
      <c r="B15" s="124" t="s">
        <v>15</v>
      </c>
      <c r="C15" s="125"/>
      <c r="D15" s="463">
        <v>13.59844</v>
      </c>
      <c r="E15" s="464"/>
      <c r="F15" s="136"/>
      <c r="G15" s="137"/>
      <c r="H15" s="126"/>
      <c r="I15" s="126"/>
      <c r="J15" s="127"/>
      <c r="K15" s="126"/>
      <c r="L15" s="128"/>
      <c r="M15" s="115"/>
    </row>
    <row r="16" spans="1:13" s="116" customFormat="1" ht="15" customHeight="1">
      <c r="A16" s="138">
        <v>17</v>
      </c>
      <c r="B16" s="139" t="s">
        <v>24</v>
      </c>
      <c r="C16" s="140"/>
      <c r="D16" s="444">
        <v>2829</v>
      </c>
      <c r="E16" s="445"/>
      <c r="F16" s="446">
        <v>277</v>
      </c>
      <c r="G16" s="445"/>
      <c r="H16" s="141">
        <v>208</v>
      </c>
      <c r="I16" s="141">
        <v>206</v>
      </c>
      <c r="J16" s="142">
        <v>24.54</v>
      </c>
      <c r="K16" s="141">
        <v>12.97</v>
      </c>
      <c r="L16" s="143">
        <v>12.967599999999999</v>
      </c>
      <c r="M16" s="115"/>
    </row>
    <row r="17" spans="1:13" ht="15" customHeight="1">
      <c r="A17" s="447" t="s">
        <v>88</v>
      </c>
      <c r="B17" s="95" t="s">
        <v>15</v>
      </c>
      <c r="C17" s="448" t="s">
        <v>309</v>
      </c>
      <c r="D17" s="144"/>
      <c r="E17" s="135"/>
      <c r="F17" s="145"/>
      <c r="G17" s="135"/>
      <c r="H17" s="117"/>
      <c r="I17" s="117"/>
      <c r="J17" s="118"/>
      <c r="K17" s="117"/>
      <c r="L17" s="119"/>
    </row>
    <row r="18" spans="1:13" ht="15" customHeight="1" thickBot="1">
      <c r="A18" s="451"/>
      <c r="B18" s="133" t="s">
        <v>24</v>
      </c>
      <c r="C18" s="452"/>
      <c r="D18" s="472">
        <v>2830</v>
      </c>
      <c r="E18" s="473"/>
      <c r="F18" s="474">
        <v>279</v>
      </c>
      <c r="G18" s="473"/>
      <c r="H18" s="120">
        <v>217</v>
      </c>
      <c r="I18" s="120">
        <v>200</v>
      </c>
      <c r="J18" s="121">
        <v>25.7</v>
      </c>
      <c r="K18" s="164">
        <v>17</v>
      </c>
      <c r="L18" s="351">
        <v>16.5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463">
        <v>403</v>
      </c>
      <c r="E19" s="464"/>
      <c r="F19" s="465">
        <v>20.329999999999998</v>
      </c>
      <c r="G19" s="464"/>
      <c r="H19" s="126">
        <v>14.534140000000001</v>
      </c>
      <c r="I19" s="126"/>
      <c r="J19" s="127"/>
      <c r="K19" s="126"/>
      <c r="L19" s="128"/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441">
        <v>538</v>
      </c>
      <c r="E20" s="442"/>
      <c r="F20" s="446">
        <v>28.48</v>
      </c>
      <c r="G20" s="445"/>
      <c r="H20" s="149">
        <v>13.62</v>
      </c>
      <c r="I20" s="149">
        <v>13.61806</v>
      </c>
      <c r="J20" s="150"/>
      <c r="K20" s="149"/>
      <c r="L20" s="151"/>
      <c r="M20" s="115"/>
    </row>
    <row r="21" spans="1:13" ht="15" customHeight="1">
      <c r="A21" s="447" t="s">
        <v>107</v>
      </c>
      <c r="B21" s="95" t="s">
        <v>20</v>
      </c>
      <c r="C21" s="448" t="s">
        <v>310</v>
      </c>
      <c r="D21" s="152">
        <v>411.8</v>
      </c>
      <c r="E21" s="135">
        <v>410.3</v>
      </c>
      <c r="F21" s="118">
        <v>23.3</v>
      </c>
      <c r="G21" s="135">
        <v>21.7</v>
      </c>
      <c r="H21" s="117">
        <v>18.5</v>
      </c>
      <c r="I21" s="117"/>
      <c r="J21" s="118"/>
      <c r="K21" s="117"/>
      <c r="L21" s="119"/>
    </row>
    <row r="22" spans="1:13" ht="15" customHeight="1" thickBot="1">
      <c r="A22" s="451"/>
      <c r="B22" s="133" t="s">
        <v>168</v>
      </c>
      <c r="C22" s="452"/>
      <c r="D22" s="153">
        <v>544</v>
      </c>
      <c r="E22" s="134">
        <v>543.29999999999995</v>
      </c>
      <c r="F22" s="121">
        <v>43.8</v>
      </c>
      <c r="G22" s="134">
        <v>40.6</v>
      </c>
      <c r="H22" s="120">
        <v>16.7</v>
      </c>
      <c r="I22" s="120"/>
      <c r="J22" s="121"/>
      <c r="K22" s="120"/>
      <c r="L22" s="122"/>
    </row>
    <row r="23" spans="1:13" s="116" customFormat="1" ht="15" customHeight="1" thickTop="1">
      <c r="A23" s="146">
        <v>6</v>
      </c>
      <c r="B23" s="124" t="s">
        <v>19</v>
      </c>
      <c r="C23" s="125"/>
      <c r="D23" s="463">
        <v>288</v>
      </c>
      <c r="E23" s="464"/>
      <c r="F23" s="465">
        <v>16.59</v>
      </c>
      <c r="G23" s="464"/>
      <c r="H23" s="126">
        <v>11.260300000000001</v>
      </c>
      <c r="I23" s="126"/>
      <c r="J23" s="127"/>
      <c r="K23" s="126"/>
      <c r="L23" s="128"/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441">
        <v>538</v>
      </c>
      <c r="E24" s="442"/>
      <c r="F24" s="443">
        <v>28.48</v>
      </c>
      <c r="G24" s="442"/>
      <c r="H24" s="149">
        <v>13.62</v>
      </c>
      <c r="I24" s="149">
        <v>13.61806</v>
      </c>
      <c r="J24" s="150"/>
      <c r="K24" s="149"/>
      <c r="L24" s="151"/>
      <c r="M24" s="115"/>
    </row>
    <row r="25" spans="1:13" ht="15" customHeight="1">
      <c r="A25" s="447" t="s">
        <v>108</v>
      </c>
      <c r="B25" s="95" t="s">
        <v>19</v>
      </c>
      <c r="C25" s="448" t="s">
        <v>311</v>
      </c>
      <c r="D25" s="433">
        <v>295.89999999999998</v>
      </c>
      <c r="E25" s="434"/>
      <c r="F25" s="435">
        <v>20.100000000000001</v>
      </c>
      <c r="G25" s="434"/>
      <c r="H25" s="117"/>
      <c r="I25" s="117"/>
      <c r="J25" s="118"/>
      <c r="K25" s="117"/>
      <c r="L25" s="119"/>
    </row>
    <row r="26" spans="1:13" ht="15" customHeight="1" thickBot="1">
      <c r="A26" s="451"/>
      <c r="B26" s="133" t="s">
        <v>168</v>
      </c>
      <c r="C26" s="452"/>
      <c r="D26" s="453">
        <v>542.1</v>
      </c>
      <c r="E26" s="454"/>
      <c r="F26" s="459">
        <v>38.299999999999997</v>
      </c>
      <c r="G26" s="460"/>
      <c r="H26" s="164">
        <v>17</v>
      </c>
      <c r="I26" s="120"/>
      <c r="J26" s="121"/>
      <c r="K26" s="120"/>
      <c r="L26" s="122"/>
    </row>
    <row r="27" spans="1:13" s="116" customFormat="1" ht="15" customHeight="1" thickTop="1">
      <c r="A27" s="146">
        <v>1</v>
      </c>
      <c r="B27" s="124" t="s">
        <v>15</v>
      </c>
      <c r="C27" s="125"/>
      <c r="D27" s="463">
        <v>13.59844</v>
      </c>
      <c r="E27" s="464"/>
      <c r="F27" s="154"/>
      <c r="G27" s="155"/>
      <c r="H27" s="126"/>
      <c r="I27" s="126"/>
      <c r="J27" s="127"/>
      <c r="K27" s="126"/>
      <c r="L27" s="128"/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444">
        <v>538</v>
      </c>
      <c r="E28" s="445"/>
      <c r="F28" s="446">
        <v>28.48</v>
      </c>
      <c r="G28" s="445"/>
      <c r="H28" s="141">
        <v>13.62</v>
      </c>
      <c r="I28" s="141">
        <v>13.61806</v>
      </c>
      <c r="J28" s="142"/>
      <c r="K28" s="141"/>
      <c r="L28" s="143"/>
      <c r="M28" s="115"/>
    </row>
    <row r="29" spans="1:13" ht="15" customHeight="1">
      <c r="A29" s="469" t="s">
        <v>312</v>
      </c>
      <c r="B29" s="95" t="s">
        <v>15</v>
      </c>
      <c r="C29" s="448" t="s">
        <v>313</v>
      </c>
      <c r="D29" s="144"/>
      <c r="E29" s="135"/>
      <c r="F29" s="145"/>
      <c r="G29" s="135"/>
      <c r="H29" s="117"/>
      <c r="I29" s="117"/>
      <c r="J29" s="118"/>
      <c r="K29" s="117"/>
      <c r="L29" s="119"/>
    </row>
    <row r="30" spans="1:13" ht="15" customHeight="1" thickBot="1">
      <c r="A30" s="470"/>
      <c r="B30" s="133" t="s">
        <v>168</v>
      </c>
      <c r="C30" s="452"/>
      <c r="D30" s="471">
        <v>539.70000000000005</v>
      </c>
      <c r="E30" s="460"/>
      <c r="F30" s="459">
        <v>32.200000000000003</v>
      </c>
      <c r="G30" s="460"/>
      <c r="H30" s="120">
        <v>18.399999999999999</v>
      </c>
      <c r="I30" s="120"/>
      <c r="J30" s="121"/>
      <c r="K30" s="120"/>
      <c r="L30" s="122"/>
    </row>
    <row r="31" spans="1:13" s="116" customFormat="1" ht="15" customHeight="1" thickTop="1">
      <c r="A31" s="146">
        <v>1</v>
      </c>
      <c r="B31" s="147" t="s">
        <v>15</v>
      </c>
      <c r="C31" s="148"/>
      <c r="D31" s="441">
        <v>13.59844</v>
      </c>
      <c r="E31" s="442"/>
      <c r="F31" s="156"/>
      <c r="G31" s="157"/>
      <c r="H31" s="149"/>
      <c r="I31" s="149"/>
      <c r="J31" s="150"/>
      <c r="K31" s="149"/>
      <c r="L31" s="151"/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444">
        <v>2476</v>
      </c>
      <c r="E32" s="445"/>
      <c r="F32" s="446">
        <v>232</v>
      </c>
      <c r="G32" s="445"/>
      <c r="H32" s="141">
        <v>170</v>
      </c>
      <c r="I32" s="141">
        <v>168</v>
      </c>
      <c r="J32" s="142">
        <v>20.2</v>
      </c>
      <c r="K32" s="141">
        <v>10.36</v>
      </c>
      <c r="L32" s="143">
        <v>10.360010000000001</v>
      </c>
      <c r="M32" s="115"/>
    </row>
    <row r="33" spans="1:13" ht="15" customHeight="1">
      <c r="A33" s="469" t="s">
        <v>314</v>
      </c>
      <c r="B33" s="95" t="s">
        <v>15</v>
      </c>
      <c r="C33" s="448" t="s">
        <v>315</v>
      </c>
      <c r="D33" s="144"/>
      <c r="E33" s="135"/>
      <c r="F33" s="145"/>
      <c r="G33" s="135"/>
      <c r="H33" s="117"/>
      <c r="I33" s="117"/>
      <c r="J33" s="118"/>
      <c r="K33" s="117"/>
      <c r="L33" s="119"/>
    </row>
    <row r="34" spans="1:13" ht="15" customHeight="1" thickBot="1">
      <c r="A34" s="470"/>
      <c r="B34" s="87" t="s">
        <v>23</v>
      </c>
      <c r="C34" s="452"/>
      <c r="D34" s="453">
        <v>2478.5</v>
      </c>
      <c r="E34" s="454"/>
      <c r="F34" s="455">
        <v>234.5</v>
      </c>
      <c r="G34" s="454"/>
      <c r="H34" s="120">
        <v>171.5</v>
      </c>
      <c r="I34" s="120">
        <v>170.2</v>
      </c>
      <c r="J34" s="121">
        <v>22</v>
      </c>
      <c r="K34" s="120">
        <v>15.1</v>
      </c>
      <c r="L34" s="122"/>
    </row>
    <row r="35" spans="1:13" s="116" customFormat="1" ht="15" customHeight="1" thickTop="1">
      <c r="A35" s="138">
        <v>1</v>
      </c>
      <c r="B35" s="139" t="s">
        <v>15</v>
      </c>
      <c r="C35" s="140"/>
      <c r="D35" s="441">
        <v>13.59844</v>
      </c>
      <c r="E35" s="442"/>
      <c r="F35" s="446"/>
      <c r="G35" s="445"/>
      <c r="H35" s="141"/>
      <c r="I35" s="141"/>
      <c r="J35" s="142"/>
      <c r="K35" s="141"/>
      <c r="L35" s="143"/>
      <c r="M35" s="115"/>
    </row>
    <row r="36" spans="1:13" s="116" customFormat="1" ht="15" customHeight="1">
      <c r="A36" s="146">
        <v>7</v>
      </c>
      <c r="B36" s="147" t="s">
        <v>20</v>
      </c>
      <c r="C36" s="148"/>
      <c r="D36" s="441">
        <v>403</v>
      </c>
      <c r="E36" s="442"/>
      <c r="F36" s="443">
        <v>20.329999999999998</v>
      </c>
      <c r="G36" s="442"/>
      <c r="H36" s="149">
        <v>14.534140000000001</v>
      </c>
      <c r="I36" s="149"/>
      <c r="J36" s="150"/>
      <c r="K36" s="149"/>
      <c r="L36" s="151"/>
      <c r="M36" s="115"/>
    </row>
    <row r="37" spans="1:13" ht="15" customHeight="1">
      <c r="A37" s="439" t="s">
        <v>316</v>
      </c>
      <c r="B37" s="95" t="s">
        <v>15</v>
      </c>
      <c r="C37" s="448" t="s">
        <v>317</v>
      </c>
      <c r="D37" s="433"/>
      <c r="E37" s="434"/>
      <c r="F37" s="435"/>
      <c r="G37" s="434"/>
      <c r="H37" s="117"/>
      <c r="I37" s="117"/>
      <c r="J37" s="118"/>
      <c r="K37" s="117"/>
      <c r="L37" s="119"/>
    </row>
    <row r="38" spans="1:13" ht="15" customHeight="1" thickBot="1">
      <c r="A38" s="451"/>
      <c r="B38" s="87" t="s">
        <v>20</v>
      </c>
      <c r="C38" s="452"/>
      <c r="D38" s="453">
        <v>405.58</v>
      </c>
      <c r="E38" s="454"/>
      <c r="F38" s="455">
        <v>27</v>
      </c>
      <c r="G38" s="454"/>
      <c r="H38" s="120"/>
      <c r="I38" s="120"/>
      <c r="J38" s="121"/>
      <c r="K38" s="120"/>
      <c r="L38" s="122"/>
    </row>
    <row r="39" spans="1:13" s="116" customFormat="1" ht="15" customHeight="1" thickTop="1">
      <c r="A39" s="138">
        <v>8</v>
      </c>
      <c r="B39" s="139" t="s">
        <v>168</v>
      </c>
      <c r="C39" s="140"/>
      <c r="D39" s="441">
        <v>538</v>
      </c>
      <c r="E39" s="442"/>
      <c r="F39" s="443">
        <v>28.48</v>
      </c>
      <c r="G39" s="442"/>
      <c r="H39" s="149">
        <v>13.62</v>
      </c>
      <c r="I39" s="149">
        <v>13.61806</v>
      </c>
      <c r="J39" s="150"/>
      <c r="K39" s="149"/>
      <c r="L39" s="151"/>
      <c r="M39" s="115"/>
    </row>
    <row r="40" spans="1:13" s="116" customFormat="1" ht="15" customHeight="1">
      <c r="A40" s="138">
        <v>16</v>
      </c>
      <c r="B40" s="139" t="s">
        <v>23</v>
      </c>
      <c r="C40" s="140"/>
      <c r="D40" s="444">
        <v>2476</v>
      </c>
      <c r="E40" s="445"/>
      <c r="F40" s="446">
        <v>232</v>
      </c>
      <c r="G40" s="445"/>
      <c r="H40" s="141">
        <v>170</v>
      </c>
      <c r="I40" s="141">
        <v>168</v>
      </c>
      <c r="J40" s="142">
        <v>20.2</v>
      </c>
      <c r="K40" s="141">
        <v>10.36</v>
      </c>
      <c r="L40" s="143">
        <v>10.360010000000001</v>
      </c>
      <c r="M40" s="115"/>
    </row>
    <row r="41" spans="1:13" ht="15" customHeight="1">
      <c r="A41" s="439" t="s">
        <v>318</v>
      </c>
      <c r="B41" s="95" t="s">
        <v>168</v>
      </c>
      <c r="C41" s="448" t="s">
        <v>319</v>
      </c>
      <c r="D41" s="433">
        <v>539.6</v>
      </c>
      <c r="E41" s="434"/>
      <c r="F41" s="435">
        <v>16.3</v>
      </c>
      <c r="G41" s="434"/>
      <c r="H41" s="117">
        <v>13.3</v>
      </c>
      <c r="I41" s="117"/>
      <c r="J41" s="118"/>
      <c r="K41" s="117"/>
      <c r="L41" s="119"/>
    </row>
    <row r="42" spans="1:13" ht="15" customHeight="1" thickBot="1">
      <c r="A42" s="451"/>
      <c r="B42" s="87" t="s">
        <v>23</v>
      </c>
      <c r="C42" s="452"/>
      <c r="D42" s="466">
        <v>2480</v>
      </c>
      <c r="E42" s="467"/>
      <c r="F42" s="468">
        <v>236</v>
      </c>
      <c r="G42" s="467"/>
      <c r="H42" s="164">
        <v>180</v>
      </c>
      <c r="I42" s="120">
        <v>174.8</v>
      </c>
      <c r="J42" s="121">
        <v>16</v>
      </c>
      <c r="K42" s="120"/>
      <c r="L42" s="122"/>
    </row>
    <row r="43" spans="1:13" s="116" customFormat="1" ht="15" customHeight="1" thickTop="1">
      <c r="A43" s="146">
        <v>6</v>
      </c>
      <c r="B43" s="147" t="s">
        <v>19</v>
      </c>
      <c r="C43" s="148"/>
      <c r="D43" s="441">
        <v>288</v>
      </c>
      <c r="E43" s="442"/>
      <c r="F43" s="443">
        <v>16.59</v>
      </c>
      <c r="G43" s="442"/>
      <c r="H43" s="149">
        <v>11.260300000000001</v>
      </c>
      <c r="I43" s="149"/>
      <c r="J43" s="150"/>
      <c r="K43" s="149"/>
      <c r="L43" s="151"/>
      <c r="M43" s="115"/>
    </row>
    <row r="44" spans="1:13" s="116" customFormat="1" ht="15" customHeight="1">
      <c r="A44" s="138">
        <v>8</v>
      </c>
      <c r="B44" s="139" t="s">
        <v>168</v>
      </c>
      <c r="C44" s="140"/>
      <c r="D44" s="444">
        <v>538</v>
      </c>
      <c r="E44" s="445"/>
      <c r="F44" s="446">
        <v>28.48</v>
      </c>
      <c r="G44" s="445"/>
      <c r="H44" s="141">
        <v>13.62</v>
      </c>
      <c r="I44" s="141">
        <v>13.61806</v>
      </c>
      <c r="J44" s="142"/>
      <c r="K44" s="141"/>
      <c r="L44" s="143"/>
      <c r="M44" s="115"/>
    </row>
    <row r="45" spans="1:13" s="159" customFormat="1" ht="15" customHeight="1">
      <c r="A45" s="439" t="s">
        <v>320</v>
      </c>
      <c r="B45" s="95" t="s">
        <v>19</v>
      </c>
      <c r="C45" s="448" t="s">
        <v>321</v>
      </c>
      <c r="D45" s="433">
        <v>297.5</v>
      </c>
      <c r="E45" s="434"/>
      <c r="F45" s="435"/>
      <c r="G45" s="434"/>
      <c r="H45" s="117"/>
      <c r="I45" s="117"/>
      <c r="J45" s="142"/>
      <c r="K45" s="117"/>
      <c r="L45" s="119"/>
      <c r="M45" s="158"/>
    </row>
    <row r="46" spans="1:13" s="159" customFormat="1" ht="15" customHeight="1" thickBot="1">
      <c r="A46" s="451"/>
      <c r="B46" s="87" t="s">
        <v>168</v>
      </c>
      <c r="C46" s="452"/>
      <c r="D46" s="453">
        <v>540.79999999999995</v>
      </c>
      <c r="E46" s="454"/>
      <c r="F46" s="455">
        <v>19.5</v>
      </c>
      <c r="G46" s="454"/>
      <c r="H46" s="120">
        <v>18.100000000000001</v>
      </c>
      <c r="I46" s="120"/>
      <c r="J46" s="160"/>
      <c r="K46" s="120"/>
      <c r="L46" s="122"/>
      <c r="M46" s="158"/>
    </row>
    <row r="47" spans="1:13" s="116" customFormat="1" ht="15" customHeight="1" thickTop="1">
      <c r="A47" s="123">
        <v>7</v>
      </c>
      <c r="B47" s="124" t="s">
        <v>20</v>
      </c>
      <c r="C47" s="125"/>
      <c r="D47" s="463">
        <v>403</v>
      </c>
      <c r="E47" s="464"/>
      <c r="F47" s="465">
        <v>20.329999999999998</v>
      </c>
      <c r="G47" s="464"/>
      <c r="H47" s="126">
        <v>14.534140000000001</v>
      </c>
      <c r="I47" s="126"/>
      <c r="J47" s="127"/>
      <c r="K47" s="126"/>
      <c r="L47" s="128"/>
      <c r="M47" s="115"/>
    </row>
    <row r="48" spans="1:13" s="116" customFormat="1" ht="15" customHeight="1">
      <c r="A48" s="146">
        <v>7</v>
      </c>
      <c r="B48" s="147" t="s">
        <v>20</v>
      </c>
      <c r="C48" s="148"/>
      <c r="D48" s="441">
        <v>403</v>
      </c>
      <c r="E48" s="442"/>
      <c r="F48" s="443">
        <v>20.329999999999998</v>
      </c>
      <c r="G48" s="442"/>
      <c r="H48" s="149">
        <v>14.534140000000001</v>
      </c>
      <c r="I48" s="149"/>
      <c r="J48" s="150"/>
      <c r="K48" s="149"/>
      <c r="L48" s="151"/>
      <c r="M48" s="115"/>
    </row>
    <row r="49" spans="1:13" s="116" customFormat="1" ht="15" customHeight="1">
      <c r="A49" s="138">
        <v>8</v>
      </c>
      <c r="B49" s="139" t="s">
        <v>168</v>
      </c>
      <c r="C49" s="140"/>
      <c r="D49" s="444">
        <v>538</v>
      </c>
      <c r="E49" s="445"/>
      <c r="F49" s="446">
        <v>28.48</v>
      </c>
      <c r="G49" s="445"/>
      <c r="H49" s="141">
        <v>13.62</v>
      </c>
      <c r="I49" s="141">
        <v>13.61806</v>
      </c>
      <c r="J49" s="142"/>
      <c r="K49" s="141"/>
      <c r="L49" s="143"/>
      <c r="M49" s="115"/>
    </row>
    <row r="50" spans="1:13">
      <c r="A50" s="439" t="s">
        <v>322</v>
      </c>
      <c r="B50" s="95" t="s">
        <v>20</v>
      </c>
      <c r="C50" s="448" t="s">
        <v>323</v>
      </c>
      <c r="D50" s="433">
        <v>408.7</v>
      </c>
      <c r="E50" s="434"/>
      <c r="F50" s="461">
        <v>27</v>
      </c>
      <c r="G50" s="462"/>
      <c r="H50" s="117"/>
      <c r="I50" s="117"/>
      <c r="J50" s="118"/>
      <c r="K50" s="117"/>
      <c r="L50" s="119"/>
    </row>
    <row r="51" spans="1:13">
      <c r="A51" s="447"/>
      <c r="B51" s="161" t="s">
        <v>20</v>
      </c>
      <c r="C51" s="449"/>
      <c r="D51" s="433">
        <v>412.7</v>
      </c>
      <c r="E51" s="434"/>
      <c r="F51" s="435"/>
      <c r="G51" s="434"/>
      <c r="H51" s="130"/>
      <c r="I51" s="130"/>
      <c r="J51" s="131"/>
      <c r="K51" s="130"/>
      <c r="L51" s="132"/>
    </row>
    <row r="52" spans="1:13" ht="15.75" thickBot="1">
      <c r="A52" s="451"/>
      <c r="B52" s="87" t="s">
        <v>168</v>
      </c>
      <c r="C52" s="452"/>
      <c r="D52" s="453">
        <v>538</v>
      </c>
      <c r="E52" s="454"/>
      <c r="F52" s="455">
        <v>39</v>
      </c>
      <c r="G52" s="454"/>
      <c r="H52" s="120">
        <v>35.5</v>
      </c>
      <c r="I52" s="120">
        <v>28</v>
      </c>
      <c r="J52" s="121"/>
      <c r="K52" s="120"/>
      <c r="L52" s="122"/>
    </row>
    <row r="53" spans="1:13" s="116" customFormat="1" ht="15" customHeight="1" thickTop="1">
      <c r="A53" s="146">
        <v>1</v>
      </c>
      <c r="B53" s="147" t="s">
        <v>15</v>
      </c>
      <c r="C53" s="148"/>
      <c r="D53" s="441">
        <v>13.59844</v>
      </c>
      <c r="E53" s="442"/>
      <c r="F53" s="443"/>
      <c r="G53" s="442"/>
      <c r="H53" s="149"/>
      <c r="I53" s="149"/>
      <c r="J53" s="150"/>
      <c r="K53" s="149"/>
      <c r="L53" s="151"/>
      <c r="M53" s="115"/>
    </row>
    <row r="54" spans="1:13" s="116" customFormat="1" ht="15" customHeight="1">
      <c r="A54" s="146">
        <v>6</v>
      </c>
      <c r="B54" s="147" t="s">
        <v>19</v>
      </c>
      <c r="C54" s="148"/>
      <c r="D54" s="441">
        <v>288</v>
      </c>
      <c r="E54" s="442"/>
      <c r="F54" s="443">
        <v>16.59</v>
      </c>
      <c r="G54" s="442"/>
      <c r="H54" s="149">
        <v>11.260300000000001</v>
      </c>
      <c r="I54" s="149"/>
      <c r="J54" s="150"/>
      <c r="K54" s="149"/>
      <c r="L54" s="151"/>
      <c r="M54" s="115"/>
    </row>
    <row r="55" spans="1:13" ht="15" customHeight="1">
      <c r="A55" s="439" t="s">
        <v>324</v>
      </c>
      <c r="B55" s="95" t="s">
        <v>15</v>
      </c>
      <c r="C55" s="448" t="s">
        <v>325</v>
      </c>
      <c r="D55" s="433"/>
      <c r="E55" s="434"/>
      <c r="F55" s="435"/>
      <c r="G55" s="434"/>
      <c r="H55" s="117"/>
      <c r="I55" s="117"/>
      <c r="J55" s="118"/>
      <c r="K55" s="117"/>
      <c r="L55" s="119"/>
    </row>
    <row r="56" spans="1:13" ht="15" customHeight="1" thickBot="1">
      <c r="A56" s="451"/>
      <c r="B56" s="87" t="s">
        <v>19</v>
      </c>
      <c r="C56" s="452"/>
      <c r="D56" s="453">
        <v>290.91000000000003</v>
      </c>
      <c r="E56" s="454"/>
      <c r="F56" s="455"/>
      <c r="G56" s="454"/>
      <c r="H56" s="120"/>
      <c r="I56" s="120"/>
      <c r="J56" s="121"/>
      <c r="K56" s="120"/>
      <c r="L56" s="122"/>
    </row>
    <row r="57" spans="1:13" s="116" customFormat="1" ht="15" customHeight="1" thickTop="1">
      <c r="A57" s="138">
        <v>1</v>
      </c>
      <c r="B57" s="139" t="s">
        <v>15</v>
      </c>
      <c r="C57" s="140"/>
      <c r="D57" s="441">
        <v>13.59844</v>
      </c>
      <c r="E57" s="442"/>
      <c r="F57" s="446"/>
      <c r="G57" s="445"/>
      <c r="H57" s="141"/>
      <c r="I57" s="141"/>
      <c r="J57" s="142"/>
      <c r="K57" s="141"/>
      <c r="L57" s="143"/>
      <c r="M57" s="115"/>
    </row>
    <row r="58" spans="1:13" s="116" customFormat="1" ht="15" customHeight="1">
      <c r="A58" s="138">
        <v>14</v>
      </c>
      <c r="B58" s="139" t="s">
        <v>172</v>
      </c>
      <c r="C58" s="140"/>
      <c r="D58" s="444">
        <v>1844</v>
      </c>
      <c r="E58" s="445"/>
      <c r="F58" s="446">
        <v>154</v>
      </c>
      <c r="G58" s="445"/>
      <c r="H58" s="141">
        <v>104</v>
      </c>
      <c r="I58" s="141">
        <v>104</v>
      </c>
      <c r="J58" s="142">
        <v>13.46</v>
      </c>
      <c r="K58" s="141">
        <v>8.1516900000000003</v>
      </c>
      <c r="L58" s="143"/>
      <c r="M58" s="115"/>
    </row>
    <row r="59" spans="1:13" ht="15" customHeight="1">
      <c r="A59" s="439" t="s">
        <v>326</v>
      </c>
      <c r="B59" s="95" t="s">
        <v>15</v>
      </c>
      <c r="C59" s="448" t="s">
        <v>327</v>
      </c>
      <c r="D59" s="433"/>
      <c r="E59" s="434"/>
      <c r="F59" s="435"/>
      <c r="G59" s="434"/>
      <c r="H59" s="117"/>
      <c r="I59" s="117"/>
      <c r="J59" s="118"/>
      <c r="K59" s="117"/>
      <c r="L59" s="119"/>
    </row>
    <row r="60" spans="1:13" ht="15" customHeight="1" thickBot="1">
      <c r="A60" s="451"/>
      <c r="B60" s="87" t="s">
        <v>172</v>
      </c>
      <c r="C60" s="452"/>
      <c r="D60" s="453" t="s">
        <v>133</v>
      </c>
      <c r="E60" s="454"/>
      <c r="F60" s="455">
        <v>148</v>
      </c>
      <c r="G60" s="454"/>
      <c r="H60" s="120">
        <v>98</v>
      </c>
      <c r="I60" s="120">
        <v>98</v>
      </c>
      <c r="J60" s="121"/>
      <c r="K60" s="120"/>
      <c r="L60" s="122"/>
    </row>
    <row r="61" spans="1:13" s="116" customFormat="1" ht="15" customHeight="1" thickTop="1">
      <c r="A61" s="146">
        <v>6</v>
      </c>
      <c r="B61" s="147" t="s">
        <v>19</v>
      </c>
      <c r="C61" s="148"/>
      <c r="D61" s="441">
        <v>288</v>
      </c>
      <c r="E61" s="442"/>
      <c r="F61" s="443">
        <v>16.59</v>
      </c>
      <c r="G61" s="442"/>
      <c r="H61" s="149">
        <v>11.260300000000001</v>
      </c>
      <c r="I61" s="149"/>
      <c r="J61" s="150"/>
      <c r="K61" s="149"/>
      <c r="L61" s="151"/>
      <c r="M61" s="115"/>
    </row>
    <row r="62" spans="1:13" s="116" customFormat="1" ht="15" customHeight="1">
      <c r="A62" s="138">
        <v>9</v>
      </c>
      <c r="B62" s="139" t="s">
        <v>21</v>
      </c>
      <c r="C62" s="140"/>
      <c r="D62" s="444">
        <v>694</v>
      </c>
      <c r="E62" s="445"/>
      <c r="F62" s="446">
        <v>37.85</v>
      </c>
      <c r="G62" s="445"/>
      <c r="H62" s="141">
        <v>17.420000000000002</v>
      </c>
      <c r="I62" s="141">
        <v>17.422820000000002</v>
      </c>
      <c r="J62" s="142"/>
      <c r="K62" s="141"/>
      <c r="L62" s="143"/>
      <c r="M62" s="115"/>
    </row>
    <row r="63" spans="1:13" ht="15" customHeight="1">
      <c r="A63" s="439" t="s">
        <v>328</v>
      </c>
      <c r="B63" s="95" t="s">
        <v>19</v>
      </c>
      <c r="C63" s="448" t="s">
        <v>329</v>
      </c>
      <c r="D63" s="433">
        <v>301.8</v>
      </c>
      <c r="E63" s="434"/>
      <c r="F63" s="435"/>
      <c r="G63" s="434"/>
      <c r="H63" s="117"/>
      <c r="I63" s="117"/>
      <c r="J63" s="118"/>
      <c r="K63" s="117"/>
      <c r="L63" s="119"/>
    </row>
    <row r="64" spans="1:13" ht="15" customHeight="1" thickBot="1">
      <c r="A64" s="451"/>
      <c r="B64" s="87" t="s">
        <v>21</v>
      </c>
      <c r="C64" s="452"/>
      <c r="D64" s="453">
        <v>695.2</v>
      </c>
      <c r="E64" s="454"/>
      <c r="F64" s="162">
        <v>43.8</v>
      </c>
      <c r="G64" s="163">
        <v>40.299999999999997</v>
      </c>
      <c r="H64" s="164"/>
      <c r="I64" s="164"/>
      <c r="J64" s="121"/>
      <c r="K64" s="120"/>
      <c r="L64" s="122"/>
    </row>
    <row r="65" spans="1:13" s="116" customFormat="1" ht="15" customHeight="1" thickTop="1">
      <c r="A65" s="138">
        <v>9</v>
      </c>
      <c r="B65" s="139" t="s">
        <v>21</v>
      </c>
      <c r="C65" s="140"/>
      <c r="D65" s="444">
        <v>694</v>
      </c>
      <c r="E65" s="445"/>
      <c r="F65" s="446">
        <v>37.85</v>
      </c>
      <c r="G65" s="445"/>
      <c r="H65" s="141">
        <v>17.420000000000002</v>
      </c>
      <c r="I65" s="141">
        <v>17.422820000000002</v>
      </c>
      <c r="J65" s="142"/>
      <c r="K65" s="141"/>
      <c r="L65" s="143"/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444">
        <v>2476</v>
      </c>
      <c r="E66" s="445"/>
      <c r="F66" s="446">
        <v>232</v>
      </c>
      <c r="G66" s="445"/>
      <c r="H66" s="141">
        <v>170</v>
      </c>
      <c r="I66" s="141">
        <v>168</v>
      </c>
      <c r="J66" s="142">
        <v>20.2</v>
      </c>
      <c r="K66" s="141">
        <v>10.36</v>
      </c>
      <c r="L66" s="143">
        <v>10.360010000000001</v>
      </c>
      <c r="M66" s="115"/>
    </row>
    <row r="67" spans="1:13" ht="15" customHeight="1">
      <c r="A67" s="439" t="s">
        <v>330</v>
      </c>
      <c r="B67" s="95" t="s">
        <v>21</v>
      </c>
      <c r="C67" s="448" t="s">
        <v>331</v>
      </c>
      <c r="D67" s="433">
        <v>694.6</v>
      </c>
      <c r="E67" s="434"/>
      <c r="F67" s="118">
        <v>44.2</v>
      </c>
      <c r="G67" s="135">
        <v>41.2</v>
      </c>
      <c r="H67" s="165"/>
      <c r="I67" s="165"/>
      <c r="J67" s="118"/>
      <c r="K67" s="117"/>
      <c r="L67" s="119"/>
    </row>
    <row r="68" spans="1:13" ht="15" customHeight="1" thickBot="1">
      <c r="A68" s="451"/>
      <c r="B68" s="87" t="s">
        <v>23</v>
      </c>
      <c r="C68" s="452"/>
      <c r="D68" s="453" t="s">
        <v>133</v>
      </c>
      <c r="E68" s="454"/>
      <c r="F68" s="459">
        <v>244.7</v>
      </c>
      <c r="G68" s="460"/>
      <c r="H68" s="120">
        <v>181.7</v>
      </c>
      <c r="I68" s="120">
        <v>180.4</v>
      </c>
      <c r="J68" s="121"/>
      <c r="K68" s="120"/>
      <c r="L68" s="122"/>
    </row>
    <row r="69" spans="1:13" s="116" customFormat="1" ht="15" customHeight="1" thickTop="1">
      <c r="A69" s="138">
        <v>1</v>
      </c>
      <c r="B69" s="139" t="s">
        <v>15</v>
      </c>
      <c r="C69" s="140"/>
      <c r="D69" s="441">
        <v>13.59844</v>
      </c>
      <c r="E69" s="442"/>
      <c r="F69" s="446"/>
      <c r="G69" s="445"/>
      <c r="H69" s="141"/>
      <c r="I69" s="141"/>
      <c r="J69" s="142"/>
      <c r="K69" s="141"/>
      <c r="L69" s="143"/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444">
        <v>2148</v>
      </c>
      <c r="E70" s="445"/>
      <c r="F70" s="446">
        <v>191</v>
      </c>
      <c r="G70" s="445"/>
      <c r="H70" s="141">
        <v>135</v>
      </c>
      <c r="I70" s="141">
        <v>134</v>
      </c>
      <c r="J70" s="142">
        <v>16.510000000000002</v>
      </c>
      <c r="K70" s="141">
        <v>10.486689999999999</v>
      </c>
      <c r="L70" s="143"/>
      <c r="M70" s="115"/>
    </row>
    <row r="71" spans="1:13" ht="15" customHeight="1">
      <c r="A71" s="439" t="s">
        <v>332</v>
      </c>
      <c r="B71" s="95" t="s">
        <v>15</v>
      </c>
      <c r="C71" s="448" t="s">
        <v>333</v>
      </c>
      <c r="D71" s="433"/>
      <c r="E71" s="434"/>
      <c r="F71" s="435"/>
      <c r="G71" s="434"/>
      <c r="H71" s="117"/>
      <c r="I71" s="117"/>
      <c r="J71" s="118"/>
      <c r="K71" s="117"/>
      <c r="L71" s="119"/>
    </row>
    <row r="72" spans="1:13" ht="15" customHeight="1" thickBot="1">
      <c r="A72" s="451"/>
      <c r="B72" s="87" t="s">
        <v>173</v>
      </c>
      <c r="C72" s="452"/>
      <c r="D72" s="453" t="s">
        <v>133</v>
      </c>
      <c r="E72" s="454"/>
      <c r="F72" s="455">
        <v>188</v>
      </c>
      <c r="G72" s="454"/>
      <c r="H72" s="120">
        <v>134</v>
      </c>
      <c r="I72" s="120">
        <v>134</v>
      </c>
      <c r="J72" s="121">
        <v>19</v>
      </c>
      <c r="K72" s="120"/>
      <c r="L72" s="122"/>
    </row>
    <row r="73" spans="1:13" s="116" customFormat="1" ht="15" customHeight="1" thickTop="1">
      <c r="A73" s="146">
        <v>1</v>
      </c>
      <c r="B73" s="147" t="s">
        <v>15</v>
      </c>
      <c r="C73" s="148"/>
      <c r="D73" s="441">
        <v>13.59844</v>
      </c>
      <c r="E73" s="442"/>
      <c r="F73" s="156"/>
      <c r="G73" s="157"/>
      <c r="H73" s="149"/>
      <c r="I73" s="149"/>
      <c r="J73" s="150"/>
      <c r="K73" s="149"/>
      <c r="L73" s="151"/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441">
        <v>288</v>
      </c>
      <c r="E74" s="442"/>
      <c r="F74" s="443">
        <v>16.59</v>
      </c>
      <c r="G74" s="442"/>
      <c r="H74" s="149">
        <v>11.260300000000001</v>
      </c>
      <c r="I74" s="149"/>
      <c r="J74" s="150"/>
      <c r="K74" s="149"/>
      <c r="L74" s="151"/>
      <c r="M74" s="115"/>
    </row>
    <row r="75" spans="1:13" ht="15" customHeight="1">
      <c r="A75" s="439" t="s">
        <v>334</v>
      </c>
      <c r="B75" s="95" t="s">
        <v>15</v>
      </c>
      <c r="C75" s="448" t="s">
        <v>335</v>
      </c>
      <c r="D75" s="433"/>
      <c r="E75" s="434"/>
      <c r="F75" s="435"/>
      <c r="G75" s="434"/>
      <c r="H75" s="117"/>
      <c r="I75" s="117"/>
      <c r="J75" s="118"/>
      <c r="K75" s="117"/>
      <c r="L75" s="119"/>
    </row>
    <row r="76" spans="1:13" ht="15" customHeight="1" thickBot="1">
      <c r="A76" s="451"/>
      <c r="B76" s="133" t="s">
        <v>19</v>
      </c>
      <c r="C76" s="452"/>
      <c r="D76" s="453" t="s">
        <v>133</v>
      </c>
      <c r="E76" s="454"/>
      <c r="F76" s="455" t="s">
        <v>133</v>
      </c>
      <c r="G76" s="454"/>
      <c r="H76" s="120"/>
      <c r="I76" s="120"/>
      <c r="J76" s="121"/>
      <c r="K76" s="120"/>
      <c r="L76" s="122"/>
    </row>
    <row r="77" spans="1:13" s="116" customFormat="1" ht="15" customHeight="1" thickTop="1">
      <c r="A77" s="146">
        <v>1</v>
      </c>
      <c r="B77" s="147" t="s">
        <v>15</v>
      </c>
      <c r="C77" s="148"/>
      <c r="D77" s="441">
        <v>13.59844</v>
      </c>
      <c r="E77" s="442"/>
      <c r="F77" s="156"/>
      <c r="G77" s="157"/>
      <c r="H77" s="149"/>
      <c r="I77" s="149"/>
      <c r="J77" s="150"/>
      <c r="K77" s="149"/>
      <c r="L77" s="151"/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441">
        <v>288</v>
      </c>
      <c r="E78" s="442"/>
      <c r="F78" s="443">
        <v>16.59</v>
      </c>
      <c r="G78" s="442"/>
      <c r="H78" s="149">
        <v>11.260300000000001</v>
      </c>
      <c r="I78" s="149"/>
      <c r="J78" s="150"/>
      <c r="K78" s="149"/>
      <c r="L78" s="151"/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444">
        <v>694</v>
      </c>
      <c r="E79" s="445"/>
      <c r="F79" s="446">
        <v>37.85</v>
      </c>
      <c r="G79" s="445"/>
      <c r="H79" s="141">
        <v>17.420000000000002</v>
      </c>
      <c r="I79" s="141">
        <v>17.422820000000002</v>
      </c>
      <c r="J79" s="142"/>
      <c r="K79" s="141"/>
      <c r="L79" s="143"/>
      <c r="M79" s="115"/>
    </row>
    <row r="80" spans="1:13">
      <c r="A80" s="439" t="s">
        <v>336</v>
      </c>
      <c r="B80" s="95" t="s">
        <v>15</v>
      </c>
      <c r="C80" s="448" t="s">
        <v>337</v>
      </c>
      <c r="D80" s="433"/>
      <c r="E80" s="434"/>
      <c r="F80" s="435"/>
      <c r="G80" s="434"/>
      <c r="H80" s="117"/>
      <c r="I80" s="117"/>
      <c r="J80" s="118"/>
      <c r="K80" s="117"/>
      <c r="L80" s="119"/>
    </row>
    <row r="81" spans="1:13">
      <c r="A81" s="447"/>
      <c r="B81" s="161" t="s">
        <v>19</v>
      </c>
      <c r="C81" s="449"/>
      <c r="D81" s="433">
        <v>293.60000000000002</v>
      </c>
      <c r="E81" s="434"/>
      <c r="F81" s="435"/>
      <c r="G81" s="434"/>
      <c r="H81" s="130"/>
      <c r="I81" s="130"/>
      <c r="J81" s="131"/>
      <c r="K81" s="130"/>
      <c r="L81" s="132"/>
    </row>
    <row r="82" spans="1:13" ht="15.75" thickBot="1">
      <c r="A82" s="430"/>
      <c r="B82" s="166" t="s">
        <v>21</v>
      </c>
      <c r="C82" s="450"/>
      <c r="D82" s="456">
        <v>692.4</v>
      </c>
      <c r="E82" s="457"/>
      <c r="F82" s="458">
        <v>43.6</v>
      </c>
      <c r="G82" s="457"/>
      <c r="H82" s="167" t="s">
        <v>133</v>
      </c>
      <c r="I82" s="167" t="s">
        <v>133</v>
      </c>
      <c r="J82" s="168"/>
      <c r="K82" s="167"/>
      <c r="L82" s="169"/>
    </row>
    <row r="83" spans="1:13" s="116" customFormat="1" ht="15" hidden="1" customHeight="1" thickTop="1">
      <c r="A83" s="146">
        <v>1</v>
      </c>
      <c r="B83" s="147" t="s">
        <v>15</v>
      </c>
      <c r="C83" s="148"/>
      <c r="D83" s="441">
        <v>13.59844</v>
      </c>
      <c r="E83" s="442"/>
      <c r="F83" s="156"/>
      <c r="G83" s="157"/>
      <c r="H83" s="170"/>
      <c r="I83" s="149"/>
      <c r="J83" s="150"/>
      <c r="K83" s="149"/>
      <c r="L83" s="151"/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444">
        <v>192</v>
      </c>
      <c r="E84" s="445"/>
      <c r="F84" s="446">
        <v>12.93</v>
      </c>
      <c r="G84" s="445"/>
      <c r="H84" s="141">
        <v>8.2980300000000007</v>
      </c>
      <c r="I84" s="141"/>
      <c r="J84" s="142"/>
      <c r="K84" s="141"/>
      <c r="L84" s="143"/>
      <c r="M84" s="115"/>
    </row>
    <row r="85" spans="1:13" ht="15" hidden="1" customHeight="1">
      <c r="A85" s="439" t="s">
        <v>338</v>
      </c>
      <c r="B85" s="95" t="s">
        <v>15</v>
      </c>
      <c r="C85" s="440" t="s">
        <v>339</v>
      </c>
      <c r="D85" s="144"/>
      <c r="E85" s="135"/>
      <c r="F85" s="145"/>
      <c r="G85" s="135"/>
      <c r="H85" s="117"/>
      <c r="I85" s="117"/>
      <c r="J85" s="118"/>
      <c r="K85" s="117"/>
      <c r="L85" s="119"/>
    </row>
    <row r="86" spans="1:13" ht="15" hidden="1" customHeight="1" thickBot="1">
      <c r="A86" s="430"/>
      <c r="B86" s="171" t="s">
        <v>18</v>
      </c>
      <c r="C86" s="432"/>
      <c r="D86" s="436">
        <v>187</v>
      </c>
      <c r="E86" s="437"/>
      <c r="F86" s="438"/>
      <c r="G86" s="437"/>
      <c r="H86" s="167"/>
      <c r="I86" s="167"/>
      <c r="J86" s="168"/>
      <c r="K86" s="167"/>
      <c r="L86" s="169"/>
    </row>
    <row r="87" spans="1:13" s="116" customFormat="1" ht="15" hidden="1" customHeight="1" thickTop="1">
      <c r="A87" s="146">
        <v>9</v>
      </c>
      <c r="B87" s="147" t="s">
        <v>21</v>
      </c>
      <c r="C87" s="148"/>
      <c r="D87" s="441">
        <v>694</v>
      </c>
      <c r="E87" s="442"/>
      <c r="F87" s="443">
        <v>37.85</v>
      </c>
      <c r="G87" s="442"/>
      <c r="H87" s="149">
        <v>17.420000000000002</v>
      </c>
      <c r="I87" s="149">
        <v>17.422820000000002</v>
      </c>
      <c r="J87" s="150"/>
      <c r="K87" s="149"/>
      <c r="L87" s="151"/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444">
        <v>2476</v>
      </c>
      <c r="E88" s="445"/>
      <c r="F88" s="446">
        <v>232</v>
      </c>
      <c r="G88" s="445"/>
      <c r="H88" s="141">
        <v>170</v>
      </c>
      <c r="I88" s="141">
        <v>168</v>
      </c>
      <c r="J88" s="142">
        <v>20.2</v>
      </c>
      <c r="K88" s="141">
        <v>10.36</v>
      </c>
      <c r="L88" s="143">
        <v>10.360010000000001</v>
      </c>
      <c r="M88" s="115"/>
    </row>
    <row r="89" spans="1:13" ht="15" hidden="1" customHeight="1">
      <c r="A89" s="429" t="s">
        <v>340</v>
      </c>
      <c r="B89" s="95" t="s">
        <v>21</v>
      </c>
      <c r="C89" s="431" t="s">
        <v>341</v>
      </c>
      <c r="D89" s="433">
        <v>695</v>
      </c>
      <c r="E89" s="434"/>
      <c r="F89" s="435">
        <v>40</v>
      </c>
      <c r="G89" s="434"/>
      <c r="H89" s="117">
        <v>22</v>
      </c>
      <c r="I89" s="117">
        <v>20</v>
      </c>
      <c r="J89" s="118"/>
      <c r="K89" s="117"/>
      <c r="L89" s="119"/>
    </row>
    <row r="90" spans="1:13" ht="15" hidden="1" customHeight="1" thickBot="1">
      <c r="A90" s="430"/>
      <c r="B90" s="171" t="s">
        <v>23</v>
      </c>
      <c r="C90" s="432"/>
      <c r="D90" s="436">
        <v>2480</v>
      </c>
      <c r="E90" s="437"/>
      <c r="F90" s="438">
        <v>235</v>
      </c>
      <c r="G90" s="437"/>
      <c r="H90" s="167">
        <v>172</v>
      </c>
      <c r="I90" s="167">
        <v>170</v>
      </c>
      <c r="J90" s="168"/>
      <c r="K90" s="167"/>
      <c r="L90" s="169"/>
    </row>
  </sheetData>
  <mergeCells count="198"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workbookViewId="0">
      <selection activeCell="I14" sqref="I14"/>
    </sheetView>
  </sheetViews>
  <sheetFormatPr defaultRowHeight="15"/>
  <cols>
    <col min="1" max="1" width="7" style="104" customWidth="1"/>
    <col min="2" max="2" width="6.85546875" style="104" customWidth="1"/>
    <col min="3" max="3" width="20.28515625" style="104" customWidth="1"/>
    <col min="4" max="7" width="6.42578125" style="229" customWidth="1"/>
    <col min="8" max="12" width="12.85546875" style="229" customWidth="1"/>
    <col min="13" max="13" width="9.140625" style="108"/>
    <col min="14" max="16384" width="9.140625" style="76"/>
  </cols>
  <sheetData>
    <row r="1" spans="1:15" ht="15" customHeight="1" thickBot="1">
      <c r="A1" s="477" t="s">
        <v>300</v>
      </c>
      <c r="B1" s="478"/>
      <c r="C1" s="106" t="s">
        <v>301</v>
      </c>
      <c r="D1" s="518" t="s">
        <v>138</v>
      </c>
      <c r="E1" s="519"/>
      <c r="F1" s="520" t="s">
        <v>139</v>
      </c>
      <c r="G1" s="519"/>
      <c r="H1" s="172" t="s">
        <v>140</v>
      </c>
      <c r="I1" s="172" t="s">
        <v>141</v>
      </c>
      <c r="J1" s="173" t="s">
        <v>142</v>
      </c>
      <c r="K1" s="172" t="s">
        <v>143</v>
      </c>
      <c r="L1" s="174" t="s">
        <v>144</v>
      </c>
    </row>
    <row r="2" spans="1:15" s="116" customFormat="1" ht="15" customHeight="1">
      <c r="A2" s="109">
        <v>9</v>
      </c>
      <c r="B2" s="110" t="s">
        <v>21</v>
      </c>
      <c r="C2" s="111"/>
      <c r="D2" s="521">
        <f>IF('Internal Data'!D2:E2&gt;0,1/2*14.3998434/'Internal Data'!D2:E2,"")</f>
        <v>1.0374526945244957E-2</v>
      </c>
      <c r="E2" s="522"/>
      <c r="F2" s="523">
        <f>IF('Internal Data'!F2:G2&gt;0,1/2*14.3998434/'Internal Data'!F2:G2,"")</f>
        <v>0.19022250198150595</v>
      </c>
      <c r="G2" s="522"/>
      <c r="H2" s="175">
        <f>IF('Internal Data'!H2&gt;0,3/4*14.3998434/'Internal Data'!H2,"")</f>
        <v>0.61961460413080893</v>
      </c>
      <c r="I2" s="175">
        <f>IF('Internal Data'!I2&gt;0,3/4*14.3998434/'Internal Data'!I2,"")</f>
        <v>0.61986994929638251</v>
      </c>
      <c r="J2" s="176" t="str">
        <f>IF('Internal Data'!J2&gt;0,1/2*14.3998434/'Internal Data'!J2,"")</f>
        <v/>
      </c>
      <c r="K2" s="175" t="str">
        <f>IF('Internal Data'!K2&gt;0,3/4*14.3998434/'Internal Data'!K2,"")</f>
        <v/>
      </c>
      <c r="L2" s="177" t="str">
        <f>IF('Internal Data'!L2&gt;0,3/4*14.3998434/'Internal Data'!L2,"")</f>
        <v/>
      </c>
      <c r="M2" s="115"/>
    </row>
    <row r="3" spans="1:15" ht="15" customHeight="1">
      <c r="A3" s="447" t="s">
        <v>302</v>
      </c>
      <c r="B3" s="78" t="s">
        <v>21</v>
      </c>
      <c r="C3" s="448" t="s">
        <v>303</v>
      </c>
      <c r="D3" s="491">
        <f>IF('Internal Data'!D3:E3&gt;0,1/2*14.3998434/'Internal Data'!D3:E3,"")</f>
        <v>1.0374526945244957E-2</v>
      </c>
      <c r="E3" s="492"/>
      <c r="F3" s="493" t="s">
        <v>133</v>
      </c>
      <c r="G3" s="492"/>
      <c r="H3" s="178" t="s">
        <v>133</v>
      </c>
      <c r="I3" s="178">
        <f>IF('Internal Data'!I3&gt;0,3/4*14.3998434/'Internal Data'!I3,"")</f>
        <v>0.50232011860465109</v>
      </c>
      <c r="J3" s="179" t="str">
        <f>IF('Internal Data'!J3&gt;0,1/2*14.3998434/'Internal Data'!J3,"")</f>
        <v/>
      </c>
      <c r="K3" s="178" t="str">
        <f>IF('Internal Data'!K3&gt;0,3/4*14.3998434/'Internal Data'!K3,"")</f>
        <v/>
      </c>
      <c r="L3" s="180" t="str">
        <f>IF('Internal Data'!L3&gt;0,3/4*14.3998434/'Internal Data'!L3,"")</f>
        <v/>
      </c>
    </row>
    <row r="4" spans="1:15" ht="15" customHeight="1" thickBot="1">
      <c r="A4" s="451"/>
      <c r="B4" s="87" t="s">
        <v>21</v>
      </c>
      <c r="C4" s="452"/>
      <c r="D4" s="514">
        <f>IF('Internal Data'!D4:E4&gt;0,1/2*14.3998434/'Internal Data'!D4:E4,"")</f>
        <v>1.0374526945244957E-2</v>
      </c>
      <c r="E4" s="515"/>
      <c r="F4" s="516" t="s">
        <v>133</v>
      </c>
      <c r="G4" s="515"/>
      <c r="H4" s="181" t="s">
        <v>133</v>
      </c>
      <c r="I4" s="181" t="s">
        <v>133</v>
      </c>
      <c r="J4" s="182" t="str">
        <f>IF('Internal Data'!J4&gt;0,1/2*14.3998434/'Internal Data'!J4,"")</f>
        <v/>
      </c>
      <c r="K4" s="181" t="str">
        <f>IF('Internal Data'!K4&gt;0,3/4*14.3998434/'Internal Data'!K4,"")</f>
        <v/>
      </c>
      <c r="L4" s="183" t="str">
        <f>IF('Internal Data'!L4&gt;0,3/4*14.3998434/'Internal Data'!L4,"")</f>
        <v/>
      </c>
      <c r="N4" s="184" t="s">
        <v>138</v>
      </c>
      <c r="O4" s="185"/>
    </row>
    <row r="5" spans="1:15" s="116" customFormat="1" ht="15" customHeight="1" thickTop="1">
      <c r="A5" s="123">
        <v>8</v>
      </c>
      <c r="B5" s="124" t="s">
        <v>168</v>
      </c>
      <c r="C5" s="125"/>
      <c r="D5" s="504">
        <f>IF('Internal Data'!D5:E5&gt;0,1/2*14.3998434/'Internal Data'!D5:E5,"")</f>
        <v>1.338275408921933E-2</v>
      </c>
      <c r="E5" s="505"/>
      <c r="F5" s="506">
        <f>IF('Internal Data'!F5:G5&gt;0,1/2*14.3998434/'Internal Data'!F5:G5,"")</f>
        <v>0.2528062394662921</v>
      </c>
      <c r="G5" s="505"/>
      <c r="H5" s="186">
        <f>IF('Internal Data'!H5&gt;0,3/4*14.3998434/'Internal Data'!H5,"")</f>
        <v>0.79294291850220266</v>
      </c>
      <c r="I5" s="186">
        <f>IF('Internal Data'!I5&gt;0,3/4*14.3998434/'Internal Data'!I5,"")</f>
        <v>0.79305587947181899</v>
      </c>
      <c r="J5" s="187" t="str">
        <f>IF('Internal Data'!J5&gt;0,1/2*14.3998434/'Internal Data'!J5,"")</f>
        <v/>
      </c>
      <c r="K5" s="186" t="str">
        <f>IF('Internal Data'!K5&gt;0,3/4*14.3998434/'Internal Data'!K5,"")</f>
        <v/>
      </c>
      <c r="L5" s="188" t="str">
        <f>IF('Internal Data'!L5&gt;0,3/4*14.3998434/'Internal Data'!L5,"")</f>
        <v/>
      </c>
      <c r="M5" s="115"/>
      <c r="N5" s="517" t="s">
        <v>139</v>
      </c>
      <c r="O5" s="189"/>
    </row>
    <row r="6" spans="1:15" ht="15" customHeight="1">
      <c r="A6" s="447" t="s">
        <v>304</v>
      </c>
      <c r="B6" s="78" t="s">
        <v>168</v>
      </c>
      <c r="C6" s="448" t="s">
        <v>305</v>
      </c>
      <c r="D6" s="491">
        <f>IF('Internal Data'!D6:E6&gt;0,1/2*14.3998434/'Internal Data'!D6:E6,"")</f>
        <v>1.323028610804851E-2</v>
      </c>
      <c r="E6" s="492"/>
      <c r="F6" s="179">
        <f>IF('Internal Data'!F6&gt;0,1/2*14.3998434/'Internal Data'!F6,"")</f>
        <v>0.18181620454545455</v>
      </c>
      <c r="G6" s="190">
        <f>IF('Internal Data'!G6&gt;0,1/2*14.3998434/'Internal Data'!G6,"")</f>
        <v>0.25806170967741937</v>
      </c>
      <c r="H6" s="191">
        <f>IF('Internal Data'!H6&gt;0,3/4*14.3998434/'Internal Data'!H6,"")</f>
        <v>0.57446183776595738</v>
      </c>
      <c r="I6" s="191" t="str">
        <f>IF('Internal Data'!I6&gt;0,3/4*14.3998434/'Internal Data'!I6,"")</f>
        <v/>
      </c>
      <c r="J6" s="192" t="str">
        <f>IF('Internal Data'!J6&gt;0,1/2*14.3998434/'Internal Data'!J6,"")</f>
        <v/>
      </c>
      <c r="K6" s="191" t="str">
        <f>IF('Internal Data'!K6&gt;0,3/4*14.3998434/'Internal Data'!K6,"")</f>
        <v/>
      </c>
      <c r="L6" s="193" t="str">
        <f>IF('Internal Data'!L6&gt;0,3/4*14.3998434/'Internal Data'!L6,"")</f>
        <v/>
      </c>
      <c r="N6" s="517"/>
      <c r="O6" s="194"/>
    </row>
    <row r="7" spans="1:15" ht="15" customHeight="1" thickBot="1">
      <c r="A7" s="451"/>
      <c r="B7" s="133" t="s">
        <v>168</v>
      </c>
      <c r="C7" s="452"/>
      <c r="D7" s="514">
        <f>IF('Internal Data'!D7:E7&gt;0,1/2*14.3998434/'Internal Data'!D7:E7,"")</f>
        <v>1.3257082857668938E-2</v>
      </c>
      <c r="E7" s="515"/>
      <c r="F7" s="182">
        <f>IF('Internal Data'!F7&gt;0,1/2*14.3998434/'Internal Data'!F7,"")</f>
        <v>0.17307504086538461</v>
      </c>
      <c r="G7" s="195">
        <f>IF('Internal Data'!G7&gt;0,1/2*14.3998434/'Internal Data'!G7,"")</f>
        <v>0.28458188537549406</v>
      </c>
      <c r="H7" s="181">
        <f>IF('Internal Data'!H7&gt;0,3/4*14.3998434/'Internal Data'!H7,"")</f>
        <v>0.51184277488151653</v>
      </c>
      <c r="I7" s="181" t="str">
        <f>IF('Internal Data'!I7&gt;0,3/4*14.3998434/'Internal Data'!I7,"")</f>
        <v/>
      </c>
      <c r="J7" s="182" t="str">
        <f>IF('Internal Data'!J7&gt;0,1/2*14.3998434/'Internal Data'!J7,"")</f>
        <v/>
      </c>
      <c r="K7" s="181" t="str">
        <f>IF('Internal Data'!K7&gt;0,3/4*14.3998434/'Internal Data'!K7,"")</f>
        <v/>
      </c>
      <c r="L7" s="183" t="str">
        <f>IF('Internal Data'!L7&gt;0,3/4*14.3998434/'Internal Data'!L7,"")</f>
        <v/>
      </c>
      <c r="N7" s="517" t="s">
        <v>342</v>
      </c>
      <c r="O7" s="196"/>
    </row>
    <row r="8" spans="1:15" s="116" customFormat="1" ht="15" customHeight="1" thickTop="1">
      <c r="A8" s="123">
        <v>7</v>
      </c>
      <c r="B8" s="124" t="s">
        <v>20</v>
      </c>
      <c r="C8" s="125"/>
      <c r="D8" s="504">
        <f>IF('Internal Data'!D8:E8&gt;0,1/2*14.3998434/'Internal Data'!D8:E8,"")</f>
        <v>1.7865810669975186E-2</v>
      </c>
      <c r="E8" s="505"/>
      <c r="F8" s="506">
        <f>IF('Internal Data'!F8:G8&gt;0,1/2*14.3998434/'Internal Data'!F8:G8,"")</f>
        <v>0.35415256763403841</v>
      </c>
      <c r="G8" s="505"/>
      <c r="H8" s="186">
        <f>IF('Internal Data'!H8&gt;0,3/4*14.3998434/'Internal Data'!H8,"")</f>
        <v>0.74306994084273292</v>
      </c>
      <c r="I8" s="186" t="str">
        <f>IF('Internal Data'!I8&gt;0,3/4*14.3998434/'Internal Data'!I8,"")</f>
        <v/>
      </c>
      <c r="J8" s="187" t="str">
        <f>IF('Internal Data'!J8&gt;0,1/2*14.3998434/'Internal Data'!J8,"")</f>
        <v/>
      </c>
      <c r="K8" s="186" t="str">
        <f>IF('Internal Data'!K8&gt;0,3/4*14.3998434/'Internal Data'!K8,"")</f>
        <v/>
      </c>
      <c r="L8" s="188" t="str">
        <f>IF('Internal Data'!L8&gt;0,3/4*14.3998434/'Internal Data'!L8,"")</f>
        <v/>
      </c>
      <c r="M8" s="115"/>
      <c r="N8" s="517"/>
      <c r="O8" s="197"/>
    </row>
    <row r="9" spans="1:15" ht="15" customHeight="1">
      <c r="A9" s="447" t="s">
        <v>306</v>
      </c>
      <c r="B9" s="95" t="s">
        <v>20</v>
      </c>
      <c r="C9" s="448" t="s">
        <v>307</v>
      </c>
      <c r="D9" s="491">
        <f>IF('Internal Data'!D9:E9&gt;0,1/2*14.3998434/'Internal Data'!D9:E9,"")</f>
        <v>1.7565068797267627E-2</v>
      </c>
      <c r="E9" s="492"/>
      <c r="F9" s="179">
        <f>IF('Internal Data'!F9&gt;0,1/2*14.3998434/'Internal Data'!F9,"")</f>
        <v>0.19302739142091155</v>
      </c>
      <c r="G9" s="190">
        <f>IF('Internal Data'!G9&gt;0,1/2*14.3998434/'Internal Data'!G9,"")</f>
        <v>0.387092564516129</v>
      </c>
      <c r="H9" s="178" t="str">
        <f>IF('Internal Data'!H9&gt;0,3/4*14.3998434/'Internal Data'!H9,"")</f>
        <v/>
      </c>
      <c r="I9" s="178" t="str">
        <f>IF('Internal Data'!I9&gt;0,3/4*14.3998434/'Internal Data'!I9,"")</f>
        <v/>
      </c>
      <c r="J9" s="179" t="str">
        <f>IF('Internal Data'!J9&gt;0,1/2*14.3998434/'Internal Data'!J9,"")</f>
        <v/>
      </c>
      <c r="K9" s="178" t="str">
        <f>IF('Internal Data'!K9&gt;0,3/4*14.3998434/'Internal Data'!K9,"")</f>
        <v/>
      </c>
      <c r="L9" s="180" t="str">
        <f>IF('Internal Data'!L9&gt;0,3/4*14.3998434/'Internal Data'!L9,"")</f>
        <v/>
      </c>
      <c r="N9" s="184" t="s">
        <v>142</v>
      </c>
      <c r="O9" s="198"/>
    </row>
    <row r="10" spans="1:15" ht="15" customHeight="1" thickBot="1">
      <c r="A10" s="451"/>
      <c r="B10" s="133" t="s">
        <v>20</v>
      </c>
      <c r="C10" s="452"/>
      <c r="D10" s="514">
        <f>IF('Internal Data'!D10:E10&gt;0,1/2*14.3998434/'Internal Data'!D10:E10,"")</f>
        <v>1.7565068797267627E-2</v>
      </c>
      <c r="E10" s="515"/>
      <c r="F10" s="182">
        <f>IF('Internal Data'!F10&gt;0,1/2*14.3998434/'Internal Data'!F10,"")</f>
        <v>0.19302739142091155</v>
      </c>
      <c r="G10" s="195">
        <f>IF('Internal Data'!G10&gt;0,1/2*14.3998434/'Internal Data'!G10,"")</f>
        <v>0.387092564516129</v>
      </c>
      <c r="H10" s="181" t="str">
        <f>IF('Internal Data'!H10&gt;0,3/4*14.3998434/'Internal Data'!H10,"")</f>
        <v/>
      </c>
      <c r="I10" s="181" t="str">
        <f>IF('Internal Data'!I10&gt;0,3/4*14.3998434/'Internal Data'!I10,"")</f>
        <v/>
      </c>
      <c r="J10" s="182" t="str">
        <f>IF('Internal Data'!J10&gt;0,1/2*14.3998434/'Internal Data'!J10,"")</f>
        <v/>
      </c>
      <c r="K10" s="181" t="str">
        <f>IF('Internal Data'!K10&gt;0,3/4*14.3998434/'Internal Data'!K10,"")</f>
        <v/>
      </c>
      <c r="L10" s="183" t="str">
        <f>IF('Internal Data'!L10&gt;0,3/4*14.3998434/'Internal Data'!L10,"")</f>
        <v/>
      </c>
      <c r="N10" s="184" t="s">
        <v>343</v>
      </c>
      <c r="O10" s="199"/>
    </row>
    <row r="11" spans="1:15" s="116" customFormat="1" ht="15" customHeight="1" thickTop="1">
      <c r="A11" s="123">
        <v>1</v>
      </c>
      <c r="B11" s="124" t="s">
        <v>15</v>
      </c>
      <c r="C11" s="125"/>
      <c r="D11" s="504">
        <f>IF('Internal Data'!D11:E11&gt;0,1/2*14.3998434/'Internal Data'!D11:E11,"")</f>
        <v>0.52946674030256413</v>
      </c>
      <c r="E11" s="505"/>
      <c r="F11" s="506" t="str">
        <f>IF('Internal Data'!F11:G11&gt;0,1/2*14.3998434/'Internal Data'!F11:G11,"")</f>
        <v/>
      </c>
      <c r="G11" s="505"/>
      <c r="H11" s="186" t="str">
        <f>IF('Internal Data'!H11&gt;0,3/4*14.3998434/'Internal Data'!H11,"")</f>
        <v/>
      </c>
      <c r="I11" s="186" t="str">
        <f>IF('Internal Data'!I11&gt;0,3/4*14.3998434/'Internal Data'!I11,"")</f>
        <v/>
      </c>
      <c r="J11" s="187" t="str">
        <f>IF('Internal Data'!J11&gt;0,1/2*14.3998434/'Internal Data'!J11,"")</f>
        <v/>
      </c>
      <c r="K11" s="186" t="str">
        <f>IF('Internal Data'!K11&gt;0,3/4*14.3998434/'Internal Data'!K11,"")</f>
        <v/>
      </c>
      <c r="L11" s="188" t="str">
        <f>IF('Internal Data'!L11&gt;0,3/4*14.3998434/'Internal Data'!L11,"")</f>
        <v/>
      </c>
      <c r="M11" s="115"/>
    </row>
    <row r="12" spans="1:15" s="116" customFormat="1" ht="15" customHeight="1">
      <c r="A12" s="138">
        <v>9</v>
      </c>
      <c r="B12" s="139" t="s">
        <v>21</v>
      </c>
      <c r="C12" s="140"/>
      <c r="D12" s="487">
        <f>IF('Internal Data'!D12:E12&gt;0,1/2*14.3998434/'Internal Data'!D12:E12,"")</f>
        <v>1.0374526945244957E-2</v>
      </c>
      <c r="E12" s="488"/>
      <c r="F12" s="489">
        <f>IF('Internal Data'!F12:G12&gt;0,1/2*14.3998434/'Internal Data'!F12:G12,"")</f>
        <v>0.19022250198150595</v>
      </c>
      <c r="G12" s="488"/>
      <c r="H12" s="200">
        <f>IF('Internal Data'!H12&gt;0,3/4*14.3998434/'Internal Data'!H12,"")</f>
        <v>0.61997029563719852</v>
      </c>
      <c r="I12" s="200">
        <f>IF('Internal Data'!I12&gt;0,3/4*14.3998434/'Internal Data'!I12,"")</f>
        <v>0.61986994929638251</v>
      </c>
      <c r="J12" s="201" t="str">
        <f>IF('Internal Data'!J12&gt;0,1/2*14.3998434/'Internal Data'!J12,"")</f>
        <v/>
      </c>
      <c r="K12" s="200" t="str">
        <f>IF('Internal Data'!K12&gt;0,3/4*14.3998434/'Internal Data'!K12,"")</f>
        <v/>
      </c>
      <c r="L12" s="202" t="str">
        <f>IF('Internal Data'!L12&gt;0,3/4*14.3998434/'Internal Data'!L12,"")</f>
        <v/>
      </c>
      <c r="M12" s="115"/>
    </row>
    <row r="13" spans="1:15" ht="15" customHeight="1">
      <c r="A13" s="447" t="s">
        <v>87</v>
      </c>
      <c r="B13" s="95" t="s">
        <v>15</v>
      </c>
      <c r="C13" s="448" t="s">
        <v>308</v>
      </c>
      <c r="D13" s="491" t="str">
        <f>IF('Internal Data'!D13:E13&gt;0,1/2*14.3998434/'Internal Data'!D13:E13,"")</f>
        <v/>
      </c>
      <c r="E13" s="492"/>
      <c r="F13" s="493" t="str">
        <f>IF('Internal Data'!F13:G13&gt;0,1/2*14.3998434/'Internal Data'!F13:G13,"")</f>
        <v/>
      </c>
      <c r="G13" s="492"/>
      <c r="H13" s="178" t="str">
        <f>IF('Internal Data'!H13&gt;0,3/4*14.3998434/'Internal Data'!H13,"")</f>
        <v/>
      </c>
      <c r="I13" s="178" t="str">
        <f>IF('Internal Data'!I13&gt;0,3/4*14.3998434/'Internal Data'!I13,"")</f>
        <v/>
      </c>
      <c r="J13" s="179" t="str">
        <f>IF('Internal Data'!J13&gt;0,1/2*14.3998434/'Internal Data'!J13,"")</f>
        <v/>
      </c>
      <c r="K13" s="178" t="str">
        <f>IF('Internal Data'!K13&gt;0,3/4*14.3998434/'Internal Data'!K13,"")</f>
        <v/>
      </c>
      <c r="L13" s="180" t="str">
        <f>IF('Internal Data'!L13&gt;0,3/4*14.3998434/'Internal Data'!L13,"")</f>
        <v/>
      </c>
    </row>
    <row r="14" spans="1:15" ht="15" customHeight="1" thickBot="1">
      <c r="A14" s="451"/>
      <c r="B14" s="133" t="s">
        <v>21</v>
      </c>
      <c r="C14" s="452"/>
      <c r="D14" s="514">
        <f>IF('Internal Data'!D14:E14&gt;0,1/2*14.3998434/'Internal Data'!D14:E14,"")</f>
        <v>1.0374526945244957E-2</v>
      </c>
      <c r="E14" s="515"/>
      <c r="F14" s="516">
        <f>IF('Internal Data'!F14:G14&gt;0,1/2*14.3998434/'Internal Data'!F14:G14,"")</f>
        <v>0.18461337692307692</v>
      </c>
      <c r="G14" s="515"/>
      <c r="H14" s="178">
        <f>IF('Internal Data'!H14&gt;0,3/4*14.3998434/'Internal Data'!H14,"")</f>
        <v>0.39999564999999998</v>
      </c>
      <c r="I14" s="178">
        <f>IF('Internal Data'!I14&gt;0,3/4*14.3998434/'Internal Data'!I14,"")</f>
        <v>0.49090375227272726</v>
      </c>
      <c r="J14" s="182" t="str">
        <f>IF('Internal Data'!J14&gt;0,1/2*14.3998434/'Internal Data'!J14,"")</f>
        <v/>
      </c>
      <c r="K14" s="181" t="str">
        <f>IF('Internal Data'!K14&gt;0,3/4*14.3998434/'Internal Data'!K14,"")</f>
        <v/>
      </c>
      <c r="L14" s="183" t="str">
        <f>IF('Internal Data'!L14&gt;0,3/4*14.3998434/'Internal Data'!L14,"")</f>
        <v/>
      </c>
    </row>
    <row r="15" spans="1:15" s="116" customFormat="1" ht="15" customHeight="1" thickTop="1">
      <c r="A15" s="123">
        <v>1</v>
      </c>
      <c r="B15" s="124" t="s">
        <v>15</v>
      </c>
      <c r="C15" s="125"/>
      <c r="D15" s="504">
        <f>IF('Internal Data'!D15:E15&gt;0,1/2*14.3998434/'Internal Data'!D15:E15,"")</f>
        <v>0.52946674030256413</v>
      </c>
      <c r="E15" s="505"/>
      <c r="F15" s="506" t="str">
        <f>IF('Internal Data'!F15:G15&gt;0,1/2*14.3998434/'Internal Data'!F15:G15,"")</f>
        <v/>
      </c>
      <c r="G15" s="505"/>
      <c r="H15" s="186" t="str">
        <f>IF('Internal Data'!H15&gt;0,3/4*14.3998434/'Internal Data'!H15,"")</f>
        <v/>
      </c>
      <c r="I15" s="186" t="str">
        <f>IF('Internal Data'!I15&gt;0,3/4*14.3998434/'Internal Data'!I15,"")</f>
        <v/>
      </c>
      <c r="J15" s="187" t="str">
        <f>IF('Internal Data'!J15&gt;0,1/2*14.3998434/'Internal Data'!J15,"")</f>
        <v/>
      </c>
      <c r="K15" s="186" t="str">
        <f>IF('Internal Data'!K15&gt;0,3/4*14.3998434/'Internal Data'!K15,"")</f>
        <v/>
      </c>
      <c r="L15" s="188" t="str">
        <f>IF('Internal Data'!L15&gt;0,3/4*14.3998434/'Internal Data'!L15,"")</f>
        <v/>
      </c>
      <c r="M15" s="115"/>
    </row>
    <row r="16" spans="1:15" s="116" customFormat="1" ht="15" customHeight="1">
      <c r="A16" s="138">
        <v>17</v>
      </c>
      <c r="B16" s="139" t="s">
        <v>24</v>
      </c>
      <c r="C16" s="140"/>
      <c r="D16" s="487">
        <f>IF('Internal Data'!D16:E16&gt;0,1/2*14.3998434/'Internal Data'!D16:E16,"")</f>
        <v>2.5450412513255568E-3</v>
      </c>
      <c r="E16" s="488"/>
      <c r="F16" s="489">
        <f>IF('Internal Data'!F16:G16&gt;0,1/2*14.3998434/'Internal Data'!F16:G16,"")</f>
        <v>2.5992497111913357E-2</v>
      </c>
      <c r="G16" s="488"/>
      <c r="H16" s="200">
        <f>IF('Internal Data'!H16&gt;0,3/4*14.3998434/'Internal Data'!H16,"")</f>
        <v>5.1922512259615382E-2</v>
      </c>
      <c r="I16" s="200">
        <f>IF('Internal Data'!I16&gt;0,3/4*14.3998434/'Internal Data'!I16,"")</f>
        <v>5.2426614320388344E-2</v>
      </c>
      <c r="J16" s="201">
        <f>IF('Internal Data'!J16&gt;0,1/2*14.3998434/'Internal Data'!J16,"")</f>
        <v>0.29339534229828851</v>
      </c>
      <c r="K16" s="200">
        <f>IF('Internal Data'!K16&gt;0,3/4*14.3998434/'Internal Data'!K16,"")</f>
        <v>0.83268176946800299</v>
      </c>
      <c r="L16" s="202">
        <f>IF('Internal Data'!L16&gt;0,3/4*14.3998434/'Internal Data'!L16,"")</f>
        <v>0.83283587942256088</v>
      </c>
      <c r="M16" s="115"/>
    </row>
    <row r="17" spans="1:13" ht="15" customHeight="1">
      <c r="A17" s="447" t="s">
        <v>88</v>
      </c>
      <c r="B17" s="95" t="s">
        <v>15</v>
      </c>
      <c r="C17" s="448" t="s">
        <v>309</v>
      </c>
      <c r="D17" s="491" t="str">
        <f>IF('Internal Data'!D17:E17&gt;0,1/2*14.3998434/'Internal Data'!D17:E17,"")</f>
        <v/>
      </c>
      <c r="E17" s="492"/>
      <c r="F17" s="493" t="str">
        <f>IF('Internal Data'!F17:G17&gt;0,1/2*14.3998434/'Internal Data'!F17:G17,"")</f>
        <v/>
      </c>
      <c r="G17" s="492"/>
      <c r="H17" s="178" t="str">
        <f>IF('Internal Data'!H17&gt;0,3/4*14.3998434/'Internal Data'!H17,"")</f>
        <v/>
      </c>
      <c r="I17" s="178" t="str">
        <f>IF('Internal Data'!I17&gt;0,3/4*14.3998434/'Internal Data'!I17,"")</f>
        <v/>
      </c>
      <c r="J17" s="179" t="str">
        <f>IF('Internal Data'!J17&gt;0,1/2*14.3998434/'Internal Data'!J17,"")</f>
        <v/>
      </c>
      <c r="K17" s="178" t="str">
        <f>IF('Internal Data'!K17&gt;0,3/4*14.3998434/'Internal Data'!K17,"")</f>
        <v/>
      </c>
      <c r="L17" s="180" t="str">
        <f>IF('Internal Data'!L17&gt;0,3/4*14.3998434/'Internal Data'!L17,"")</f>
        <v/>
      </c>
    </row>
    <row r="18" spans="1:13" ht="15" customHeight="1" thickBot="1">
      <c r="A18" s="451"/>
      <c r="B18" s="133" t="s">
        <v>24</v>
      </c>
      <c r="C18" s="452"/>
      <c r="D18" s="514">
        <f>IF('Internal Data'!D18:E18&gt;0,1/2*14.3998434/'Internal Data'!D18:E18,"")</f>
        <v>2.5441419434628974E-3</v>
      </c>
      <c r="E18" s="515"/>
      <c r="F18" s="516">
        <f>IF('Internal Data'!F18:G18&gt;0,1/2*14.3998434/'Internal Data'!F18:G18,"")</f>
        <v>2.5806170967741935E-2</v>
      </c>
      <c r="G18" s="515"/>
      <c r="H18" s="181">
        <f>IF('Internal Data'!H18&gt;0,3/4*14.3998434/'Internal Data'!H18,"")</f>
        <v>4.9769044009216584E-2</v>
      </c>
      <c r="I18" s="181">
        <f>IF('Internal Data'!I18&gt;0,3/4*14.3998434/'Internal Data'!I18,"")</f>
        <v>5.3999412749999996E-2</v>
      </c>
      <c r="J18" s="182">
        <f>IF('Internal Data'!J18&gt;0,1/2*14.3998434/'Internal Data'!J18,"")</f>
        <v>0.28015259533073933</v>
      </c>
      <c r="K18" s="178">
        <f>IF('Internal Data'!K18&gt;0,3/4*14.3998434/'Internal Data'!K18,"")</f>
        <v>0.6352872088235294</v>
      </c>
      <c r="L18" s="180">
        <f>IF('Internal Data'!L18&gt;0,3/4*14.3998434/'Internal Data'!L18,"")</f>
        <v>0.65453833636363634</v>
      </c>
    </row>
    <row r="19" spans="1:13" s="116" customFormat="1" ht="15" customHeight="1" thickTop="1">
      <c r="A19" s="146">
        <v>7</v>
      </c>
      <c r="B19" s="124" t="s">
        <v>20</v>
      </c>
      <c r="C19" s="125"/>
      <c r="D19" s="504">
        <f>IF('Internal Data'!D19:E19&gt;0,1/2*14.3998434/'Internal Data'!D19:E19,"")</f>
        <v>1.7865810669975186E-2</v>
      </c>
      <c r="E19" s="505"/>
      <c r="F19" s="506">
        <f>IF('Internal Data'!F19:G19&gt;0,1/2*14.3998434/'Internal Data'!F19:G19,"")</f>
        <v>0.35415256763403841</v>
      </c>
      <c r="G19" s="505"/>
      <c r="H19" s="186">
        <f>IF('Internal Data'!H19&gt;0,3/4*14.3998434/'Internal Data'!H19,"")</f>
        <v>0.74306994084273292</v>
      </c>
      <c r="I19" s="186" t="str">
        <f>IF('Internal Data'!I19&gt;0,3/4*14.3998434/'Internal Data'!I19,"")</f>
        <v/>
      </c>
      <c r="J19" s="187" t="str">
        <f>IF('Internal Data'!J19&gt;0,1/2*14.3998434/'Internal Data'!J19,"")</f>
        <v/>
      </c>
      <c r="K19" s="186" t="str">
        <f>IF('Internal Data'!K19&gt;0,3/4*14.3998434/'Internal Data'!K19,"")</f>
        <v/>
      </c>
      <c r="L19" s="188" t="str">
        <f>IF('Internal Data'!L19&gt;0,3/4*14.3998434/'Internal Data'!L19,"")</f>
        <v/>
      </c>
      <c r="M19" s="115"/>
    </row>
    <row r="20" spans="1:13" s="116" customFormat="1" ht="15" customHeight="1">
      <c r="A20" s="138">
        <v>8</v>
      </c>
      <c r="B20" s="147" t="s">
        <v>168</v>
      </c>
      <c r="C20" s="148"/>
      <c r="D20" s="487">
        <f>IF('Internal Data'!D20:E20&gt;0,1/2*14.3998434/'Internal Data'!D20:E20,"")</f>
        <v>1.338275408921933E-2</v>
      </c>
      <c r="E20" s="488"/>
      <c r="F20" s="489">
        <f>IF('Internal Data'!F20:G20&gt;0,1/2*14.3998434/'Internal Data'!F20:G20,"")</f>
        <v>0.2528062394662921</v>
      </c>
      <c r="G20" s="488"/>
      <c r="H20" s="203">
        <f>IF('Internal Data'!H20&gt;0,3/4*14.3998434/'Internal Data'!H20,"")</f>
        <v>0.79294291850220266</v>
      </c>
      <c r="I20" s="203">
        <f>IF('Internal Data'!I20&gt;0,3/4*14.3998434/'Internal Data'!I20,"")</f>
        <v>0.79305587947181899</v>
      </c>
      <c r="J20" s="204" t="str">
        <f>IF('Internal Data'!J20&gt;0,1/2*14.3998434/'Internal Data'!J20,"")</f>
        <v/>
      </c>
      <c r="K20" s="203" t="str">
        <f>IF('Internal Data'!K20&gt;0,3/4*14.3998434/'Internal Data'!K20,"")</f>
        <v/>
      </c>
      <c r="L20" s="205" t="str">
        <f>IF('Internal Data'!L20&gt;0,3/4*14.3998434/'Internal Data'!L20,"")</f>
        <v/>
      </c>
      <c r="M20" s="115"/>
    </row>
    <row r="21" spans="1:13" ht="15" customHeight="1">
      <c r="A21" s="447" t="s">
        <v>107</v>
      </c>
      <c r="B21" s="95" t="s">
        <v>20</v>
      </c>
      <c r="C21" s="448" t="s">
        <v>310</v>
      </c>
      <c r="D21" s="206">
        <f>IF('Internal Data'!D21&gt;0,1/2*14.3998434/'Internal Data'!D21,"")</f>
        <v>1.7484025497814474E-2</v>
      </c>
      <c r="E21" s="190">
        <f>IF('Internal Data'!E21&gt;0,1/2*14.3998434/'Internal Data'!E21,"")</f>
        <v>1.7547944674628321E-2</v>
      </c>
      <c r="F21" s="179">
        <f>IF('Internal Data'!F21&gt;0,1/2*14.3998434/'Internal Data'!F21,"")</f>
        <v>0.30900951502145924</v>
      </c>
      <c r="G21" s="190">
        <f>IF('Internal Data'!G21&gt;0,1/2*14.3998434/'Internal Data'!G21,"")</f>
        <v>0.33179362672811064</v>
      </c>
      <c r="H21" s="178">
        <f>IF('Internal Data'!H21&gt;0,3/4*14.3998434/'Internal Data'!H21,"")</f>
        <v>0.58377743513513514</v>
      </c>
      <c r="I21" s="178" t="str">
        <f>IF('Internal Data'!I21&gt;0,3/4*14.3998434/'Internal Data'!I21,"")</f>
        <v/>
      </c>
      <c r="J21" s="179" t="str">
        <f>IF('Internal Data'!J21&gt;0,1/2*14.3998434/'Internal Data'!J21,"")</f>
        <v/>
      </c>
      <c r="K21" s="178" t="str">
        <f>IF('Internal Data'!K21&gt;0,3/4*14.3998434/'Internal Data'!K21,"")</f>
        <v/>
      </c>
      <c r="L21" s="180" t="str">
        <f>IF('Internal Data'!L21&gt;0,3/4*14.3998434/'Internal Data'!L21,"")</f>
        <v/>
      </c>
    </row>
    <row r="22" spans="1:13" ht="15" customHeight="1" thickBot="1">
      <c r="A22" s="451"/>
      <c r="B22" s="133" t="s">
        <v>168</v>
      </c>
      <c r="C22" s="452"/>
      <c r="D22" s="207">
        <f>IF('Internal Data'!D22&gt;0,1/2*14.3998434/'Internal Data'!D22,"")</f>
        <v>1.3235150183823529E-2</v>
      </c>
      <c r="E22" s="195">
        <f>IF('Internal Data'!E22&gt;0,1/2*14.3998434/'Internal Data'!E22,"")</f>
        <v>1.3252202650469355E-2</v>
      </c>
      <c r="F22" s="182">
        <f>IF('Internal Data'!F22&gt;0,1/2*14.3998434/'Internal Data'!F22,"")</f>
        <v>0.16438177397260276</v>
      </c>
      <c r="G22" s="195">
        <f>IF('Internal Data'!G22&gt;0,1/2*14.3998434/'Internal Data'!G22,"")</f>
        <v>0.17733797290640393</v>
      </c>
      <c r="H22" s="181">
        <f>IF('Internal Data'!H22&gt;0,3/4*14.3998434/'Internal Data'!H22,"")</f>
        <v>0.64669955389221556</v>
      </c>
      <c r="I22" s="181" t="str">
        <f>IF('Internal Data'!I22&gt;0,3/4*14.3998434/'Internal Data'!I22,"")</f>
        <v/>
      </c>
      <c r="J22" s="182" t="str">
        <f>IF('Internal Data'!J22&gt;0,1/2*14.3998434/'Internal Data'!J22,"")</f>
        <v/>
      </c>
      <c r="K22" s="181" t="str">
        <f>IF('Internal Data'!K22&gt;0,3/4*14.3998434/'Internal Data'!K22,"")</f>
        <v/>
      </c>
      <c r="L22" s="183" t="str">
        <f>IF('Internal Data'!L22&gt;0,3/4*14.3998434/'Internal Data'!L22,"")</f>
        <v/>
      </c>
    </row>
    <row r="23" spans="1:13" s="116" customFormat="1" ht="15" customHeight="1" thickTop="1">
      <c r="A23" s="146">
        <v>6</v>
      </c>
      <c r="B23" s="124" t="s">
        <v>19</v>
      </c>
      <c r="C23" s="125"/>
      <c r="D23" s="504">
        <f>IF('Internal Data'!D23:E23&gt;0,1/2*14.3998434/'Internal Data'!D23:E23,"")</f>
        <v>2.4999728124999999E-2</v>
      </c>
      <c r="E23" s="505"/>
      <c r="F23" s="506">
        <f>IF('Internal Data'!F23:G23&gt;0,1/2*14.3998434/'Internal Data'!F23:G23,"")</f>
        <v>0.43399166365280289</v>
      </c>
      <c r="G23" s="505"/>
      <c r="H23" s="186">
        <f>IF('Internal Data'!H23&gt;0,3/4*14.3998434/'Internal Data'!H23,"")</f>
        <v>0.95911144019253469</v>
      </c>
      <c r="I23" s="186" t="str">
        <f>IF('Internal Data'!I23&gt;0,3/4*14.3998434/'Internal Data'!I23,"")</f>
        <v/>
      </c>
      <c r="J23" s="187" t="str">
        <f>IF('Internal Data'!J23&gt;0,1/2*14.3998434/'Internal Data'!J23,"")</f>
        <v/>
      </c>
      <c r="K23" s="186" t="str">
        <f>IF('Internal Data'!K23&gt;0,3/4*14.3998434/'Internal Data'!K23,"")</f>
        <v/>
      </c>
      <c r="L23" s="188" t="str">
        <f>IF('Internal Data'!L23&gt;0,3/4*14.3998434/'Internal Data'!L23,"")</f>
        <v/>
      </c>
      <c r="M23" s="115"/>
    </row>
    <row r="24" spans="1:13" s="116" customFormat="1" ht="15" customHeight="1">
      <c r="A24" s="138">
        <v>8</v>
      </c>
      <c r="B24" s="147" t="s">
        <v>168</v>
      </c>
      <c r="C24" s="148"/>
      <c r="D24" s="487">
        <f>IF('Internal Data'!D24:E24&gt;0,1/2*14.3998434/'Internal Data'!D24:E24,"")</f>
        <v>1.338275408921933E-2</v>
      </c>
      <c r="E24" s="488"/>
      <c r="F24" s="489">
        <f>IF('Internal Data'!F24:G24&gt;0,1/2*14.3998434/'Internal Data'!F24:G24,"")</f>
        <v>0.2528062394662921</v>
      </c>
      <c r="G24" s="488"/>
      <c r="H24" s="203">
        <f>IF('Internal Data'!H24&gt;0,3/4*14.3998434/'Internal Data'!H24,"")</f>
        <v>0.79294291850220266</v>
      </c>
      <c r="I24" s="203">
        <f>IF('Internal Data'!I24&gt;0,3/4*14.3998434/'Internal Data'!I24,"")</f>
        <v>0.79305587947181899</v>
      </c>
      <c r="J24" s="204" t="str">
        <f>IF('Internal Data'!J24&gt;0,1/2*14.3998434/'Internal Data'!J24,"")</f>
        <v/>
      </c>
      <c r="K24" s="203" t="str">
        <f>IF('Internal Data'!K24&gt;0,3/4*14.3998434/'Internal Data'!K24,"")</f>
        <v/>
      </c>
      <c r="L24" s="205" t="str">
        <f>IF('Internal Data'!L24&gt;0,3/4*14.3998434/'Internal Data'!L24,"")</f>
        <v/>
      </c>
      <c r="M24" s="115"/>
    </row>
    <row r="25" spans="1:13" ht="15.75" customHeight="1">
      <c r="A25" s="447" t="s">
        <v>108</v>
      </c>
      <c r="B25" s="95" t="s">
        <v>19</v>
      </c>
      <c r="C25" s="448" t="s">
        <v>311</v>
      </c>
      <c r="D25" s="491">
        <f>IF('Internal Data'!D25:E25&gt;0,1/2*14.3998434/'Internal Data'!D25:E25,"")</f>
        <v>2.4332280162216967E-2</v>
      </c>
      <c r="E25" s="492"/>
      <c r="F25" s="493">
        <f>IF('Internal Data'!F25:G25&gt;0,1/2*14.3998434/'Internal Data'!F25:G25,"")</f>
        <v>0.35820505970149252</v>
      </c>
      <c r="G25" s="492"/>
      <c r="H25" s="178" t="str">
        <f>IF('Internal Data'!H25&gt;0,3/4*14.3998434/'Internal Data'!H25,"")</f>
        <v/>
      </c>
      <c r="I25" s="178" t="str">
        <f>IF('Internal Data'!I25&gt;0,3/4*14.3998434/'Internal Data'!I25,"")</f>
        <v/>
      </c>
      <c r="J25" s="179" t="str">
        <f>IF('Internal Data'!J25&gt;0,1/2*14.3998434/'Internal Data'!J25,"")</f>
        <v/>
      </c>
      <c r="K25" s="178" t="str">
        <f>IF('Internal Data'!K25&gt;0,3/4*14.3998434/'Internal Data'!K25,"")</f>
        <v/>
      </c>
      <c r="L25" s="180" t="str">
        <f>IF('Internal Data'!L25&gt;0,3/4*14.3998434/'Internal Data'!L25,"")</f>
        <v/>
      </c>
    </row>
    <row r="26" spans="1:13" ht="15" customHeight="1" thickBot="1">
      <c r="A26" s="451"/>
      <c r="B26" s="133" t="s">
        <v>168</v>
      </c>
      <c r="C26" s="452"/>
      <c r="D26" s="514">
        <f>IF('Internal Data'!D26:E26&gt;0,1/2*14.3998434/'Internal Data'!D26:E26,"")</f>
        <v>1.328153790813503E-2</v>
      </c>
      <c r="E26" s="515"/>
      <c r="F26" s="516">
        <f>IF('Internal Data'!F26:G26&gt;0,1/2*14.3998434/'Internal Data'!F26:G26,"")</f>
        <v>0.18798751174934727</v>
      </c>
      <c r="G26" s="515"/>
      <c r="H26" s="220">
        <f>IF('Internal Data'!H26&gt;0,3/4*14.3998434/'Internal Data'!H26,"")</f>
        <v>0.6352872088235294</v>
      </c>
      <c r="I26" s="181" t="str">
        <f>IF('Internal Data'!I26&gt;0,3/4*14.3998434/'Internal Data'!I26,"")</f>
        <v/>
      </c>
      <c r="J26" s="182" t="str">
        <f>IF('Internal Data'!J26&gt;0,1/2*14.3998434/'Internal Data'!J26,"")</f>
        <v/>
      </c>
      <c r="K26" s="181" t="str">
        <f>IF('Internal Data'!K26&gt;0,3/4*14.3998434/'Internal Data'!K26,"")</f>
        <v/>
      </c>
      <c r="L26" s="183" t="str">
        <f>IF('Internal Data'!L26&gt;0,3/4*14.3998434/'Internal Data'!L26,"")</f>
        <v/>
      </c>
    </row>
    <row r="27" spans="1:13" s="116" customFormat="1" ht="15" customHeight="1" thickTop="1">
      <c r="A27" s="146">
        <v>1</v>
      </c>
      <c r="B27" s="124" t="s">
        <v>15</v>
      </c>
      <c r="C27" s="125"/>
      <c r="D27" s="504">
        <f>IF('Internal Data'!D27:E27&gt;0,1/2*14.3998434/'Internal Data'!D27:E27,"")</f>
        <v>0.52946674030256413</v>
      </c>
      <c r="E27" s="505"/>
      <c r="F27" s="208" t="str">
        <f>IF('Internal Data'!F27:G27&gt;0,1/2*14.3998434/'Internal Data'!F27:G27,"")</f>
        <v/>
      </c>
      <c r="G27" s="209"/>
      <c r="H27" s="186" t="str">
        <f>IF('Internal Data'!H27&gt;0,3/4*14.3998434/'Internal Data'!H27,"")</f>
        <v/>
      </c>
      <c r="I27" s="186" t="str">
        <f>IF('Internal Data'!I27&gt;0,3/4*14.3998434/'Internal Data'!I27,"")</f>
        <v/>
      </c>
      <c r="J27" s="187" t="str">
        <f>IF('Internal Data'!J27&gt;0,1/2*14.3998434/'Internal Data'!J27,"")</f>
        <v/>
      </c>
      <c r="K27" s="186" t="str">
        <f>IF('Internal Data'!K27&gt;0,3/4*14.3998434/'Internal Data'!K27,"")</f>
        <v/>
      </c>
      <c r="L27" s="188" t="str">
        <f>IF('Internal Data'!L27&gt;0,3/4*14.3998434/'Internal Data'!L27,"")</f>
        <v/>
      </c>
      <c r="M27" s="115"/>
    </row>
    <row r="28" spans="1:13" s="116" customFormat="1" ht="15" customHeight="1">
      <c r="A28" s="138">
        <v>8</v>
      </c>
      <c r="B28" s="139" t="s">
        <v>168</v>
      </c>
      <c r="C28" s="140"/>
      <c r="D28" s="487">
        <f>IF('Internal Data'!D28:E28&gt;0,1/2*14.3998434/'Internal Data'!D28:E28,"")</f>
        <v>1.338275408921933E-2</v>
      </c>
      <c r="E28" s="488"/>
      <c r="F28" s="489">
        <f>IF('Internal Data'!F28:G28&gt;0,1/2*14.3998434/'Internal Data'!F28:G28,"")</f>
        <v>0.2528062394662921</v>
      </c>
      <c r="G28" s="488"/>
      <c r="H28" s="200">
        <f>IF('Internal Data'!H28&gt;0,3/4*14.3998434/'Internal Data'!H28,"")</f>
        <v>0.79294291850220266</v>
      </c>
      <c r="I28" s="200">
        <f>IF('Internal Data'!I28&gt;0,3/4*14.3998434/'Internal Data'!I28,"")</f>
        <v>0.79305587947181899</v>
      </c>
      <c r="J28" s="201" t="str">
        <f>IF('Internal Data'!J28&gt;0,1/2*14.3998434/'Internal Data'!J28,"")</f>
        <v/>
      </c>
      <c r="K28" s="200" t="str">
        <f>IF('Internal Data'!K28&gt;0,3/4*14.3998434/'Internal Data'!K28,"")</f>
        <v/>
      </c>
      <c r="L28" s="202" t="str">
        <f>IF('Internal Data'!L28&gt;0,3/4*14.3998434/'Internal Data'!L28,"")</f>
        <v/>
      </c>
      <c r="M28" s="115"/>
    </row>
    <row r="29" spans="1:13" ht="15" customHeight="1">
      <c r="A29" s="513" t="s">
        <v>344</v>
      </c>
      <c r="B29" s="95" t="s">
        <v>15</v>
      </c>
      <c r="C29" s="210" t="s">
        <v>313</v>
      </c>
      <c r="D29" s="211" t="str">
        <f>IF('Internal Data'!D29:E29&gt;0,1/2*14.3998434/'Internal Data'!D29:E29,"")</f>
        <v/>
      </c>
      <c r="E29" s="190"/>
      <c r="F29" s="212" t="str">
        <f>IF('Internal Data'!F29:G29&gt;0,1/2*14.3998434/'Internal Data'!F29:G29,"")</f>
        <v/>
      </c>
      <c r="G29" s="190"/>
      <c r="H29" s="178" t="str">
        <f>IF('Internal Data'!H29&gt;0,3/4*14.3998434/'Internal Data'!H29,"")</f>
        <v/>
      </c>
      <c r="I29" s="178" t="str">
        <f>IF('Internal Data'!I29&gt;0,3/4*14.3998434/'Internal Data'!I29,"")</f>
        <v/>
      </c>
      <c r="J29" s="179" t="str">
        <f>IF('Internal Data'!J29&gt;0,1/2*14.3998434/'Internal Data'!J29,"")</f>
        <v/>
      </c>
      <c r="K29" s="178" t="str">
        <f>IF('Internal Data'!K29&gt;0,3/4*14.3998434/'Internal Data'!K29,"")</f>
        <v/>
      </c>
      <c r="L29" s="180" t="str">
        <f>IF('Internal Data'!L29&gt;0,3/4*14.3998434/'Internal Data'!L29,"")</f>
        <v/>
      </c>
    </row>
    <row r="30" spans="1:13" ht="15" customHeight="1" thickBot="1">
      <c r="A30" s="470"/>
      <c r="B30" s="133" t="s">
        <v>168</v>
      </c>
      <c r="C30" s="133"/>
      <c r="D30" s="501">
        <f>IF('Internal Data'!D30:E30&gt;0,1/2*14.3998434/'Internal Data'!D30:E30,"")</f>
        <v>1.3340599777654252E-2</v>
      </c>
      <c r="E30" s="502"/>
      <c r="F30" s="503">
        <f>IF('Internal Data'!F30:G30&gt;0,1/2*14.3998434/'Internal Data'!F30:G30,"")</f>
        <v>0.22360005279503103</v>
      </c>
      <c r="G30" s="502"/>
      <c r="H30" s="213">
        <f>IF('Internal Data'!H30&gt;0,3/4*14.3998434/'Internal Data'!H30,"")</f>
        <v>0.58695013858695655</v>
      </c>
      <c r="I30" s="181" t="str">
        <f>IF('Internal Data'!I30&gt;0,3/4*14.3998434/'Internal Data'!I30,"")</f>
        <v/>
      </c>
      <c r="J30" s="182" t="str">
        <f>IF('Internal Data'!J30&gt;0,1/2*14.3998434/'Internal Data'!J30,"")</f>
        <v/>
      </c>
      <c r="K30" s="181" t="str">
        <f>IF('Internal Data'!K30&gt;0,3/4*14.3998434/'Internal Data'!K30,"")</f>
        <v/>
      </c>
      <c r="L30" s="183" t="str">
        <f>IF('Internal Data'!L30&gt;0,3/4*14.3998434/'Internal Data'!L30,"")</f>
        <v/>
      </c>
    </row>
    <row r="31" spans="1:13" s="116" customFormat="1" ht="15" customHeight="1" thickTop="1">
      <c r="A31" s="146">
        <v>1</v>
      </c>
      <c r="B31" s="147" t="s">
        <v>15</v>
      </c>
      <c r="C31" s="148"/>
      <c r="D31" s="485">
        <f>IF('Internal Data'!D31:E31&gt;0,1/2*14.3998434/'Internal Data'!D31:E31,"")</f>
        <v>0.52946674030256413</v>
      </c>
      <c r="E31" s="486"/>
      <c r="F31" s="506" t="str">
        <f>IF('Internal Data'!F31:G31&gt;0,1/2*14.3998434/'Internal Data'!F31:G31,"")</f>
        <v/>
      </c>
      <c r="G31" s="505"/>
      <c r="H31" s="203" t="str">
        <f>IF('Internal Data'!H31&gt;0,3/4*14.3998434/'Internal Data'!H31,"")</f>
        <v/>
      </c>
      <c r="I31" s="203" t="str">
        <f>IF('Internal Data'!I31&gt;0,3/4*14.3998434/'Internal Data'!I31,"")</f>
        <v/>
      </c>
      <c r="J31" s="204" t="str">
        <f>IF('Internal Data'!J31&gt;0,1/2*14.3998434/'Internal Data'!J31,"")</f>
        <v/>
      </c>
      <c r="K31" s="203" t="str">
        <f>IF('Internal Data'!K31&gt;0,3/4*14.3998434/'Internal Data'!K31,"")</f>
        <v/>
      </c>
      <c r="L31" s="205" t="str">
        <f>IF('Internal Data'!L31&gt;0,3/4*14.3998434/'Internal Data'!L31,"")</f>
        <v/>
      </c>
      <c r="M31" s="115"/>
    </row>
    <row r="32" spans="1:13" s="116" customFormat="1" ht="15" customHeight="1">
      <c r="A32" s="138">
        <v>16</v>
      </c>
      <c r="B32" s="139" t="s">
        <v>23</v>
      </c>
      <c r="C32" s="140"/>
      <c r="D32" s="487">
        <f>IF('Internal Data'!D32:E32&gt;0,1/2*14.3998434/'Internal Data'!D32:E32,"")</f>
        <v>2.9078843699515346E-3</v>
      </c>
      <c r="E32" s="488"/>
      <c r="F32" s="489">
        <f>IF('Internal Data'!F32:G32&gt;0,1/2*14.3998434/'Internal Data'!F32:G32,"")</f>
        <v>3.103414525862069E-2</v>
      </c>
      <c r="G32" s="488"/>
      <c r="H32" s="200">
        <f>IF('Internal Data'!H32&gt;0,3/4*14.3998434/'Internal Data'!H32,"")</f>
        <v>6.3528720882352938E-2</v>
      </c>
      <c r="I32" s="200">
        <f>IF('Internal Data'!I32&gt;0,3/4*14.3998434/'Internal Data'!I32,"")</f>
        <v>6.4285015178571422E-2</v>
      </c>
      <c r="J32" s="201">
        <f>IF('Internal Data'!J32&gt;0,1/2*14.3998434/'Internal Data'!J32,"")</f>
        <v>0.35643176732673271</v>
      </c>
      <c r="K32" s="200">
        <f>IF('Internal Data'!K32&gt;0,3/4*14.3998434/'Internal Data'!K32,"")</f>
        <v>1.0424597055984557</v>
      </c>
      <c r="L32" s="202">
        <f>IF('Internal Data'!L32&gt;0,3/4*14.3998434/'Internal Data'!L32,"")</f>
        <v>1.0424586993641898</v>
      </c>
      <c r="M32" s="115"/>
    </row>
    <row r="33" spans="1:15" ht="15" customHeight="1">
      <c r="A33" s="513" t="s">
        <v>345</v>
      </c>
      <c r="B33" s="95" t="s">
        <v>15</v>
      </c>
      <c r="C33" s="448" t="s">
        <v>315</v>
      </c>
      <c r="D33" s="491" t="str">
        <f>IF('Internal Data'!D33:E33&gt;0,1/2*14.3998434/'Internal Data'!D33:E33,"")</f>
        <v/>
      </c>
      <c r="E33" s="492"/>
      <c r="F33" s="493" t="str">
        <f>IF('Internal Data'!F33:G33&gt;0,1/2*14.3998434/'Internal Data'!F33:G33,"")</f>
        <v/>
      </c>
      <c r="G33" s="492"/>
      <c r="H33" s="178" t="str">
        <f>IF('Internal Data'!H33&gt;0,3/4*14.3998434/'Internal Data'!H33,"")</f>
        <v/>
      </c>
      <c r="I33" s="178" t="str">
        <f>IF('Internal Data'!I33&gt;0,3/4*14.3998434/'Internal Data'!I33,"")</f>
        <v/>
      </c>
      <c r="J33" s="179" t="str">
        <f>IF('Internal Data'!J33&gt;0,1/2*14.3998434/'Internal Data'!J33,"")</f>
        <v/>
      </c>
      <c r="K33" s="178" t="str">
        <f>IF('Internal Data'!K33&gt;0,3/4*14.3998434/'Internal Data'!K33,"")</f>
        <v/>
      </c>
      <c r="L33" s="180" t="str">
        <f>IF('Internal Data'!L33&gt;0,3/4*14.3998434/'Internal Data'!L33,"")</f>
        <v/>
      </c>
    </row>
    <row r="34" spans="1:15" ht="15" customHeight="1" thickBot="1">
      <c r="A34" s="470"/>
      <c r="B34" s="87" t="s">
        <v>23</v>
      </c>
      <c r="C34" s="452"/>
      <c r="D34" s="501">
        <f>IF('Internal Data'!D34:E34&gt;0,1/2*14.3998434/'Internal Data'!D34:E34,"")</f>
        <v>2.9049512608432517E-3</v>
      </c>
      <c r="E34" s="502"/>
      <c r="F34" s="503">
        <f>IF('Internal Data'!F34:G34&gt;0,1/2*14.3998434/'Internal Data'!F34:G34,"")</f>
        <v>3.0703290831556502E-2</v>
      </c>
      <c r="G34" s="502"/>
      <c r="H34" s="213">
        <f>IF('Internal Data'!H34&gt;0,3/4*14.3998434/'Internal Data'!H34,"")</f>
        <v>6.2973076093294458E-2</v>
      </c>
      <c r="I34" s="213">
        <f>IF('Internal Data'!I34&gt;0,3/4*14.3998434/'Internal Data'!I34,"")</f>
        <v>6.3454069036427738E-2</v>
      </c>
      <c r="J34" s="214">
        <f>IF('Internal Data'!J34&gt;0,1/2*14.3998434/'Internal Data'!J34,"")</f>
        <v>0.32726916818181817</v>
      </c>
      <c r="K34" s="213">
        <f>IF('Internal Data'!K34&gt;0,3/4*14.3998434/'Internal Data'!K34,"")</f>
        <v>0.71522400993377477</v>
      </c>
      <c r="L34" s="183" t="str">
        <f>IF('Internal Data'!L34&gt;0,3/4*14.3998434/'Internal Data'!L34,"")</f>
        <v/>
      </c>
    </row>
    <row r="35" spans="1:15" s="116" customFormat="1" ht="15" customHeight="1" thickTop="1">
      <c r="A35" s="138">
        <v>1</v>
      </c>
      <c r="B35" s="139" t="s">
        <v>15</v>
      </c>
      <c r="C35" s="140"/>
      <c r="D35" s="487">
        <f>IF('Internal Data'!D35:E35&gt;0,1/2*14.3998434/'Internal Data'!D35:E35,"")</f>
        <v>0.52946674030256413</v>
      </c>
      <c r="E35" s="488"/>
      <c r="F35" s="489" t="str">
        <f>IF('Internal Data'!F35:G35&gt;0,1/2*14.3998434/'Internal Data'!F35:G35,"")</f>
        <v/>
      </c>
      <c r="G35" s="488"/>
      <c r="H35" s="200" t="str">
        <f>IF('Internal Data'!H35&gt;0,3/4*14.3998434/'Internal Data'!H35,"")</f>
        <v/>
      </c>
      <c r="I35" s="200" t="str">
        <f>IF('Internal Data'!I35&gt;0,3/4*14.3998434/'Internal Data'!I35,"")</f>
        <v/>
      </c>
      <c r="J35" s="201" t="str">
        <f>IF('Internal Data'!J35&gt;0,1/2*14.3998434/'Internal Data'!J35,"")</f>
        <v/>
      </c>
      <c r="K35" s="200" t="str">
        <f>IF('Internal Data'!K35&gt;0,3/4*14.3998434/'Internal Data'!K35,"")</f>
        <v/>
      </c>
      <c r="L35" s="202" t="str">
        <f>IF('Internal Data'!L35&gt;0,3/4*14.3998434/'Internal Data'!L35,"")</f>
        <v/>
      </c>
      <c r="M35" s="115"/>
    </row>
    <row r="36" spans="1:15" s="116" customFormat="1" ht="15" customHeight="1">
      <c r="A36" s="146">
        <v>7</v>
      </c>
      <c r="B36" s="147" t="s">
        <v>20</v>
      </c>
      <c r="C36" s="148"/>
      <c r="D36" s="485">
        <f>IF('Internal Data'!D36:E36&gt;0,1/2*14.3998434/'Internal Data'!D36:E36,"")</f>
        <v>1.7865810669975186E-2</v>
      </c>
      <c r="E36" s="486"/>
      <c r="F36" s="500">
        <f>IF('Internal Data'!F36:G36&gt;0,1/2*14.3998434/'Internal Data'!F36:G36,"")</f>
        <v>0.35415256763403841</v>
      </c>
      <c r="G36" s="486"/>
      <c r="H36" s="203">
        <f>IF('Internal Data'!H36&gt;0,3/4*14.3998434/'Internal Data'!H36,"")</f>
        <v>0.74306994084273292</v>
      </c>
      <c r="I36" s="203" t="str">
        <f>IF('Internal Data'!I36&gt;0,3/4*14.3998434/'Internal Data'!I36,"")</f>
        <v/>
      </c>
      <c r="J36" s="204" t="str">
        <f>IF('Internal Data'!J36&gt;0,1/2*14.3998434/'Internal Data'!J36,"")</f>
        <v/>
      </c>
      <c r="K36" s="203" t="str">
        <f>IF('Internal Data'!K36&gt;0,3/4*14.3998434/'Internal Data'!K36,"")</f>
        <v/>
      </c>
      <c r="L36" s="205" t="str">
        <f>IF('Internal Data'!L36&gt;0,3/4*14.3998434/'Internal Data'!L36,"")</f>
        <v/>
      </c>
      <c r="M36" s="115"/>
    </row>
    <row r="37" spans="1:15" ht="15" customHeight="1">
      <c r="A37" s="429" t="s">
        <v>346</v>
      </c>
      <c r="B37" s="95" t="s">
        <v>15</v>
      </c>
      <c r="C37" s="448" t="s">
        <v>317</v>
      </c>
      <c r="D37" s="507" t="str">
        <f>IF('Internal Data'!D37:E37&gt;0,1/2*14.3998434/'Internal Data'!D37:E37,"")</f>
        <v/>
      </c>
      <c r="E37" s="508"/>
      <c r="F37" s="509" t="str">
        <f>IF('Internal Data'!F37:G37&gt;0,1/2*14.3998434/'Internal Data'!F37:G37,"")</f>
        <v/>
      </c>
      <c r="G37" s="508"/>
      <c r="H37" s="215" t="str">
        <f>IF('Internal Data'!H37&gt;0,3/4*14.3998434/'Internal Data'!H37,"")</f>
        <v/>
      </c>
      <c r="I37" s="215" t="str">
        <f>IF('Internal Data'!I37&gt;0,3/4*14.3998434/'Internal Data'!I37,"")</f>
        <v/>
      </c>
      <c r="J37" s="216" t="str">
        <f>IF('Internal Data'!J37&gt;0,1/2*14.3998434/'Internal Data'!J37,"")</f>
        <v/>
      </c>
      <c r="K37" s="215" t="str">
        <f>IF('Internal Data'!K37&gt;0,3/4*14.3998434/'Internal Data'!K37,"")</f>
        <v/>
      </c>
      <c r="L37" s="180" t="str">
        <f>IF('Internal Data'!L37&gt;0,3/4*14.3998434/'Internal Data'!L37,"")</f>
        <v/>
      </c>
    </row>
    <row r="38" spans="1:15" ht="15" customHeight="1" thickBot="1">
      <c r="A38" s="451"/>
      <c r="B38" s="87" t="s">
        <v>20</v>
      </c>
      <c r="C38" s="452"/>
      <c r="D38" s="510">
        <f>IF('Internal Data'!D38:E38&gt;0,1/2*14.3998434/'Internal Data'!D38:E38,"")</f>
        <v>1.7752161595739436E-2</v>
      </c>
      <c r="E38" s="511"/>
      <c r="F38" s="512">
        <f>IF('Internal Data'!F38:G38&gt;0,1/2*14.3998434/'Internal Data'!F38:G38,"")</f>
        <v>0.26666376666666669</v>
      </c>
      <c r="G38" s="511"/>
      <c r="H38" s="181" t="str">
        <f>IF('Internal Data'!H38&gt;0,3/4*14.3998434/'Internal Data'!H38,"")</f>
        <v/>
      </c>
      <c r="I38" s="181" t="str">
        <f>IF('Internal Data'!I38&gt;0,3/4*14.3998434/'Internal Data'!I38,"")</f>
        <v/>
      </c>
      <c r="J38" s="182" t="str">
        <f>IF('Internal Data'!J38&gt;0,1/2*14.3998434/'Internal Data'!J38,"")</f>
        <v/>
      </c>
      <c r="K38" s="181" t="str">
        <f>IF('Internal Data'!K38&gt;0,3/4*14.3998434/'Internal Data'!K38,"")</f>
        <v/>
      </c>
      <c r="L38" s="183" t="str">
        <f>IF('Internal Data'!L38&gt;0,3/4*14.3998434/'Internal Data'!L38,"")</f>
        <v/>
      </c>
      <c r="O38" s="159"/>
    </row>
    <row r="39" spans="1:15" s="116" customFormat="1" ht="15" customHeight="1" thickTop="1">
      <c r="A39" s="146">
        <v>8</v>
      </c>
      <c r="B39" s="147" t="s">
        <v>168</v>
      </c>
      <c r="C39" s="148"/>
      <c r="D39" s="485">
        <f>IF('Internal Data'!D39:E39&gt;0,1/2*14.3998434/'Internal Data'!D39:E39,"")</f>
        <v>1.338275408921933E-2</v>
      </c>
      <c r="E39" s="486"/>
      <c r="F39" s="500">
        <f>IF('Internal Data'!F39:G39&gt;0,1/2*14.3998434/'Internal Data'!F39:G39,"")</f>
        <v>0.2528062394662921</v>
      </c>
      <c r="G39" s="486"/>
      <c r="H39" s="203">
        <f>IF('Internal Data'!H39&gt;0,3/4*14.3998434/'Internal Data'!H39,"")</f>
        <v>0.79294291850220266</v>
      </c>
      <c r="I39" s="203">
        <f>IF('Internal Data'!I39&gt;0,3/4*14.3998434/'Internal Data'!I39,"")</f>
        <v>0.79305587947181899</v>
      </c>
      <c r="J39" s="204" t="str">
        <f>IF('Internal Data'!J39&gt;0,1/2*14.3998434/'Internal Data'!J39,"")</f>
        <v/>
      </c>
      <c r="K39" s="203" t="str">
        <f>IF('Internal Data'!K39&gt;0,3/4*14.3998434/'Internal Data'!K39,"")</f>
        <v/>
      </c>
      <c r="L39" s="205" t="str">
        <f>IF('Internal Data'!L39&gt;0,3/4*14.3998434/'Internal Data'!L39,"")</f>
        <v/>
      </c>
      <c r="M39" s="115"/>
    </row>
    <row r="40" spans="1:15" s="116" customFormat="1" ht="15" customHeight="1">
      <c r="A40" s="138">
        <v>16</v>
      </c>
      <c r="B40" s="139" t="s">
        <v>23</v>
      </c>
      <c r="C40" s="140"/>
      <c r="D40" s="487">
        <f>IF('Internal Data'!D40:E40&gt;0,1/2*14.3998434/'Internal Data'!D40:E40,"")</f>
        <v>2.9078843699515346E-3</v>
      </c>
      <c r="E40" s="488"/>
      <c r="F40" s="489">
        <f>IF('Internal Data'!F40:G40&gt;0,1/2*14.3998434/'Internal Data'!F40:G40,"")</f>
        <v>3.103414525862069E-2</v>
      </c>
      <c r="G40" s="488"/>
      <c r="H40" s="200">
        <f>IF('Internal Data'!H40&gt;0,3/4*14.3998434/'Internal Data'!H40,"")</f>
        <v>6.3528720882352938E-2</v>
      </c>
      <c r="I40" s="200">
        <f>IF('Internal Data'!I40&gt;0,3/4*14.3998434/'Internal Data'!I40,"")</f>
        <v>6.4285015178571422E-2</v>
      </c>
      <c r="J40" s="201">
        <f>IF('Internal Data'!J40&gt;0,1/2*14.3998434/'Internal Data'!J40,"")</f>
        <v>0.35643176732673271</v>
      </c>
      <c r="K40" s="200">
        <f>IF('Internal Data'!K40&gt;0,3/4*14.3998434/'Internal Data'!K40,"")</f>
        <v>1.0424597055984557</v>
      </c>
      <c r="L40" s="202">
        <f>IF('Internal Data'!L40&gt;0,3/4*14.3998434/'Internal Data'!L40,"")</f>
        <v>1.0424586993641898</v>
      </c>
      <c r="M40" s="115"/>
    </row>
    <row r="41" spans="1:15" ht="15" customHeight="1">
      <c r="A41" s="439" t="s">
        <v>318</v>
      </c>
      <c r="B41" s="95" t="s">
        <v>168</v>
      </c>
      <c r="C41" s="448" t="s">
        <v>319</v>
      </c>
      <c r="D41" s="491">
        <f>IF('Internal Data'!D41:E41&gt;0,1/2*14.3998434/'Internal Data'!D41:E41,"")</f>
        <v>1.334307209043736E-2</v>
      </c>
      <c r="E41" s="492"/>
      <c r="F41" s="493">
        <f>IF('Internal Data'!F41:G41&gt;0,1/2*14.3998434/'Internal Data'!F41:G41,"")</f>
        <v>0.44171298773006135</v>
      </c>
      <c r="G41" s="492"/>
      <c r="H41" s="178">
        <f>IF('Internal Data'!H41&gt;0,3/4*14.3998434/'Internal Data'!H41,"")</f>
        <v>0.81202124436090217</v>
      </c>
      <c r="I41" s="178" t="str">
        <f>IF('Internal Data'!I41&gt;0,3/4*14.3998434/'Internal Data'!I41,"")</f>
        <v/>
      </c>
      <c r="J41" s="179" t="str">
        <f>IF('Internal Data'!J41&gt;0,1/2*14.3998434/'Internal Data'!J41,"")</f>
        <v/>
      </c>
      <c r="K41" s="178" t="str">
        <f>IF('Internal Data'!K41&gt;0,3/4*14.3998434/'Internal Data'!K41,"")</f>
        <v/>
      </c>
      <c r="L41" s="180" t="str">
        <f>IF('Internal Data'!L41&gt;0,3/4*14.3998434/'Internal Data'!L41,"")</f>
        <v/>
      </c>
    </row>
    <row r="42" spans="1:15" ht="15" customHeight="1" thickBot="1">
      <c r="A42" s="451"/>
      <c r="B42" s="87" t="s">
        <v>23</v>
      </c>
      <c r="C42" s="452"/>
      <c r="D42" s="491">
        <f>IF('Internal Data'!D42:E42&gt;0,1/2*14.3998434/'Internal Data'!D42:E42,"")</f>
        <v>2.9031942338709677E-3</v>
      </c>
      <c r="E42" s="492"/>
      <c r="F42" s="493">
        <f>IF('Internal Data'!F42:G42&gt;0,1/2*14.3998434/'Internal Data'!F42:G42,"")</f>
        <v>3.0508142796610169E-2</v>
      </c>
      <c r="G42" s="492"/>
      <c r="H42" s="178">
        <f>IF('Internal Data'!H42&gt;0,3/4*14.3998434/'Internal Data'!H42,"")</f>
        <v>5.9999347499999994E-2</v>
      </c>
      <c r="I42" s="213">
        <f>IF('Internal Data'!I42&gt;0,3/4*14.3998434/'Internal Data'!I42,"")</f>
        <v>6.1784225114416468E-2</v>
      </c>
      <c r="J42" s="214">
        <f>IF('Internal Data'!J42&gt;0,1/2*14.3998434/'Internal Data'!J42,"")</f>
        <v>0.44999510625</v>
      </c>
      <c r="K42" s="213" t="str">
        <f>IF('Internal Data'!K42&gt;0,3/4*14.3998434/'Internal Data'!K42,"")</f>
        <v/>
      </c>
      <c r="L42" s="183" t="str">
        <f>IF('Internal Data'!L42&gt;0,3/4*14.3998434/'Internal Data'!L42,"")</f>
        <v/>
      </c>
    </row>
    <row r="43" spans="1:15" s="116" customFormat="1" ht="15" customHeight="1" thickTop="1">
      <c r="A43" s="146">
        <v>6</v>
      </c>
      <c r="B43" s="147" t="s">
        <v>19</v>
      </c>
      <c r="C43" s="148"/>
      <c r="D43" s="485">
        <f>IF('Internal Data'!D43:E43&gt;0,1/2*14.3998434/'Internal Data'!D43:E43,"")</f>
        <v>2.4999728124999999E-2</v>
      </c>
      <c r="E43" s="486"/>
      <c r="F43" s="500">
        <f>IF('Internal Data'!F43:G43&gt;0,1/2*14.3998434/'Internal Data'!F43:G43,"")</f>
        <v>0.43399166365280289</v>
      </c>
      <c r="G43" s="486"/>
      <c r="H43" s="203">
        <f>IF('Internal Data'!H43&gt;0,3/4*14.3998434/'Internal Data'!H43,"")</f>
        <v>0.95911144019253469</v>
      </c>
      <c r="I43" s="203" t="str">
        <f>IF('Internal Data'!I43&gt;0,3/4*14.3998434/'Internal Data'!I43,"")</f>
        <v/>
      </c>
      <c r="J43" s="204" t="str">
        <f>IF('Internal Data'!J43&gt;0,1/2*14.3998434/'Internal Data'!J43,"")</f>
        <v/>
      </c>
      <c r="K43" s="203" t="str">
        <f>IF('Internal Data'!K43&gt;0,3/4*14.3998434/'Internal Data'!K43,"")</f>
        <v/>
      </c>
      <c r="L43" s="205" t="str">
        <f>IF('Internal Data'!L43&gt;0,3/4*14.3998434/'Internal Data'!L43,"")</f>
        <v/>
      </c>
      <c r="M43" s="115"/>
    </row>
    <row r="44" spans="1:15" s="116" customFormat="1" ht="15" customHeight="1">
      <c r="A44" s="146">
        <v>8</v>
      </c>
      <c r="B44" s="147" t="s">
        <v>168</v>
      </c>
      <c r="C44" s="148"/>
      <c r="D44" s="485">
        <f>IF('Internal Data'!D44:E44&gt;0,1/2*14.3998434/'Internal Data'!D44:E44,"")</f>
        <v>1.338275408921933E-2</v>
      </c>
      <c r="E44" s="486"/>
      <c r="F44" s="500">
        <f>IF('Internal Data'!F44:G44&gt;0,1/2*14.3998434/'Internal Data'!F44:G44,"")</f>
        <v>0.2528062394662921</v>
      </c>
      <c r="G44" s="486"/>
      <c r="H44" s="203">
        <f>IF('Internal Data'!H44&gt;0,3/4*14.3998434/'Internal Data'!H44,"")</f>
        <v>0.79294291850220266</v>
      </c>
      <c r="I44" s="203">
        <f>IF('Internal Data'!I44&gt;0,3/4*14.3998434/'Internal Data'!I44,"")</f>
        <v>0.79305587947181899</v>
      </c>
      <c r="J44" s="204" t="str">
        <f>IF('Internal Data'!J44&gt;0,1/2*14.3998434/'Internal Data'!J44,"")</f>
        <v/>
      </c>
      <c r="K44" s="203" t="str">
        <f>IF('Internal Data'!K44&gt;0,3/4*14.3998434/'Internal Data'!K44,"")</f>
        <v/>
      </c>
      <c r="L44" s="205" t="str">
        <f>IF('Internal Data'!L44&gt;0,3/4*14.3998434/'Internal Data'!L44,"")</f>
        <v/>
      </c>
      <c r="M44" s="115"/>
    </row>
    <row r="45" spans="1:15" s="159" customFormat="1" ht="15" customHeight="1">
      <c r="A45" s="429" t="s">
        <v>347</v>
      </c>
      <c r="B45" s="95" t="s">
        <v>19</v>
      </c>
      <c r="C45" s="448" t="s">
        <v>321</v>
      </c>
      <c r="D45" s="491">
        <f>IF('Internal Data'!D45:E45&gt;0,1/2*14.3998434/'Internal Data'!D45:E45,"")</f>
        <v>2.4201417478991596E-2</v>
      </c>
      <c r="E45" s="492"/>
      <c r="F45" s="493" t="str">
        <f>IF('Internal Data'!F45:G45&gt;0,1/2*14.3998434/'Internal Data'!F45:G45,"")</f>
        <v/>
      </c>
      <c r="G45" s="492"/>
      <c r="H45" s="178" t="str">
        <f>IF('Internal Data'!H45&gt;0,3/4*14.3998434/'Internal Data'!H45,"")</f>
        <v/>
      </c>
      <c r="I45" s="178" t="str">
        <f>IF('Internal Data'!I45&gt;0,3/4*14.3998434/'Internal Data'!I45,"")</f>
        <v/>
      </c>
      <c r="J45" s="179" t="str">
        <f>IF('Internal Data'!J45&gt;0,1/2*14.3998434/'Internal Data'!J45,"")</f>
        <v/>
      </c>
      <c r="K45" s="178" t="str">
        <f>IF('Internal Data'!K45&gt;0,3/4*14.3998434/'Internal Data'!K45,"")</f>
        <v/>
      </c>
      <c r="L45" s="180" t="str">
        <f>IF('Internal Data'!L45&gt;0,3/4*14.3998434/'Internal Data'!L45,"")</f>
        <v/>
      </c>
      <c r="M45" s="158"/>
      <c r="O45" s="116"/>
    </row>
    <row r="46" spans="1:15" s="159" customFormat="1" ht="15" customHeight="1" thickBot="1">
      <c r="A46" s="451"/>
      <c r="B46" s="87" t="s">
        <v>168</v>
      </c>
      <c r="C46" s="452"/>
      <c r="D46" s="501">
        <f>IF('Internal Data'!D46:E46&gt;0,1/2*14.3998434/'Internal Data'!D46:E46,"")</f>
        <v>1.3313464681952663E-2</v>
      </c>
      <c r="E46" s="502"/>
      <c r="F46" s="503">
        <f>IF('Internal Data'!F46:G46&gt;0,1/2*14.3998434/'Internal Data'!F46:G46,"")</f>
        <v>0.36922675384615383</v>
      </c>
      <c r="G46" s="502"/>
      <c r="H46" s="213">
        <f>IF('Internal Data'!H46&gt;0,3/4*14.3998434/'Internal Data'!H46,"")</f>
        <v>0.59667859392265188</v>
      </c>
      <c r="I46" s="213" t="str">
        <f>IF('Internal Data'!I46&gt;0,3/4*14.3998434/'Internal Data'!I46,"")</f>
        <v/>
      </c>
      <c r="J46" s="214" t="str">
        <f>IF('Internal Data'!J46&gt;0,1/2*14.3998434/'Internal Data'!J46,"")</f>
        <v/>
      </c>
      <c r="K46" s="213" t="str">
        <f>IF('Internal Data'!K46&gt;0,3/4*14.3998434/'Internal Data'!K46,"")</f>
        <v/>
      </c>
      <c r="L46" s="183" t="str">
        <f>IF('Internal Data'!L46&gt;0,3/4*14.3998434/'Internal Data'!L46,"")</f>
        <v/>
      </c>
      <c r="M46" s="158"/>
      <c r="O46" s="116"/>
    </row>
    <row r="47" spans="1:15" s="116" customFormat="1" ht="15" customHeight="1" thickTop="1">
      <c r="A47" s="123">
        <v>7</v>
      </c>
      <c r="B47" s="124" t="s">
        <v>20</v>
      </c>
      <c r="C47" s="125"/>
      <c r="D47" s="504">
        <f>IF('Internal Data'!D47:E47&gt;0,1/2*14.3998434/'Internal Data'!D47:E47,"")</f>
        <v>1.7865810669975186E-2</v>
      </c>
      <c r="E47" s="505"/>
      <c r="F47" s="506">
        <f>IF('Internal Data'!F47:G47&gt;0,1/2*14.3998434/'Internal Data'!F47:G47,"")</f>
        <v>0.35415256763403841</v>
      </c>
      <c r="G47" s="505"/>
      <c r="H47" s="186">
        <f>IF('Internal Data'!H47&gt;0,3/4*14.3998434/'Internal Data'!H47,"")</f>
        <v>0.74306994084273292</v>
      </c>
      <c r="I47" s="186" t="str">
        <f>IF('Internal Data'!I47&gt;0,3/4*14.3998434/'Internal Data'!I47,"")</f>
        <v/>
      </c>
      <c r="J47" s="187" t="str">
        <f>IF('Internal Data'!J47&gt;0,1/2*14.3998434/'Internal Data'!J47,"")</f>
        <v/>
      </c>
      <c r="K47" s="186" t="str">
        <f>IF('Internal Data'!K47&gt;0,3/4*14.3998434/'Internal Data'!K47,"")</f>
        <v/>
      </c>
      <c r="L47" s="188" t="str">
        <f>IF('Internal Data'!L47&gt;0,3/4*14.3998434/'Internal Data'!L47,"")</f>
        <v/>
      </c>
      <c r="M47" s="115"/>
    </row>
    <row r="48" spans="1:15" s="116" customFormat="1" ht="15" customHeight="1">
      <c r="A48" s="146">
        <v>7</v>
      </c>
      <c r="B48" s="147" t="s">
        <v>20</v>
      </c>
      <c r="C48" s="148"/>
      <c r="D48" s="485">
        <f>IF('Internal Data'!D48:E48&gt;0,1/2*14.3998434/'Internal Data'!D48:E48,"")</f>
        <v>1.7865810669975186E-2</v>
      </c>
      <c r="E48" s="486"/>
      <c r="F48" s="500">
        <f>IF('Internal Data'!F48:G48&gt;0,1/2*14.3998434/'Internal Data'!F48:G48,"")</f>
        <v>0.35415256763403841</v>
      </c>
      <c r="G48" s="486"/>
      <c r="H48" s="203">
        <f>IF('Internal Data'!H48&gt;0,3/4*14.3998434/'Internal Data'!H48,"")</f>
        <v>0.74306994084273292</v>
      </c>
      <c r="I48" s="203" t="str">
        <f>IF('Internal Data'!I48&gt;0,3/4*14.3998434/'Internal Data'!I48,"")</f>
        <v/>
      </c>
      <c r="J48" s="204" t="str">
        <f>IF('Internal Data'!J48&gt;0,1/2*14.3998434/'Internal Data'!J48,"")</f>
        <v/>
      </c>
      <c r="K48" s="203" t="str">
        <f>IF('Internal Data'!K48&gt;0,3/4*14.3998434/'Internal Data'!K48,"")</f>
        <v/>
      </c>
      <c r="L48" s="205" t="str">
        <f>IF('Internal Data'!L48&gt;0,3/4*14.3998434/'Internal Data'!L48,"")</f>
        <v/>
      </c>
      <c r="M48" s="115"/>
    </row>
    <row r="49" spans="1:15" s="116" customFormat="1" ht="15" customHeight="1">
      <c r="A49" s="146">
        <v>8</v>
      </c>
      <c r="B49" s="147" t="s">
        <v>168</v>
      </c>
      <c r="C49" s="148"/>
      <c r="D49" s="485">
        <f>IF('Internal Data'!D49:E49&gt;0,1/2*14.3998434/'Internal Data'!D49:E49,"")</f>
        <v>1.338275408921933E-2</v>
      </c>
      <c r="E49" s="486"/>
      <c r="F49" s="500">
        <f>IF('Internal Data'!F49:G49&gt;0,1/2*14.3998434/'Internal Data'!F49:G49,"")</f>
        <v>0.2528062394662921</v>
      </c>
      <c r="G49" s="486"/>
      <c r="H49" s="203">
        <f>IF('Internal Data'!H49&gt;0,3/4*14.3998434/'Internal Data'!H49,"")</f>
        <v>0.79294291850220266</v>
      </c>
      <c r="I49" s="203">
        <f>IF('Internal Data'!I49&gt;0,3/4*14.3998434/'Internal Data'!I49,"")</f>
        <v>0.79305587947181899</v>
      </c>
      <c r="J49" s="204" t="str">
        <f>IF('Internal Data'!J49&gt;0,1/2*14.3998434/'Internal Data'!J49,"")</f>
        <v/>
      </c>
      <c r="K49" s="203" t="str">
        <f>IF('Internal Data'!K49&gt;0,3/4*14.3998434/'Internal Data'!K49,"")</f>
        <v/>
      </c>
      <c r="L49" s="205" t="str">
        <f>IF('Internal Data'!L49&gt;0,3/4*14.3998434/'Internal Data'!L49,"")</f>
        <v/>
      </c>
      <c r="M49" s="115"/>
    </row>
    <row r="50" spans="1:15">
      <c r="A50" s="429" t="s">
        <v>348</v>
      </c>
      <c r="B50" s="95" t="s">
        <v>20</v>
      </c>
      <c r="C50" s="448" t="s">
        <v>323</v>
      </c>
      <c r="D50" s="491">
        <f>IF('Internal Data'!D50:E50&gt;0,1/2*14.3998434/'Internal Data'!D50:E50,"")</f>
        <v>1.7616642280401273E-2</v>
      </c>
      <c r="E50" s="492"/>
      <c r="F50" s="493">
        <f>IF('Internal Data'!F50:G50&gt;0,1/2*14.3998434/'Internal Data'!F50:G50,"")</f>
        <v>0.26666376666666669</v>
      </c>
      <c r="G50" s="492"/>
      <c r="H50" s="178" t="str">
        <f>IF('Internal Data'!H50&gt;0,3/4*14.3998434/'Internal Data'!H50,"")</f>
        <v/>
      </c>
      <c r="I50" s="178" t="str">
        <f>IF('Internal Data'!I50&gt;0,3/4*14.3998434/'Internal Data'!I50,"")</f>
        <v/>
      </c>
      <c r="J50" s="179" t="str">
        <f>IF('Internal Data'!J50&gt;0,1/2*14.3998434/'Internal Data'!J50,"")</f>
        <v/>
      </c>
      <c r="K50" s="178" t="str">
        <f>IF('Internal Data'!K50&gt;0,3/4*14.3998434/'Internal Data'!K50,"")</f>
        <v/>
      </c>
      <c r="L50" s="180" t="str">
        <f>IF('Internal Data'!L50&gt;0,3/4*14.3998434/'Internal Data'!L50,"")</f>
        <v/>
      </c>
      <c r="O50" s="116"/>
    </row>
    <row r="51" spans="1:15">
      <c r="A51" s="497"/>
      <c r="B51" s="161" t="s">
        <v>20</v>
      </c>
      <c r="C51" s="449"/>
      <c r="D51" s="491">
        <f>IF('Internal Data'!D51:E51&gt;0,1/2*14.3998434/'Internal Data'!D51:E51,"")</f>
        <v>1.7445897019626847E-2</v>
      </c>
      <c r="E51" s="492"/>
      <c r="F51" s="498" t="str">
        <f>IF('Internal Data'!F51:G51&gt;0,1/2*14.3998434/'Internal Data'!F51:G51,"")</f>
        <v/>
      </c>
      <c r="G51" s="499"/>
      <c r="H51" s="191" t="str">
        <f>IF('Internal Data'!H51&gt;0,3/4*14.3998434/'Internal Data'!H51,"")</f>
        <v/>
      </c>
      <c r="I51" s="191" t="str">
        <f>IF('Internal Data'!I51&gt;0,3/4*14.3998434/'Internal Data'!I51,"")</f>
        <v/>
      </c>
      <c r="J51" s="192" t="str">
        <f>IF('Internal Data'!J51&gt;0,1/2*14.3998434/'Internal Data'!J51,"")</f>
        <v/>
      </c>
      <c r="K51" s="191" t="str">
        <f>IF('Internal Data'!K51&gt;0,3/4*14.3998434/'Internal Data'!K51,"")</f>
        <v/>
      </c>
      <c r="L51" s="193" t="str">
        <f>IF('Internal Data'!L51&gt;0,3/4*14.3998434/'Internal Data'!L51,"")</f>
        <v/>
      </c>
      <c r="O51" s="116"/>
    </row>
    <row r="52" spans="1:15" ht="15.75" thickBot="1">
      <c r="A52" s="451"/>
      <c r="B52" s="87" t="s">
        <v>168</v>
      </c>
      <c r="C52" s="452"/>
      <c r="D52" s="501">
        <f>IF('Internal Data'!D52:E52&gt;0,1/2*14.3998434/'Internal Data'!D52:E52,"")</f>
        <v>1.338275408921933E-2</v>
      </c>
      <c r="E52" s="502"/>
      <c r="F52" s="503">
        <f>IF('Internal Data'!F52:G52&gt;0,1/2*14.3998434/'Internal Data'!F52:G52,"")</f>
        <v>0.18461337692307692</v>
      </c>
      <c r="G52" s="502"/>
      <c r="H52" s="213">
        <f>IF('Internal Data'!H52&gt;0,3/4*14.3998434/'Internal Data'!H52,"")</f>
        <v>0.30422204366197181</v>
      </c>
      <c r="I52" s="213">
        <f>IF('Internal Data'!I52&gt;0,3/4*14.3998434/'Internal Data'!I52,"")</f>
        <v>0.38571009107142856</v>
      </c>
      <c r="J52" s="214" t="str">
        <f>IF('Internal Data'!J52&gt;0,1/2*14.3998434/'Internal Data'!J52,"")</f>
        <v/>
      </c>
      <c r="K52" s="213" t="str">
        <f>IF('Internal Data'!K52&gt;0,3/4*14.3998434/'Internal Data'!K52,"")</f>
        <v/>
      </c>
      <c r="L52" s="183" t="str">
        <f>IF('Internal Data'!L52&gt;0,3/4*14.3998434/'Internal Data'!L52,"")</f>
        <v/>
      </c>
      <c r="O52" s="116"/>
    </row>
    <row r="53" spans="1:15" s="116" customFormat="1" ht="15" customHeight="1" thickTop="1">
      <c r="A53" s="146">
        <v>1</v>
      </c>
      <c r="B53" s="147" t="s">
        <v>15</v>
      </c>
      <c r="C53" s="148"/>
      <c r="D53" s="485">
        <f>IF('Internal Data'!D53:E53&gt;0,1/2*14.3998434/'Internal Data'!D53:E53,"")</f>
        <v>0.52946674030256413</v>
      </c>
      <c r="E53" s="486"/>
      <c r="F53" s="500" t="str">
        <f>IF('Internal Data'!F53:G53&gt;0,1/2*14.3998434/'Internal Data'!F53:G53,"")</f>
        <v/>
      </c>
      <c r="G53" s="486"/>
      <c r="H53" s="203" t="str">
        <f>IF('Internal Data'!H53&gt;0,3/4*14.3998434/'Internal Data'!H53,"")</f>
        <v/>
      </c>
      <c r="I53" s="203" t="str">
        <f>IF('Internal Data'!I53&gt;0,3/4*14.3998434/'Internal Data'!I53,"")</f>
        <v/>
      </c>
      <c r="J53" s="204" t="str">
        <f>IF('Internal Data'!J53&gt;0,1/2*14.3998434/'Internal Data'!J53,"")</f>
        <v/>
      </c>
      <c r="K53" s="203" t="str">
        <f>IF('Internal Data'!K53&gt;0,3/4*14.3998434/'Internal Data'!K53,"")</f>
        <v/>
      </c>
      <c r="L53" s="205" t="str">
        <f>IF('Internal Data'!L53&gt;0,3/4*14.3998434/'Internal Data'!L53,"")</f>
        <v/>
      </c>
      <c r="M53" s="115"/>
    </row>
    <row r="54" spans="1:15" s="116" customFormat="1" ht="15" customHeight="1">
      <c r="A54" s="146">
        <v>6</v>
      </c>
      <c r="B54" s="147" t="s">
        <v>19</v>
      </c>
      <c r="C54" s="148"/>
      <c r="D54" s="485">
        <f>IF('Internal Data'!D54:E54&gt;0,1/2*14.3998434/'Internal Data'!D54:E54,"")</f>
        <v>2.4999728124999999E-2</v>
      </c>
      <c r="E54" s="486"/>
      <c r="F54" s="500">
        <f>IF('Internal Data'!F54:G54&gt;0,1/2*14.3998434/'Internal Data'!F54:G54,"")</f>
        <v>0.43399166365280289</v>
      </c>
      <c r="G54" s="486"/>
      <c r="H54" s="203">
        <f>IF('Internal Data'!H54&gt;0,3/4*14.3998434/'Internal Data'!H54,"")</f>
        <v>0.95911144019253469</v>
      </c>
      <c r="I54" s="203" t="str">
        <f>IF('Internal Data'!I54&gt;0,3/4*14.3998434/'Internal Data'!I54,"")</f>
        <v/>
      </c>
      <c r="J54" s="204" t="str">
        <f>IF('Internal Data'!J54&gt;0,1/2*14.3998434/'Internal Data'!J54,"")</f>
        <v/>
      </c>
      <c r="K54" s="203" t="str">
        <f>IF('Internal Data'!K54&gt;0,3/4*14.3998434/'Internal Data'!K54,"")</f>
        <v/>
      </c>
      <c r="L54" s="205" t="str">
        <f>IF('Internal Data'!L54&gt;0,3/4*14.3998434/'Internal Data'!L54,"")</f>
        <v/>
      </c>
      <c r="M54" s="115"/>
    </row>
    <row r="55" spans="1:15" ht="15" customHeight="1">
      <c r="A55" s="429" t="s">
        <v>349</v>
      </c>
      <c r="B55" s="95" t="s">
        <v>15</v>
      </c>
      <c r="C55" s="448" t="s">
        <v>325</v>
      </c>
      <c r="D55" s="491" t="str">
        <f>IF('Internal Data'!D55:E55&gt;0,1/2*14.3998434/'Internal Data'!D55:E55,"")</f>
        <v/>
      </c>
      <c r="E55" s="492"/>
      <c r="F55" s="493" t="str">
        <f>IF('Internal Data'!F55:G55&gt;0,1/2*14.3998434/'Internal Data'!F55:G55,"")</f>
        <v/>
      </c>
      <c r="G55" s="492"/>
      <c r="H55" s="178" t="str">
        <f>IF('Internal Data'!H55&gt;0,3/4*14.3998434/'Internal Data'!H55,"")</f>
        <v/>
      </c>
      <c r="I55" s="178" t="str">
        <f>IF('Internal Data'!I55&gt;0,3/4*14.3998434/'Internal Data'!I55,"")</f>
        <v/>
      </c>
      <c r="J55" s="179" t="str">
        <f>IF('Internal Data'!J55&gt;0,1/2*14.3998434/'Internal Data'!J55,"")</f>
        <v/>
      </c>
      <c r="K55" s="178" t="str">
        <f>IF('Internal Data'!K55&gt;0,3/4*14.3998434/'Internal Data'!K55,"")</f>
        <v/>
      </c>
      <c r="L55" s="180" t="str">
        <f>IF('Internal Data'!L55&gt;0,3/4*14.3998434/'Internal Data'!L55,"")</f>
        <v/>
      </c>
    </row>
    <row r="56" spans="1:15" ht="15" customHeight="1" thickBot="1">
      <c r="A56" s="451"/>
      <c r="B56" s="87" t="s">
        <v>19</v>
      </c>
      <c r="C56" s="452"/>
      <c r="D56" s="501">
        <f>IF('Internal Data'!D56:E56&gt;0,1/2*14.3998434/'Internal Data'!D56:E56,"")</f>
        <v>2.4749653501082807E-2</v>
      </c>
      <c r="E56" s="502"/>
      <c r="F56" s="503" t="str">
        <f>IF('Internal Data'!F56:G56&gt;0,1/2*14.3998434/'Internal Data'!F56:G56,"")</f>
        <v/>
      </c>
      <c r="G56" s="502"/>
      <c r="H56" s="213" t="str">
        <f>IF('Internal Data'!H56&gt;0,3/4*14.3998434/'Internal Data'!H56,"")</f>
        <v/>
      </c>
      <c r="I56" s="213" t="str">
        <f>IF('Internal Data'!I56&gt;0,3/4*14.3998434/'Internal Data'!I56,"")</f>
        <v/>
      </c>
      <c r="J56" s="214" t="str">
        <f>IF('Internal Data'!J56&gt;0,1/2*14.3998434/'Internal Data'!J56,"")</f>
        <v/>
      </c>
      <c r="K56" s="213" t="str">
        <f>IF('Internal Data'!K56&gt;0,3/4*14.3998434/'Internal Data'!K56,"")</f>
        <v/>
      </c>
      <c r="L56" s="183" t="str">
        <f>IF('Internal Data'!L56&gt;0,3/4*14.3998434/'Internal Data'!L56,"")</f>
        <v/>
      </c>
    </row>
    <row r="57" spans="1:15" s="116" customFormat="1" ht="15" customHeight="1" thickTop="1">
      <c r="A57" s="146">
        <v>1</v>
      </c>
      <c r="B57" s="147" t="s">
        <v>15</v>
      </c>
      <c r="C57" s="148"/>
      <c r="D57" s="485">
        <f>IF('Internal Data'!D57:E57&gt;0,1/2*14.3998434/'Internal Data'!D57:E57,"")</f>
        <v>0.52946674030256413</v>
      </c>
      <c r="E57" s="486"/>
      <c r="F57" s="500" t="str">
        <f>IF('Internal Data'!F57:G57&gt;0,1/2*14.3998434/'Internal Data'!F57:G57,"")</f>
        <v/>
      </c>
      <c r="G57" s="486"/>
      <c r="H57" s="203" t="str">
        <f>IF('Internal Data'!H57&gt;0,3/4*14.3998434/'Internal Data'!H57,"")</f>
        <v/>
      </c>
      <c r="I57" s="203" t="str">
        <f>IF('Internal Data'!I57&gt;0,3/4*14.3998434/'Internal Data'!I57,"")</f>
        <v/>
      </c>
      <c r="J57" s="204" t="str">
        <f>IF('Internal Data'!J57&gt;0,1/2*14.3998434/'Internal Data'!J57,"")</f>
        <v/>
      </c>
      <c r="K57" s="203" t="str">
        <f>IF('Internal Data'!K57&gt;0,3/4*14.3998434/'Internal Data'!K57,"")</f>
        <v/>
      </c>
      <c r="L57" s="205" t="str">
        <f>IF('Internal Data'!L57&gt;0,3/4*14.3998434/'Internal Data'!L57,"")</f>
        <v/>
      </c>
      <c r="M57" s="115"/>
    </row>
    <row r="58" spans="1:15" s="116" customFormat="1" ht="15" customHeight="1">
      <c r="A58" s="138">
        <v>14</v>
      </c>
      <c r="B58" s="139" t="s">
        <v>172</v>
      </c>
      <c r="C58" s="140"/>
      <c r="D58" s="487">
        <f>IF('Internal Data'!D58:E58&gt;0,1/2*14.3998434/'Internal Data'!D58:E58,"")</f>
        <v>3.9045128524945768E-3</v>
      </c>
      <c r="E58" s="488"/>
      <c r="F58" s="489">
        <f>IF('Internal Data'!F58:G58&gt;0,1/2*14.3998434/'Internal Data'!F58:G58,"")</f>
        <v>4.6752738311688309E-2</v>
      </c>
      <c r="G58" s="488"/>
      <c r="H58" s="200">
        <f>IF('Internal Data'!H58&gt;0,3/4*14.3998434/'Internal Data'!H58,"")</f>
        <v>0.10384502451923076</v>
      </c>
      <c r="I58" s="200">
        <f>IF('Internal Data'!I58&gt;0,3/4*14.3998434/'Internal Data'!I58,"")</f>
        <v>0.10384502451923076</v>
      </c>
      <c r="J58" s="201">
        <f>IF('Internal Data'!J58&gt;0,1/2*14.3998434/'Internal Data'!J58,"")</f>
        <v>0.53491245913818719</v>
      </c>
      <c r="K58" s="200">
        <f>IF('Internal Data'!K58&gt;0,3/4*14.3998434/'Internal Data'!K58,"")</f>
        <v>1.3248642367410928</v>
      </c>
      <c r="L58" s="202" t="str">
        <f>IF('Internal Data'!L58&gt;0,3/4*14.3998434/'Internal Data'!L58,"")</f>
        <v/>
      </c>
      <c r="M58" s="115"/>
    </row>
    <row r="59" spans="1:15" ht="15" customHeight="1">
      <c r="A59" s="429" t="s">
        <v>350</v>
      </c>
      <c r="B59" s="95" t="s">
        <v>15</v>
      </c>
      <c r="C59" s="448" t="s">
        <v>327</v>
      </c>
      <c r="D59" s="491" t="str">
        <f>IF('Internal Data'!D59:E59&gt;0,1/2*14.3998434/'Internal Data'!D59:E59,"")</f>
        <v/>
      </c>
      <c r="E59" s="492"/>
      <c r="F59" s="493" t="str">
        <f>IF('Internal Data'!F59:G59&gt;0,1/2*14.3998434/'Internal Data'!F59:G59,"")</f>
        <v/>
      </c>
      <c r="G59" s="492"/>
      <c r="H59" s="178" t="str">
        <f>IF('Internal Data'!H59&gt;0,3/4*14.3998434/'Internal Data'!H59,"")</f>
        <v/>
      </c>
      <c r="I59" s="178" t="str">
        <f>IF('Internal Data'!I59&gt;0,3/4*14.3998434/'Internal Data'!I59,"")</f>
        <v/>
      </c>
      <c r="J59" s="179" t="str">
        <f>IF('Internal Data'!J59&gt;0,1/2*14.3998434/'Internal Data'!J59,"")</f>
        <v/>
      </c>
      <c r="K59" s="178" t="str">
        <f>IF('Internal Data'!K59&gt;0,3/4*14.3998434/'Internal Data'!K59,"")</f>
        <v/>
      </c>
      <c r="L59" s="180" t="str">
        <f>IF('Internal Data'!L59&gt;0,3/4*14.3998434/'Internal Data'!L59,"")</f>
        <v/>
      </c>
    </row>
    <row r="60" spans="1:15" ht="15" customHeight="1" thickBot="1">
      <c r="A60" s="451"/>
      <c r="B60" s="87" t="s">
        <v>172</v>
      </c>
      <c r="C60" s="452"/>
      <c r="D60" s="501" t="s">
        <v>133</v>
      </c>
      <c r="E60" s="502"/>
      <c r="F60" s="503">
        <f>IF('Internal Data'!F60:G60&gt;0,1/2*14.3998434/'Internal Data'!F60:G60,"")</f>
        <v>4.8648119594594592E-2</v>
      </c>
      <c r="G60" s="502"/>
      <c r="H60" s="213">
        <f>IF('Internal Data'!H60&gt;0,3/4*14.3998434/'Internal Data'!H60,"")</f>
        <v>0.11020288316326531</v>
      </c>
      <c r="I60" s="213">
        <f>IF('Internal Data'!I60&gt;0,3/4*14.3998434/'Internal Data'!I60,"")</f>
        <v>0.11020288316326531</v>
      </c>
      <c r="J60" s="214" t="str">
        <f>IF('Internal Data'!J60&gt;0,1/2*14.3998434/'Internal Data'!J60,"")</f>
        <v/>
      </c>
      <c r="K60" s="213" t="str">
        <f>IF('Internal Data'!K60&gt;0,3/4*14.3998434/'Internal Data'!K60,"")</f>
        <v/>
      </c>
      <c r="L60" s="183" t="str">
        <f>IF('Internal Data'!L60&gt;0,3/4*14.3998434/'Internal Data'!L60,"")</f>
        <v/>
      </c>
    </row>
    <row r="61" spans="1:15" s="116" customFormat="1" ht="15" customHeight="1" thickTop="1">
      <c r="A61" s="146">
        <v>6</v>
      </c>
      <c r="B61" s="147" t="s">
        <v>19</v>
      </c>
      <c r="C61" s="148"/>
      <c r="D61" s="485">
        <f>IF('Internal Data'!D61:E61&gt;0,1/2*14.3998434/'Internal Data'!D61:E61,"")</f>
        <v>2.4999728124999999E-2</v>
      </c>
      <c r="E61" s="486"/>
      <c r="F61" s="500">
        <f>IF('Internal Data'!F61:G61&gt;0,1/2*14.3998434/'Internal Data'!F61:G61,"")</f>
        <v>0.43399166365280289</v>
      </c>
      <c r="G61" s="486"/>
      <c r="H61" s="203">
        <f>IF('Internal Data'!H61&gt;0,3/4*14.3998434/'Internal Data'!H61,"")</f>
        <v>0.95911144019253469</v>
      </c>
      <c r="I61" s="203" t="str">
        <f>IF('Internal Data'!I61&gt;0,3/4*14.3998434/'Internal Data'!I61,"")</f>
        <v/>
      </c>
      <c r="J61" s="204" t="str">
        <f>IF('Internal Data'!J61&gt;0,1/2*14.3998434/'Internal Data'!J61,"")</f>
        <v/>
      </c>
      <c r="K61" s="203"/>
      <c r="L61" s="205" t="str">
        <f>IF('Internal Data'!L61&gt;0,3/4*14.3998434/'Internal Data'!L61,"")</f>
        <v/>
      </c>
      <c r="M61" s="115"/>
    </row>
    <row r="62" spans="1:15" s="116" customFormat="1" ht="15" customHeight="1">
      <c r="A62" s="138">
        <v>9</v>
      </c>
      <c r="B62" s="139" t="s">
        <v>21</v>
      </c>
      <c r="C62" s="140"/>
      <c r="D62" s="487">
        <f>IF('Internal Data'!D62:E62&gt;0,1/2*14.3998434/'Internal Data'!D62:E62,"")</f>
        <v>1.0374526945244957E-2</v>
      </c>
      <c r="E62" s="488"/>
      <c r="F62" s="489">
        <f>IF('Internal Data'!F62:G62&gt;0,1/2*14.3998434/'Internal Data'!F62:G62,"")</f>
        <v>0.19022250198150595</v>
      </c>
      <c r="G62" s="488"/>
      <c r="H62" s="200">
        <f>IF('Internal Data'!H62&gt;0,3/4*14.3998434/'Internal Data'!H62,"")</f>
        <v>0.61997029563719852</v>
      </c>
      <c r="I62" s="200">
        <f>IF('Internal Data'!I62&gt;0,3/4*14.3998434/'Internal Data'!I62,"")</f>
        <v>0.61986994929638251</v>
      </c>
      <c r="J62" s="201" t="str">
        <f>IF('Internal Data'!J62&gt;0,1/2*14.3998434/'Internal Data'!J62,"")</f>
        <v/>
      </c>
      <c r="K62" s="200" t="str">
        <f>IF('Internal Data'!K62&gt;0,3/4*14.3998434/'Internal Data'!K62,"")</f>
        <v/>
      </c>
      <c r="L62" s="202" t="str">
        <f>IF('Internal Data'!L62&gt;0,3/4*14.3998434/'Internal Data'!L62,"")</f>
        <v/>
      </c>
      <c r="M62" s="115"/>
    </row>
    <row r="63" spans="1:15" ht="15" customHeight="1">
      <c r="A63" s="429" t="s">
        <v>351</v>
      </c>
      <c r="B63" s="95" t="s">
        <v>19</v>
      </c>
      <c r="C63" s="448" t="s">
        <v>329</v>
      </c>
      <c r="D63" s="491">
        <f>IF('Internal Data'!D63:E63&gt;0,1/2*14.3998434/'Internal Data'!D63:E63,"")</f>
        <v>2.3856599403578527E-2</v>
      </c>
      <c r="E63" s="492"/>
      <c r="F63" s="493" t="str">
        <f>IF('Internal Data'!F63:G63&gt;0,1/2*14.3998434/'Internal Data'!F63:G63,"")</f>
        <v/>
      </c>
      <c r="G63" s="492"/>
      <c r="H63" s="178" t="str">
        <f>IF('Internal Data'!H63&gt;0,3/4*14.3998434/'Internal Data'!H63,"")</f>
        <v/>
      </c>
      <c r="I63" s="178" t="str">
        <f>IF('Internal Data'!I63&gt;0,3/4*14.3998434/'Internal Data'!I63,"")</f>
        <v/>
      </c>
      <c r="J63" s="179" t="str">
        <f>IF('Internal Data'!J63&gt;0,1/2*14.3998434/'Internal Data'!J63,"")</f>
        <v/>
      </c>
      <c r="K63" s="178" t="str">
        <f>IF('Internal Data'!K63&gt;0,3/4*14.3998434/'Internal Data'!K63,"")</f>
        <v/>
      </c>
      <c r="L63" s="180" t="str">
        <f>IF('Internal Data'!L63&gt;0,3/4*14.3998434/'Internal Data'!L63,"")</f>
        <v/>
      </c>
    </row>
    <row r="64" spans="1:15" ht="15" customHeight="1" thickBot="1">
      <c r="A64" s="451"/>
      <c r="B64" s="87" t="s">
        <v>21</v>
      </c>
      <c r="C64" s="452"/>
      <c r="D64" s="501">
        <f>IF('Internal Data'!D64:E64&gt;0,1/2*14.3998434/'Internal Data'!D64:E64,"")</f>
        <v>1.0356619246260069E-2</v>
      </c>
      <c r="E64" s="502"/>
      <c r="F64" s="217">
        <f>IF('Internal Data'!F64:G64&gt;0,1/2*14.3998434/'Internal Data'!F64:G64,"")</f>
        <v>0.16438177397260276</v>
      </c>
      <c r="G64" s="218">
        <f>IF('Internal Data'!G64:H64&gt;0,1/2*14.3998434/'Internal Data'!G64:H64,"")</f>
        <v>0.17865810669975188</v>
      </c>
      <c r="H64" s="219" t="str">
        <f>IF('Internal Data'!H64&gt;0,3/4*14.3998434/'Internal Data'!H64,"")</f>
        <v/>
      </c>
      <c r="I64" s="219" t="str">
        <f>IF('Internal Data'!I64&gt;0,3/4*14.3998434/'Internal Data'!I64,"")</f>
        <v/>
      </c>
      <c r="J64" s="214" t="str">
        <f>IF('Internal Data'!J64&gt;0,1/2*14.3998434/'Internal Data'!J64,"")</f>
        <v/>
      </c>
      <c r="K64" s="213" t="str">
        <f>IF('Internal Data'!K64&gt;0,3/4*14.3998434/'Internal Data'!K64,"")</f>
        <v/>
      </c>
      <c r="L64" s="183" t="str">
        <f>IF('Internal Data'!L64&gt;0,3/4*14.3998434/'Internal Data'!L64,"")</f>
        <v/>
      </c>
    </row>
    <row r="65" spans="1:13" s="116" customFormat="1" ht="15" customHeight="1" thickTop="1">
      <c r="A65" s="138">
        <v>9</v>
      </c>
      <c r="B65" s="139" t="s">
        <v>21</v>
      </c>
      <c r="C65" s="140"/>
      <c r="D65" s="487">
        <f>IF('Internal Data'!D65:E65&gt;0,1/2*14.3998434/'Internal Data'!D65:E65,"")</f>
        <v>1.0374526945244957E-2</v>
      </c>
      <c r="E65" s="488"/>
      <c r="F65" s="489">
        <f>IF('Internal Data'!F65:G65&gt;0,1/2*14.3998434/'Internal Data'!F65:G65,"")</f>
        <v>0.19022250198150595</v>
      </c>
      <c r="G65" s="488"/>
      <c r="H65" s="200">
        <f>IF('Internal Data'!H65&gt;0,3/4*14.3998434/'Internal Data'!H65,"")</f>
        <v>0.61997029563719852</v>
      </c>
      <c r="I65" s="200">
        <f>IF('Internal Data'!I65&gt;0,3/4*14.3998434/'Internal Data'!I65,"")</f>
        <v>0.61986994929638251</v>
      </c>
      <c r="J65" s="201" t="str">
        <f>IF('Internal Data'!J65&gt;0,1/2*14.3998434/'Internal Data'!J65,"")</f>
        <v/>
      </c>
      <c r="K65" s="200" t="str">
        <f>IF('Internal Data'!K65&gt;0,3/4*14.3998434/'Internal Data'!K65,"")</f>
        <v/>
      </c>
      <c r="L65" s="202" t="str">
        <f>IF('Internal Data'!L65&gt;0,3/4*14.3998434/'Internal Data'!L65,"")</f>
        <v/>
      </c>
      <c r="M65" s="115"/>
    </row>
    <row r="66" spans="1:13" s="116" customFormat="1" ht="15" customHeight="1">
      <c r="A66" s="138">
        <v>16</v>
      </c>
      <c r="B66" s="139" t="s">
        <v>23</v>
      </c>
      <c r="C66" s="140"/>
      <c r="D66" s="487">
        <f>IF('Internal Data'!D66:E66&gt;0,1/2*14.3998434/'Internal Data'!D66:E66,"")</f>
        <v>2.9078843699515346E-3</v>
      </c>
      <c r="E66" s="488"/>
      <c r="F66" s="489">
        <f>IF('Internal Data'!F66:G66&gt;0,1/2*14.3998434/'Internal Data'!F66:G66,"")</f>
        <v>3.103414525862069E-2</v>
      </c>
      <c r="G66" s="488"/>
      <c r="H66" s="200">
        <f>IF('Internal Data'!H66&gt;0,3/4*14.3998434/'Internal Data'!H66,"")</f>
        <v>6.3528720882352938E-2</v>
      </c>
      <c r="I66" s="200">
        <f>IF('Internal Data'!I66&gt;0,3/4*14.3998434/'Internal Data'!I66,"")</f>
        <v>6.4285015178571422E-2</v>
      </c>
      <c r="J66" s="201">
        <f>IF('Internal Data'!J66&gt;0,1/2*14.3998434/'Internal Data'!J66,"")</f>
        <v>0.35643176732673271</v>
      </c>
      <c r="K66" s="200">
        <f>IF('Internal Data'!K66&gt;0,3/4*14.3998434/'Internal Data'!K66,"")</f>
        <v>1.0424597055984557</v>
      </c>
      <c r="L66" s="202">
        <f>IF('Internal Data'!L66&gt;0,3/4*14.3998434/'Internal Data'!L66,"")</f>
        <v>1.0424586993641898</v>
      </c>
      <c r="M66" s="115"/>
    </row>
    <row r="67" spans="1:13" ht="15" customHeight="1">
      <c r="A67" s="429" t="s">
        <v>340</v>
      </c>
      <c r="B67" s="95" t="s">
        <v>21</v>
      </c>
      <c r="C67" s="448" t="s">
        <v>331</v>
      </c>
      <c r="D67" s="491">
        <f>IF('Internal Data'!D67:E67&gt;0,1/2*14.3998434/'Internal Data'!D67:E67,"")</f>
        <v>1.0365565361359056E-2</v>
      </c>
      <c r="E67" s="492"/>
      <c r="F67" s="179">
        <f>IF('Internal Data'!F67:G67&gt;0,1/2*14.3998434/'Internal Data'!F67:G67,"")</f>
        <v>0.16289415610859728</v>
      </c>
      <c r="G67" s="190">
        <f>IF('Internal Data'!G67:H67&gt;0,1/2*14.3998434/'Internal Data'!G67:H67,"")</f>
        <v>0.17475538106796115</v>
      </c>
      <c r="H67" s="220" t="str">
        <f>IF('Internal Data'!H67&gt;0,3/4*14.3998434/'Internal Data'!H67,"")</f>
        <v/>
      </c>
      <c r="I67" s="220" t="str">
        <f>IF('Internal Data'!I67&gt;0,3/4*14.3998434/'Internal Data'!I67,"")</f>
        <v/>
      </c>
      <c r="J67" s="179" t="str">
        <f>IF('Internal Data'!J67&gt;0,1/2*14.3998434/'Internal Data'!J67,"")</f>
        <v/>
      </c>
      <c r="K67" s="178" t="str">
        <f>IF('Internal Data'!K67&gt;0,3/4*14.3998434/'Internal Data'!K67,"")</f>
        <v/>
      </c>
      <c r="L67" s="180" t="str">
        <f>IF('Internal Data'!L67&gt;0,3/4*14.3998434/'Internal Data'!L67,"")</f>
        <v/>
      </c>
    </row>
    <row r="68" spans="1:13" ht="15" customHeight="1" thickBot="1">
      <c r="A68" s="451"/>
      <c r="B68" s="87" t="s">
        <v>23</v>
      </c>
      <c r="C68" s="452"/>
      <c r="D68" s="501" t="s">
        <v>133</v>
      </c>
      <c r="E68" s="502"/>
      <c r="F68" s="503">
        <f>IF('Internal Data'!F68:G68&gt;0,1/2*14.3998434/'Internal Data'!F68:G68,"")</f>
        <v>2.9423464241928893E-2</v>
      </c>
      <c r="G68" s="502"/>
      <c r="H68" s="213">
        <f>IF('Internal Data'!H68&gt;0,3/4*14.3998434/'Internal Data'!H68,"")</f>
        <v>5.9437988717666486E-2</v>
      </c>
      <c r="I68" s="213">
        <f>IF('Internal Data'!I68&gt;0,3/4*14.3998434/'Internal Data'!I68,"")</f>
        <v>5.9866311252771615E-2</v>
      </c>
      <c r="J68" s="214" t="str">
        <f>IF('Internal Data'!J68&gt;0,1/2*14.3998434/'Internal Data'!J68,"")</f>
        <v/>
      </c>
      <c r="K68" s="213" t="str">
        <f>IF('Internal Data'!K68&gt;0,3/4*14.3998434/'Internal Data'!K68,"")</f>
        <v/>
      </c>
      <c r="L68" s="183" t="str">
        <f>IF('Internal Data'!L68&gt;0,3/4*14.3998434/'Internal Data'!L68,"")</f>
        <v/>
      </c>
    </row>
    <row r="69" spans="1:13" s="116" customFormat="1" ht="15" customHeight="1" thickTop="1">
      <c r="A69" s="146">
        <v>1</v>
      </c>
      <c r="B69" s="147" t="s">
        <v>15</v>
      </c>
      <c r="C69" s="148"/>
      <c r="D69" s="485">
        <f>IF('Internal Data'!D69:E69&gt;0,1/2*14.3998434/'Internal Data'!D69:E69,"")</f>
        <v>0.52946674030256413</v>
      </c>
      <c r="E69" s="486"/>
      <c r="F69" s="500" t="str">
        <f>IF('Internal Data'!F69:G69&gt;0,1/2*14.3998434/'Internal Data'!F69:G69,"")</f>
        <v/>
      </c>
      <c r="G69" s="486"/>
      <c r="H69" s="203" t="str">
        <f>IF('Internal Data'!H69&gt;0,3/4*14.3998434/'Internal Data'!H69,"")</f>
        <v/>
      </c>
      <c r="I69" s="203" t="str">
        <f>IF('Internal Data'!I69&gt;0,3/4*14.3998434/'Internal Data'!I69,"")</f>
        <v/>
      </c>
      <c r="J69" s="204" t="str">
        <f>IF('Internal Data'!J69&gt;0,1/2*14.3998434/'Internal Data'!J69,"")</f>
        <v/>
      </c>
      <c r="K69" s="203" t="str">
        <f>IF('Internal Data'!K69&gt;0,3/4*14.3998434/'Internal Data'!K69,"")</f>
        <v/>
      </c>
      <c r="L69" s="205" t="str">
        <f>IF('Internal Data'!L69&gt;0,3/4*14.3998434/'Internal Data'!L69,"")</f>
        <v/>
      </c>
      <c r="M69" s="115"/>
    </row>
    <row r="70" spans="1:13" s="116" customFormat="1" ht="15" customHeight="1">
      <c r="A70" s="138">
        <v>15</v>
      </c>
      <c r="B70" s="139" t="s">
        <v>173</v>
      </c>
      <c r="C70" s="140"/>
      <c r="D70" s="487">
        <f>IF('Internal Data'!D70:E70&gt;0,1/2*14.3998434/'Internal Data'!D70:E70,"")</f>
        <v>3.3519188547486032E-3</v>
      </c>
      <c r="E70" s="488"/>
      <c r="F70" s="489">
        <f>IF('Internal Data'!F70:G70&gt;0,1/2*14.3998434/'Internal Data'!F70:G70,"")</f>
        <v>3.7695925130890054E-2</v>
      </c>
      <c r="G70" s="488"/>
      <c r="H70" s="200">
        <f>IF('Internal Data'!H70&gt;0,3/4*14.3998434/'Internal Data'!H70,"")</f>
        <v>7.9999130000000002E-2</v>
      </c>
      <c r="I70" s="200">
        <f>IF('Internal Data'!I70&gt;0,3/4*14.3998434/'Internal Data'!I70,"")</f>
        <v>8.059613843283582E-2</v>
      </c>
      <c r="J70" s="201">
        <f>IF('Internal Data'!J70&gt;0,1/2*14.3998434/'Internal Data'!J70,"")</f>
        <v>0.4360945911568746</v>
      </c>
      <c r="K70" s="200">
        <f>IF('Internal Data'!K70&gt;0,3/4*14.3998434/'Internal Data'!K70,"")</f>
        <v>1.0298657202606352</v>
      </c>
      <c r="L70" s="202" t="str">
        <f>IF('Internal Data'!L70&gt;0,3/4*14.3998434/'Internal Data'!L70,"")</f>
        <v/>
      </c>
      <c r="M70" s="115"/>
    </row>
    <row r="71" spans="1:13" ht="15" customHeight="1">
      <c r="A71" s="429" t="s">
        <v>352</v>
      </c>
      <c r="B71" s="95" t="s">
        <v>15</v>
      </c>
      <c r="C71" s="448" t="s">
        <v>333</v>
      </c>
      <c r="D71" s="491" t="str">
        <f>IF('Internal Data'!D71:E71&gt;0,1/2*14.3998434/'Internal Data'!D71:E71,"")</f>
        <v/>
      </c>
      <c r="E71" s="492"/>
      <c r="F71" s="493" t="str">
        <f>IF('Internal Data'!F71:G71&gt;0,1/2*14.3998434/'Internal Data'!F71:G71,"")</f>
        <v/>
      </c>
      <c r="G71" s="492"/>
      <c r="H71" s="178" t="str">
        <f>IF('Internal Data'!H71&gt;0,3/4*14.3998434/'Internal Data'!H71,"")</f>
        <v/>
      </c>
      <c r="I71" s="178" t="str">
        <f>IF('Internal Data'!I71&gt;0,3/4*14.3998434/'Internal Data'!I71,"")</f>
        <v/>
      </c>
      <c r="J71" s="179" t="str">
        <f>IF('Internal Data'!J71&gt;0,1/2*14.3998434/'Internal Data'!J71,"")</f>
        <v/>
      </c>
      <c r="K71" s="178" t="str">
        <f>IF('Internal Data'!K71&gt;0,3/4*14.3998434/'Internal Data'!K71,"")</f>
        <v/>
      </c>
      <c r="L71" s="180" t="str">
        <f>IF('Internal Data'!L71&gt;0,3/4*14.3998434/'Internal Data'!L71,"")</f>
        <v/>
      </c>
    </row>
    <row r="72" spans="1:13" ht="15" customHeight="1" thickBot="1">
      <c r="A72" s="451"/>
      <c r="B72" s="87" t="s">
        <v>173</v>
      </c>
      <c r="C72" s="452"/>
      <c r="D72" s="501" t="s">
        <v>133</v>
      </c>
      <c r="E72" s="502"/>
      <c r="F72" s="503">
        <f>IF('Internal Data'!F72:G72&gt;0,1/2*14.3998434/'Internal Data'!F72:G72,"")</f>
        <v>3.8297455851063832E-2</v>
      </c>
      <c r="G72" s="502"/>
      <c r="H72" s="213">
        <f>IF('Internal Data'!H72&gt;0,3/4*14.3998434/'Internal Data'!H72,"")</f>
        <v>8.059613843283582E-2</v>
      </c>
      <c r="I72" s="213">
        <f>IF('Internal Data'!I72&gt;0,3/4*14.3998434/'Internal Data'!I72,"")</f>
        <v>8.059613843283582E-2</v>
      </c>
      <c r="J72" s="214">
        <f>IF('Internal Data'!J72&gt;0,1/2*14.3998434/'Internal Data'!J72,"")</f>
        <v>0.37894324736842105</v>
      </c>
      <c r="K72" s="213" t="str">
        <f>IF('Internal Data'!K72&gt;0,3/4*14.3998434/'Internal Data'!K72,"")</f>
        <v/>
      </c>
      <c r="L72" s="183" t="str">
        <f>IF('Internal Data'!L72&gt;0,3/4*14.3998434/'Internal Data'!L72,"")</f>
        <v/>
      </c>
    </row>
    <row r="73" spans="1:13" s="116" customFormat="1" ht="15" customHeight="1" thickTop="1">
      <c r="A73" s="146">
        <v>1</v>
      </c>
      <c r="B73" s="147" t="s">
        <v>15</v>
      </c>
      <c r="C73" s="148"/>
      <c r="D73" s="485">
        <f>IF('Internal Data'!D73:E73&gt;0,1/2*14.3998434/'Internal Data'!D73:E73,"")</f>
        <v>0.52946674030256413</v>
      </c>
      <c r="E73" s="486"/>
      <c r="F73" s="500" t="str">
        <f>IF('Internal Data'!F73:G73&gt;0,1/2*14.3998434/'Internal Data'!F73:G73,"")</f>
        <v/>
      </c>
      <c r="G73" s="486"/>
      <c r="H73" s="203" t="str">
        <f>IF('Internal Data'!H73&gt;0,3/4*14.3998434/'Internal Data'!H73,"")</f>
        <v/>
      </c>
      <c r="I73" s="203" t="str">
        <f>IF('Internal Data'!I73&gt;0,3/4*14.3998434/'Internal Data'!I73,"")</f>
        <v/>
      </c>
      <c r="J73" s="204" t="str">
        <f>IF('Internal Data'!J73&gt;0,1/2*14.3998434/'Internal Data'!J73,"")</f>
        <v/>
      </c>
      <c r="K73" s="203" t="str">
        <f>IF('Internal Data'!K73&gt;0,3/4*14.3998434/'Internal Data'!K73,"")</f>
        <v/>
      </c>
      <c r="L73" s="205" t="str">
        <f>IF('Internal Data'!L73&gt;0,3/4*14.3998434/'Internal Data'!L73,"")</f>
        <v/>
      </c>
      <c r="M73" s="115"/>
    </row>
    <row r="74" spans="1:13" s="116" customFormat="1" ht="15" customHeight="1">
      <c r="A74" s="146">
        <v>6</v>
      </c>
      <c r="B74" s="147" t="s">
        <v>19</v>
      </c>
      <c r="C74" s="148"/>
      <c r="D74" s="485">
        <f>IF('Internal Data'!D74:E74&gt;0,1/2*14.3998434/'Internal Data'!D74:E74,"")</f>
        <v>2.4999728124999999E-2</v>
      </c>
      <c r="E74" s="486"/>
      <c r="F74" s="500">
        <f>IF('Internal Data'!F74:G74&gt;0,1/2*14.3998434/'Internal Data'!F74:G74,"")</f>
        <v>0.43399166365280289</v>
      </c>
      <c r="G74" s="486"/>
      <c r="H74" s="203">
        <f>IF('Internal Data'!H74&gt;0,3/4*14.3998434/'Internal Data'!H74,"")</f>
        <v>0.95911144019253469</v>
      </c>
      <c r="I74" s="203" t="str">
        <f>IF('Internal Data'!I74&gt;0,3/4*14.3998434/'Internal Data'!I74,"")</f>
        <v/>
      </c>
      <c r="J74" s="204" t="str">
        <f>IF('Internal Data'!J74&gt;0,1/2*14.3998434/'Internal Data'!J74,"")</f>
        <v/>
      </c>
      <c r="K74" s="203" t="str">
        <f>IF('Internal Data'!K74&gt;0,3/4*14.3998434/'Internal Data'!K74,"")</f>
        <v/>
      </c>
      <c r="L74" s="205" t="str">
        <f>IF('Internal Data'!L74&gt;0,3/4*14.3998434/'Internal Data'!L74,"")</f>
        <v/>
      </c>
      <c r="M74" s="115"/>
    </row>
    <row r="75" spans="1:13" ht="15" customHeight="1">
      <c r="A75" s="429" t="s">
        <v>353</v>
      </c>
      <c r="B75" s="95" t="s">
        <v>15</v>
      </c>
      <c r="C75" s="448" t="s">
        <v>335</v>
      </c>
      <c r="D75" s="491"/>
      <c r="E75" s="492"/>
      <c r="F75" s="493"/>
      <c r="G75" s="492"/>
      <c r="H75" s="178"/>
      <c r="I75" s="178"/>
      <c r="J75" s="179"/>
      <c r="K75" s="178" t="str">
        <f>IF('Internal Data'!K75&gt;0,3/4*14.3998434/'Internal Data'!K75,"")</f>
        <v/>
      </c>
      <c r="L75" s="180" t="str">
        <f>IF('Internal Data'!L75&gt;0,3/4*14.3998434/'Internal Data'!L75,"")</f>
        <v/>
      </c>
    </row>
    <row r="76" spans="1:13" ht="15" customHeight="1" thickBot="1">
      <c r="A76" s="451"/>
      <c r="B76" s="133" t="s">
        <v>19</v>
      </c>
      <c r="C76" s="452"/>
      <c r="D76" s="501" t="s">
        <v>133</v>
      </c>
      <c r="E76" s="502"/>
      <c r="F76" s="503" t="s">
        <v>133</v>
      </c>
      <c r="G76" s="502"/>
      <c r="H76" s="213"/>
      <c r="I76" s="213"/>
      <c r="J76" s="214"/>
      <c r="K76" s="213" t="str">
        <f>IF('Internal Data'!K76&gt;0,3/4*14.3998434/'Internal Data'!K76,"")</f>
        <v/>
      </c>
      <c r="L76" s="183" t="str">
        <f>IF('Internal Data'!L76&gt;0,3/4*14.3998434/'Internal Data'!L76,"")</f>
        <v/>
      </c>
    </row>
    <row r="77" spans="1:13" s="116" customFormat="1" ht="15" customHeight="1" thickTop="1">
      <c r="A77" s="146">
        <v>1</v>
      </c>
      <c r="B77" s="147" t="s">
        <v>15</v>
      </c>
      <c r="C77" s="148"/>
      <c r="D77" s="485">
        <f>IF('Internal Data'!D77:E77&gt;0,1/2*14.3998434/'Internal Data'!D77:E77,"")</f>
        <v>0.52946674030256413</v>
      </c>
      <c r="E77" s="486"/>
      <c r="F77" s="500" t="str">
        <f>IF('Internal Data'!F77:G77&gt;0,1/2*14.3998434/'Internal Data'!F77:G77,"")</f>
        <v/>
      </c>
      <c r="G77" s="486"/>
      <c r="H77" s="203" t="str">
        <f>IF('Internal Data'!H77&gt;0,3/4*14.3998434/'Internal Data'!H77,"")</f>
        <v/>
      </c>
      <c r="I77" s="203" t="str">
        <f>IF('Internal Data'!I77&gt;0,3/4*14.3998434/'Internal Data'!I77,"")</f>
        <v/>
      </c>
      <c r="J77" s="204" t="str">
        <f>IF('Internal Data'!J77&gt;0,1/2*14.3998434/'Internal Data'!J77,"")</f>
        <v/>
      </c>
      <c r="K77" s="203" t="str">
        <f>IF('Internal Data'!K77&gt;0,3/4*14.3998434/'Internal Data'!K77,"")</f>
        <v/>
      </c>
      <c r="L77" s="205" t="str">
        <f>IF('Internal Data'!L77&gt;0,3/4*14.3998434/'Internal Data'!L77,"")</f>
        <v/>
      </c>
      <c r="M77" s="115"/>
    </row>
    <row r="78" spans="1:13" s="116" customFormat="1" ht="15" customHeight="1">
      <c r="A78" s="146">
        <v>6</v>
      </c>
      <c r="B78" s="147" t="s">
        <v>19</v>
      </c>
      <c r="C78" s="148"/>
      <c r="D78" s="485">
        <f>IF('Internal Data'!D78:E78&gt;0,1/2*14.3998434/'Internal Data'!D78:E78,"")</f>
        <v>2.4999728124999999E-2</v>
      </c>
      <c r="E78" s="486"/>
      <c r="F78" s="500">
        <f>IF('Internal Data'!F78:G78&gt;0,1/2*14.3998434/'Internal Data'!F78:G78,"")</f>
        <v>0.43399166365280289</v>
      </c>
      <c r="G78" s="486"/>
      <c r="H78" s="203">
        <f>IF('Internal Data'!H78&gt;0,3/4*14.3998434/'Internal Data'!H78,"")</f>
        <v>0.95911144019253469</v>
      </c>
      <c r="I78" s="203" t="str">
        <f>IF('Internal Data'!I78&gt;0,3/4*14.3998434/'Internal Data'!I78,"")</f>
        <v/>
      </c>
      <c r="J78" s="204" t="str">
        <f>IF('Internal Data'!J78&gt;0,1/2*14.3998434/'Internal Data'!J78,"")</f>
        <v/>
      </c>
      <c r="K78" s="203" t="str">
        <f>IF('Internal Data'!K78&gt;0,3/4*14.3998434/'Internal Data'!K78,"")</f>
        <v/>
      </c>
      <c r="L78" s="205" t="str">
        <f>IF('Internal Data'!L78&gt;0,3/4*14.3998434/'Internal Data'!L78,"")</f>
        <v/>
      </c>
      <c r="M78" s="115"/>
    </row>
    <row r="79" spans="1:13" s="116" customFormat="1" ht="15" customHeight="1">
      <c r="A79" s="138">
        <v>9</v>
      </c>
      <c r="B79" s="139" t="s">
        <v>21</v>
      </c>
      <c r="C79" s="140"/>
      <c r="D79" s="487">
        <f>IF('Internal Data'!D79:E79&gt;0,1/2*14.3998434/'Internal Data'!D79:E79,"")</f>
        <v>1.0374526945244957E-2</v>
      </c>
      <c r="E79" s="488"/>
      <c r="F79" s="489">
        <f>IF('Internal Data'!F79:G79&gt;0,1/2*14.3998434/'Internal Data'!F79:G79,"")</f>
        <v>0.19022250198150595</v>
      </c>
      <c r="G79" s="488"/>
      <c r="H79" s="200">
        <f>IF('Internal Data'!H79&gt;0,3/4*14.3998434/'Internal Data'!H79,"")</f>
        <v>0.61997029563719852</v>
      </c>
      <c r="I79" s="200">
        <f>IF('Internal Data'!I79&gt;0,3/4*14.3998434/'Internal Data'!I79,"")</f>
        <v>0.61986994929638251</v>
      </c>
      <c r="J79" s="201" t="str">
        <f>IF('Internal Data'!J79&gt;0,1/2*14.3998434/'Internal Data'!J79,"")</f>
        <v/>
      </c>
      <c r="K79" s="200" t="str">
        <f>IF('Internal Data'!K79&gt;0,3/4*14.3998434/'Internal Data'!K79,"")</f>
        <v/>
      </c>
      <c r="L79" s="202" t="str">
        <f>IF('Internal Data'!L79&gt;0,3/4*14.3998434/'Internal Data'!L79,"")</f>
        <v/>
      </c>
      <c r="M79" s="115"/>
    </row>
    <row r="80" spans="1:13">
      <c r="A80" s="429" t="s">
        <v>354</v>
      </c>
      <c r="B80" s="95" t="s">
        <v>15</v>
      </c>
      <c r="C80" s="448" t="s">
        <v>337</v>
      </c>
      <c r="D80" s="491" t="str">
        <f>IF('Internal Data'!D80:E80&gt;0,1/2*14.3998434/'Internal Data'!D80:E80,"")</f>
        <v/>
      </c>
      <c r="E80" s="492"/>
      <c r="F80" s="493" t="str">
        <f>IF('Internal Data'!F80:G80&gt;0,1/2*14.3998434/'Internal Data'!F80:G80,"")</f>
        <v/>
      </c>
      <c r="G80" s="492"/>
      <c r="H80" s="178" t="str">
        <f>IF('Internal Data'!H80&gt;0,3/4*14.3998434/'Internal Data'!H80,"")</f>
        <v/>
      </c>
      <c r="I80" s="178" t="str">
        <f>IF('Internal Data'!I80&gt;0,3/4*14.3998434/'Internal Data'!I80,"")</f>
        <v/>
      </c>
      <c r="J80" s="179" t="str">
        <f>IF('Internal Data'!J80&gt;0,1/2*14.3998434/'Internal Data'!J80,"")</f>
        <v/>
      </c>
      <c r="K80" s="178" t="str">
        <f>IF('Internal Data'!K80&gt;0,3/4*14.3998434/'Internal Data'!K80,"")</f>
        <v/>
      </c>
      <c r="L80" s="180" t="str">
        <f>IF('Internal Data'!L80&gt;0,3/4*14.3998434/'Internal Data'!L80,"")</f>
        <v/>
      </c>
    </row>
    <row r="81" spans="1:13">
      <c r="A81" s="497"/>
      <c r="B81" s="161" t="s">
        <v>19</v>
      </c>
      <c r="C81" s="449"/>
      <c r="D81" s="491">
        <f>IF('Internal Data'!D81:E81&gt;0,1/2*14.3998434/'Internal Data'!D81:E81,"")</f>
        <v>2.452289407356948E-2</v>
      </c>
      <c r="E81" s="492"/>
      <c r="F81" s="498" t="str">
        <f>IF('Internal Data'!F81:G81&gt;0,1/2*14.3998434/'Internal Data'!F81:G81,"")</f>
        <v/>
      </c>
      <c r="G81" s="499"/>
      <c r="H81" s="191" t="str">
        <f>IF('Internal Data'!H81&gt;0,3/4*14.3998434/'Internal Data'!H81,"")</f>
        <v/>
      </c>
      <c r="I81" s="191" t="str">
        <f>IF('Internal Data'!I81&gt;0,3/4*14.3998434/'Internal Data'!I81,"")</f>
        <v/>
      </c>
      <c r="J81" s="192" t="str">
        <f>IF('Internal Data'!J81&gt;0,1/2*14.3998434/'Internal Data'!J81,"")</f>
        <v/>
      </c>
      <c r="K81" s="191" t="str">
        <f>IF('Internal Data'!K81&gt;0,3/4*14.3998434/'Internal Data'!K81,"")</f>
        <v/>
      </c>
      <c r="L81" s="193" t="str">
        <f>IF('Internal Data'!L81&gt;0,3/4*14.3998434/'Internal Data'!L81,"")</f>
        <v/>
      </c>
    </row>
    <row r="82" spans="1:13" ht="15.75" thickBot="1">
      <c r="A82" s="430"/>
      <c r="B82" s="166" t="s">
        <v>21</v>
      </c>
      <c r="C82" s="450"/>
      <c r="D82" s="494">
        <f>IF('Internal Data'!D82:E82&gt;0,1/2*14.3998434/'Internal Data'!D82:E82,"")</f>
        <v>1.0398500433275563E-2</v>
      </c>
      <c r="E82" s="495"/>
      <c r="F82" s="496">
        <f>IF('Internal Data'!F82:G82&gt;0,1/2*14.3998434/'Internal Data'!F82:G82,"")</f>
        <v>0.16513581880733944</v>
      </c>
      <c r="G82" s="495"/>
      <c r="H82" s="221"/>
      <c r="I82" s="221"/>
      <c r="J82" s="222" t="str">
        <f>IF('Internal Data'!J82&gt;0,1/2*14.3998434/'Internal Data'!J82,"")</f>
        <v/>
      </c>
      <c r="K82" s="221" t="str">
        <f>IF('Internal Data'!K82&gt;0,3/4*14.3998434/'Internal Data'!K82,"")</f>
        <v/>
      </c>
      <c r="L82" s="223" t="str">
        <f>IF('Internal Data'!L82&gt;0,3/4*14.3998434/'Internal Data'!L82,"")</f>
        <v/>
      </c>
    </row>
    <row r="83" spans="1:13" s="116" customFormat="1" ht="15" hidden="1" customHeight="1" thickTop="1">
      <c r="A83" s="146">
        <v>1</v>
      </c>
      <c r="B83" s="147" t="s">
        <v>15</v>
      </c>
      <c r="C83" s="148"/>
      <c r="D83" s="485">
        <f>IF('Internal Data'!D83:E83&gt;0,1/2*14.3998434/'Internal Data'!D83:E83,"")</f>
        <v>0.52946674030256413</v>
      </c>
      <c r="E83" s="486"/>
      <c r="F83" s="224" t="str">
        <f>IF('Internal Data'!F83:G83&gt;0,1/2*14.3998434/'Internal Data'!F83:G83,"")</f>
        <v/>
      </c>
      <c r="G83" s="225"/>
      <c r="H83" s="226" t="str">
        <f>IF('Internal Data'!H83&gt;0,3/4*14.3998434/'Internal Data'!H83,"")</f>
        <v/>
      </c>
      <c r="I83" s="203" t="str">
        <f>IF('Internal Data'!I83&gt;0,3/4*14.3998434/'Internal Data'!I83,"")</f>
        <v/>
      </c>
      <c r="J83" s="204" t="str">
        <f>IF('Internal Data'!J83&gt;0,1/2*14.3998434/'Internal Data'!J83,"")</f>
        <v/>
      </c>
      <c r="K83" s="203" t="str">
        <f>IF('Internal Data'!K83&gt;0,3/4*14.3998434/'Internal Data'!K83,"")</f>
        <v/>
      </c>
      <c r="L83" s="205" t="str">
        <f>IF('Internal Data'!L83&gt;0,3/4*14.3998434/'Internal Data'!L83,"")</f>
        <v/>
      </c>
      <c r="M83" s="115"/>
    </row>
    <row r="84" spans="1:13" s="116" customFormat="1" ht="15" hidden="1" customHeight="1">
      <c r="A84" s="138">
        <v>5</v>
      </c>
      <c r="B84" s="139" t="s">
        <v>18</v>
      </c>
      <c r="C84" s="140"/>
      <c r="D84" s="487">
        <f>IF('Internal Data'!D84:E84&gt;0,1/2*14.3998434/'Internal Data'!D84:E84,"")</f>
        <v>3.74995921875E-2</v>
      </c>
      <c r="E84" s="488"/>
      <c r="F84" s="489">
        <f>IF('Internal Data'!F84:G84&gt;0,1/2*14.3998434/'Internal Data'!F84:G84,"")</f>
        <v>0.55683849187935031</v>
      </c>
      <c r="G84" s="488"/>
      <c r="H84" s="200">
        <f>IF('Internal Data'!H84&gt;0,3/4*14.3998434/'Internal Data'!H84,"")</f>
        <v>1.3014995788156947</v>
      </c>
      <c r="I84" s="200" t="str">
        <f>IF('Internal Data'!I84&gt;0,3/4*14.3998434/'Internal Data'!I84,"")</f>
        <v/>
      </c>
      <c r="J84" s="201" t="str">
        <f>IF('Internal Data'!J84&gt;0,1/2*14.3998434/'Internal Data'!J84,"")</f>
        <v/>
      </c>
      <c r="K84" s="200" t="str">
        <f>IF('Internal Data'!K84&gt;0,3/4*14.3998434/'Internal Data'!K84,"")</f>
        <v/>
      </c>
      <c r="L84" s="202" t="str">
        <f>IF('Internal Data'!L84&gt;0,3/4*14.3998434/'Internal Data'!L84,"")</f>
        <v/>
      </c>
      <c r="M84" s="115"/>
    </row>
    <row r="85" spans="1:13" ht="15" hidden="1" customHeight="1">
      <c r="A85" s="429" t="s">
        <v>355</v>
      </c>
      <c r="B85" s="95" t="s">
        <v>15</v>
      </c>
      <c r="C85" s="440" t="s">
        <v>339</v>
      </c>
      <c r="D85" s="211" t="str">
        <f>IF('Internal Data'!D85:E85&gt;0,1/2*14.3998434/'Internal Data'!D85:E85,"")</f>
        <v/>
      </c>
      <c r="E85" s="190"/>
      <c r="F85" s="212" t="str">
        <f>IF('Internal Data'!F85:G85&gt;0,1/2*14.3998434/'Internal Data'!F85:G85,"")</f>
        <v/>
      </c>
      <c r="G85" s="190"/>
      <c r="H85" s="178" t="str">
        <f>IF('Internal Data'!H85&gt;0,3/4*14.3998434/'Internal Data'!H85,"")</f>
        <v/>
      </c>
      <c r="I85" s="178" t="str">
        <f>IF('Internal Data'!I85&gt;0,3/4*14.3998434/'Internal Data'!I85,"")</f>
        <v/>
      </c>
      <c r="J85" s="179" t="str">
        <f>IF('Internal Data'!J85&gt;0,1/2*14.3998434/'Internal Data'!J85,"")</f>
        <v/>
      </c>
      <c r="K85" s="178" t="str">
        <f>IF('Internal Data'!K85&gt;0,3/4*14.3998434/'Internal Data'!K85,"")</f>
        <v/>
      </c>
      <c r="L85" s="180" t="str">
        <f>IF('Internal Data'!L85&gt;0,3/4*14.3998434/'Internal Data'!L85,"")</f>
        <v/>
      </c>
    </row>
    <row r="86" spans="1:13" ht="15" hidden="1" customHeight="1" thickBot="1">
      <c r="A86" s="430"/>
      <c r="B86" s="171" t="s">
        <v>18</v>
      </c>
      <c r="C86" s="432"/>
      <c r="D86" s="494">
        <f>IF('Internal Data'!D86:E86&gt;0,1/2*14.3998434/'Internal Data'!D86:E86,"")</f>
        <v>3.8502255080213904E-2</v>
      </c>
      <c r="E86" s="495"/>
      <c r="F86" s="496" t="str">
        <f>IF('Internal Data'!F86:G86&gt;0,1/2*14.3998434/'Internal Data'!F86:G86,"")</f>
        <v/>
      </c>
      <c r="G86" s="495"/>
      <c r="H86" s="221" t="str">
        <f>IF('Internal Data'!H86&gt;0,3/4*14.3998434/'Internal Data'!H86,"")</f>
        <v/>
      </c>
      <c r="I86" s="227" t="str">
        <f>IF('Internal Data'!I86&gt;0,3/4*14.3998434/'Internal Data'!I86,"")</f>
        <v/>
      </c>
      <c r="J86" s="228" t="str">
        <f>IF('Internal Data'!J86&gt;0,1/2*14.3998434/'Internal Data'!J86,"")</f>
        <v/>
      </c>
      <c r="K86" s="227" t="str">
        <f>IF('Internal Data'!K86&gt;0,3/4*14.3998434/'Internal Data'!K86,"")</f>
        <v/>
      </c>
      <c r="L86" s="223" t="str">
        <f>IF('Internal Data'!L86&gt;0,3/4*14.3998434/'Internal Data'!L86,"")</f>
        <v/>
      </c>
    </row>
    <row r="87" spans="1:13" s="116" customFormat="1" ht="15" hidden="1" customHeight="1" thickTop="1">
      <c r="A87" s="146">
        <v>9</v>
      </c>
      <c r="B87" s="147" t="s">
        <v>21</v>
      </c>
      <c r="C87" s="148"/>
      <c r="D87" s="485">
        <f>IF('Internal Data'!D87:E87&gt;0,1/2*14.3998434/'Internal Data'!D87:E87,"")</f>
        <v>1.0374526945244957E-2</v>
      </c>
      <c r="E87" s="486"/>
      <c r="F87" s="224">
        <f>IF('Internal Data'!F87:G87&gt;0,1/2*14.3998434/'Internal Data'!F87:G87,"")</f>
        <v>0.19022250198150595</v>
      </c>
      <c r="G87" s="225"/>
      <c r="H87" s="226">
        <f>IF('Internal Data'!H87&gt;0,3/4*14.3998434/'Internal Data'!H87,"")</f>
        <v>0.61997029563719852</v>
      </c>
      <c r="I87" s="203">
        <f>IF('Internal Data'!I87&gt;0,3/4*14.3998434/'Internal Data'!I87,"")</f>
        <v>0.61986994929638251</v>
      </c>
      <c r="J87" s="204" t="str">
        <f>IF('Internal Data'!J87&gt;0,1/2*14.3998434/'Internal Data'!J87,"")</f>
        <v/>
      </c>
      <c r="K87" s="203" t="str">
        <f>IF('Internal Data'!K87&gt;0,3/4*14.3998434/'Internal Data'!K87,"")</f>
        <v/>
      </c>
      <c r="L87" s="205" t="str">
        <f>IF('Internal Data'!L87&gt;0,3/4*14.3998434/'Internal Data'!L87,"")</f>
        <v/>
      </c>
      <c r="M87" s="115"/>
    </row>
    <row r="88" spans="1:13" s="116" customFormat="1" ht="15" hidden="1" customHeight="1">
      <c r="A88" s="138">
        <v>16</v>
      </c>
      <c r="B88" s="139" t="s">
        <v>23</v>
      </c>
      <c r="C88" s="140"/>
      <c r="D88" s="487">
        <f>IF('Internal Data'!D88:E88&gt;0,1/2*14.3998434/'Internal Data'!D88:E88,"")</f>
        <v>2.9078843699515346E-3</v>
      </c>
      <c r="E88" s="488"/>
      <c r="F88" s="489">
        <f>IF('Internal Data'!F88:G88&gt;0,1/2*14.3998434/'Internal Data'!F88:G88,"")</f>
        <v>3.103414525862069E-2</v>
      </c>
      <c r="G88" s="488"/>
      <c r="H88" s="200">
        <f>IF('Internal Data'!H88&gt;0,3/4*14.3998434/'Internal Data'!H88,"")</f>
        <v>6.3528720882352938E-2</v>
      </c>
      <c r="I88" s="200">
        <f>IF('Internal Data'!I88&gt;0,3/4*14.3998434/'Internal Data'!I88,"")</f>
        <v>6.4285015178571422E-2</v>
      </c>
      <c r="J88" s="201">
        <f>IF('Internal Data'!J88&gt;0,1/2*14.3998434/'Internal Data'!J88,"")</f>
        <v>0.35643176732673271</v>
      </c>
      <c r="K88" s="200">
        <f>IF('Internal Data'!K88&gt;0,3/4*14.3998434/'Internal Data'!K88,"")</f>
        <v>1.0424597055984557</v>
      </c>
      <c r="L88" s="202">
        <f>IF('Internal Data'!L88&gt;0,3/4*14.3998434/'Internal Data'!L88,"")</f>
        <v>1.0424586993641898</v>
      </c>
      <c r="M88" s="115"/>
    </row>
    <row r="89" spans="1:13" ht="15" hidden="1" customHeight="1">
      <c r="A89" s="429" t="s">
        <v>340</v>
      </c>
      <c r="B89" s="95" t="s">
        <v>21</v>
      </c>
      <c r="C89" s="490" t="s">
        <v>341</v>
      </c>
      <c r="D89" s="491">
        <f>IF('Internal Data'!D89:E89&gt;0,1/2*14.3998434/'Internal Data'!D89:E89,"")</f>
        <v>1.0359599568345325E-2</v>
      </c>
      <c r="E89" s="492"/>
      <c r="F89" s="493">
        <f>IF('Internal Data'!F89:G89&gt;0,1/2*14.3998434/'Internal Data'!F89:G89,"")</f>
        <v>0.17999804250000001</v>
      </c>
      <c r="G89" s="492"/>
      <c r="H89" s="178">
        <f>IF('Internal Data'!H89&gt;0,3/4*14.3998434/'Internal Data'!H89,"")</f>
        <v>0.49090375227272726</v>
      </c>
      <c r="I89" s="178">
        <f>IF('Internal Data'!I89&gt;0,3/4*14.3998434/'Internal Data'!I89,"")</f>
        <v>0.53999412749999998</v>
      </c>
      <c r="J89" s="179" t="str">
        <f>IF('Internal Data'!J89&gt;0,1/2*14.3998434/'Internal Data'!J89,"")</f>
        <v/>
      </c>
      <c r="K89" s="178" t="str">
        <f>IF('Internal Data'!K89&gt;0,3/4*14.3998434/'Internal Data'!K89,"")</f>
        <v/>
      </c>
      <c r="L89" s="180" t="str">
        <f>IF('Internal Data'!L89&gt;0,3/4*14.3998434/'Internal Data'!L89,"")</f>
        <v/>
      </c>
    </row>
    <row r="90" spans="1:13" ht="15" hidden="1" customHeight="1" thickBot="1">
      <c r="A90" s="430"/>
      <c r="B90" s="171" t="s">
        <v>23</v>
      </c>
      <c r="C90" s="432"/>
      <c r="D90" s="494">
        <f>IF('Internal Data'!D90:E90&gt;0,1/2*14.3998434/'Internal Data'!D90:E90,"")</f>
        <v>2.9031942338709677E-3</v>
      </c>
      <c r="E90" s="495"/>
      <c r="F90" s="496">
        <f>IF('Internal Data'!F90:G90&gt;0,1/2*14.3998434/'Internal Data'!F90:G90,"")</f>
        <v>3.0637964680851063E-2</v>
      </c>
      <c r="G90" s="495"/>
      <c r="H90" s="221">
        <f>IF('Internal Data'!H90&gt;0,3/4*14.3998434/'Internal Data'!H90,"")</f>
        <v>6.2790014825581386E-2</v>
      </c>
      <c r="I90" s="227">
        <f>IF('Internal Data'!I90&gt;0,3/4*14.3998434/'Internal Data'!I90,"")</f>
        <v>6.3528720882352938E-2</v>
      </c>
      <c r="J90" s="228" t="str">
        <f>IF('Internal Data'!J90&gt;0,1/2*14.3998434/'Internal Data'!J90,"")</f>
        <v/>
      </c>
      <c r="K90" s="227" t="str">
        <f>IF('Internal Data'!K90&gt;0,3/4*14.3998434/'Internal Data'!K90,"")</f>
        <v/>
      </c>
      <c r="L90" s="223" t="str">
        <f>IF('Internal Data'!L90&gt;0,3/4*14.3998434/'Internal Data'!L90,"")</f>
        <v/>
      </c>
    </row>
    <row r="96" spans="1:13">
      <c r="L96" s="108"/>
    </row>
    <row r="97" spans="12:12">
      <c r="L97" s="108"/>
    </row>
  </sheetData>
  <mergeCells count="209"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1D69-9075-4476-968B-07F8014832BB}">
  <dimension ref="A1:AK85"/>
  <sheetViews>
    <sheetView tabSelected="1" topLeftCell="A19" zoomScaleNormal="100" workbookViewId="0">
      <selection activeCell="P80" sqref="P80"/>
    </sheetView>
  </sheetViews>
  <sheetFormatPr defaultRowHeight="15"/>
  <cols>
    <col min="13" max="13" width="11.7109375" customWidth="1"/>
  </cols>
  <sheetData>
    <row r="1" spans="1:37" ht="15.75" thickBot="1"/>
    <row r="2" spans="1:37" ht="15.75" thickBot="1">
      <c r="A2" s="368" t="s">
        <v>6</v>
      </c>
      <c r="B2" s="423" t="s">
        <v>61</v>
      </c>
      <c r="C2" s="423"/>
      <c r="D2" s="423"/>
      <c r="E2" s="423"/>
      <c r="F2" s="423"/>
      <c r="G2" s="524" t="s">
        <v>72</v>
      </c>
      <c r="H2" s="524"/>
      <c r="I2" s="524"/>
      <c r="J2" s="524"/>
      <c r="K2" s="524"/>
      <c r="L2" s="524"/>
      <c r="M2" s="524"/>
      <c r="N2" s="525"/>
      <c r="O2" s="525"/>
      <c r="P2" s="524"/>
      <c r="Q2" s="524"/>
      <c r="R2" s="427"/>
      <c r="S2" s="526" t="s">
        <v>71</v>
      </c>
      <c r="T2" s="527"/>
      <c r="U2" s="527"/>
      <c r="V2" s="527"/>
      <c r="W2" s="527"/>
      <c r="X2" s="527"/>
      <c r="Y2" s="527"/>
      <c r="Z2" s="527"/>
      <c r="AA2" s="527"/>
      <c r="AB2" s="527"/>
      <c r="AC2" s="528"/>
      <c r="AD2" s="529" t="s">
        <v>62</v>
      </c>
      <c r="AE2" s="529"/>
      <c r="AF2" s="529"/>
      <c r="AG2" s="529"/>
      <c r="AH2" s="529"/>
      <c r="AI2" s="529"/>
      <c r="AJ2" s="529"/>
      <c r="AK2" s="530"/>
    </row>
    <row r="3" spans="1:37" ht="48.75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578</v>
      </c>
      <c r="H3" s="240" t="s">
        <v>579</v>
      </c>
      <c r="I3" s="261" t="s">
        <v>2</v>
      </c>
      <c r="J3" s="4" t="s">
        <v>1</v>
      </c>
      <c r="K3" s="4" t="s">
        <v>494</v>
      </c>
      <c r="L3" s="4" t="s">
        <v>31</v>
      </c>
      <c r="M3" s="4" t="s">
        <v>33</v>
      </c>
      <c r="N3" s="411" t="s">
        <v>573</v>
      </c>
      <c r="O3" s="411" t="s">
        <v>574</v>
      </c>
      <c r="P3" s="4" t="s">
        <v>38</v>
      </c>
      <c r="Q3" s="4" t="s">
        <v>39</v>
      </c>
      <c r="R3" s="303" t="s">
        <v>491</v>
      </c>
      <c r="S3" s="11" t="s">
        <v>5</v>
      </c>
      <c r="T3" s="11" t="s">
        <v>4</v>
      </c>
      <c r="U3" s="11" t="s">
        <v>3</v>
      </c>
      <c r="V3" s="11" t="s">
        <v>30</v>
      </c>
      <c r="W3" s="11" t="s">
        <v>41</v>
      </c>
      <c r="X3" s="11" t="s">
        <v>73</v>
      </c>
      <c r="Y3" s="303" t="s">
        <v>492</v>
      </c>
      <c r="Z3" s="11" t="s">
        <v>44</v>
      </c>
      <c r="AA3" s="11" t="s">
        <v>4</v>
      </c>
      <c r="AB3" s="17" t="s">
        <v>36</v>
      </c>
      <c r="AC3" s="11" t="s">
        <v>42</v>
      </c>
      <c r="AD3" s="4" t="s">
        <v>517</v>
      </c>
      <c r="AE3" s="4" t="s">
        <v>518</v>
      </c>
      <c r="AF3" s="4" t="s">
        <v>57</v>
      </c>
      <c r="AG3" s="4" t="s">
        <v>58</v>
      </c>
      <c r="AH3" s="4" t="s">
        <v>59</v>
      </c>
      <c r="AI3" s="4" t="s">
        <v>45</v>
      </c>
      <c r="AJ3" s="4" t="s">
        <v>46</v>
      </c>
      <c r="AK3" s="14" t="s">
        <v>47</v>
      </c>
    </row>
    <row r="4" spans="1:37">
      <c r="A4" s="532" t="s">
        <v>48</v>
      </c>
      <c r="B4" s="21">
        <v>-13.598000000000001</v>
      </c>
      <c r="C4" s="22">
        <v>1</v>
      </c>
      <c r="D4" s="21">
        <v>-13.598000000000001</v>
      </c>
      <c r="E4" s="22">
        <f>C4</f>
        <v>1</v>
      </c>
      <c r="F4" s="308" t="str">
        <f>IF(B4&gt;=D4,"A","B")</f>
        <v>A</v>
      </c>
      <c r="G4" s="356">
        <v>1</v>
      </c>
      <c r="H4" s="356">
        <v>1</v>
      </c>
      <c r="I4" s="355">
        <v>0.74119999999999997</v>
      </c>
      <c r="J4" s="23">
        <v>-4.4793771199999997</v>
      </c>
      <c r="K4" s="23">
        <v>0</v>
      </c>
      <c r="L4" s="23">
        <f t="shared" ref="L4:L37" si="0">IF(F4="A",P4,Q4)</f>
        <v>-15.43</v>
      </c>
      <c r="M4" s="316">
        <f t="shared" ref="M4:M43" si="1">IF(F4="A",Q4,P4)</f>
        <v>-16</v>
      </c>
      <c r="N4" s="412">
        <v>1.00782503224</v>
      </c>
      <c r="O4" s="413">
        <v>1.00782503224</v>
      </c>
      <c r="P4" s="23">
        <v>-15.43</v>
      </c>
      <c r="Q4" s="316">
        <f t="shared" ref="Q4:Q66" si="2">IF(AC4&lt;&gt;0,AC4,0.565*(Z4-P4)+P4)</f>
        <v>-16</v>
      </c>
      <c r="R4" s="304">
        <v>-5.1456785376246623</v>
      </c>
      <c r="S4" s="30" t="e">
        <f t="shared" ref="S4:S66" si="3">SUMXMY2(P4:Q4,W4:X4)+SUMXMY2(J4:K4,U4:V4)</f>
        <v>#DIV/0!</v>
      </c>
      <c r="T4" s="24" t="e">
        <f t="shared" ref="T4:T66" si="4">AND(ABS(U4-$J4)&lt;0.0001,ABS(V4-K4)&lt;0.0001,ABS(W4-$P4)&lt;0.0001,IF(AC4&lt;0,TRUE,W4+0.0001&gt;=X4),Q4-0.0001&lt;=W4)</f>
        <v>#DIV/0!</v>
      </c>
      <c r="U4" s="25">
        <f t="shared" ref="U4:U66" si="5">-(14.3998434*AD4*AE4/(I4^3)*(SIN(AF4)*SIN(AG4)*COS(AH4)-2*COS(AF4)*COS(AG4)))*G4</f>
        <v>-4.4793771199999801</v>
      </c>
      <c r="V4" s="25">
        <f t="shared" ref="V4:V66" si="6">4.803*(I4-AD4*COS(AF4)-AE4*COS(AG4))</f>
        <v>-2.1329604749098507E-15</v>
      </c>
      <c r="W4" s="25" t="e">
        <f t="shared" ref="W4:W53" si="7">IF(F4="A",-14.3998434/AD4-14.3998434/AN4+14.3998434/$I4,-14.3998434/AE4-14.3998434/AM4+14.3998434/$I4)</f>
        <v>#DIV/0!</v>
      </c>
      <c r="X4" s="25" t="e">
        <f t="shared" ref="X4:X53" si="8">IF(F4="A",-14.3998434/AE4-14.3998434/AM4+14.3998434/$I4,-14.3998434/AD4-14.3998434/AN4+14.3998434/$I4)</f>
        <v>#DIV/0!</v>
      </c>
      <c r="Y4" s="304">
        <f t="shared" ref="Y4:Y66" si="9">-2*G4*6*4.803^2*AD4*AE4/I4^5*(SIN(AF4)*SIN(AG4)*COS(AH4)-2*COS(AF4)*COS(AG4))/10</f>
        <v>-15.674563524817762</v>
      </c>
      <c r="Z4" s="25">
        <f t="shared" ref="Z4:Z53" si="10">(G4*B4+G4*D4+J4-G4*P4)/G4</f>
        <v>-16.245377120000001</v>
      </c>
      <c r="AA4" s="25" t="str">
        <f t="shared" ref="AA4:AA53" si="11">IF(OR(C4&lt;G4,E4&lt;G4),"RĘCZNIE","OK")</f>
        <v>OK</v>
      </c>
      <c r="AB4" s="25" t="s">
        <v>37</v>
      </c>
      <c r="AC4" s="25">
        <v>-16</v>
      </c>
      <c r="AD4" s="21">
        <v>0.81702265633358162</v>
      </c>
      <c r="AE4" s="21">
        <v>0.82246282176538577</v>
      </c>
      <c r="AF4" s="23">
        <v>1.1282397576806231</v>
      </c>
      <c r="AG4" s="23">
        <v>1.0749487981999133</v>
      </c>
      <c r="AH4" s="23">
        <v>0.72295287520748142</v>
      </c>
      <c r="AI4" s="26">
        <f t="shared" ref="AI4:AK20" si="12">DEGREES(AF4)</f>
        <v>64.643376393962413</v>
      </c>
      <c r="AJ4" s="26">
        <f t="shared" si="12"/>
        <v>61.590029329515055</v>
      </c>
      <c r="AK4" s="312">
        <f t="shared" si="12"/>
        <v>41.422148536236776</v>
      </c>
    </row>
    <row r="5" spans="1:37">
      <c r="A5" s="533"/>
      <c r="B5" s="27">
        <v>-13.598000000000001</v>
      </c>
      <c r="C5" s="28">
        <v>1</v>
      </c>
      <c r="D5" s="27">
        <v>-13.598000000000001</v>
      </c>
      <c r="E5" s="28">
        <f t="shared" ref="E5:E32" si="13">C5</f>
        <v>1</v>
      </c>
      <c r="F5" s="309" t="str">
        <f t="shared" ref="F5:F68" si="14">IF(B5&gt;=D5,"A","B")</f>
        <v>A</v>
      </c>
      <c r="G5" s="357">
        <v>1</v>
      </c>
      <c r="H5" s="357">
        <v>1</v>
      </c>
      <c r="I5" s="323">
        <v>0.74119999999999997</v>
      </c>
      <c r="J5" s="29">
        <v>-4.516540544173</v>
      </c>
      <c r="K5" s="29">
        <v>0</v>
      </c>
      <c r="L5" s="29">
        <f t="shared" si="0"/>
        <v>-15.603</v>
      </c>
      <c r="M5" s="317">
        <f t="shared" si="1"/>
        <v>-16</v>
      </c>
      <c r="N5" s="412">
        <v>1.00782503224</v>
      </c>
      <c r="O5" s="412">
        <v>1.00782503224</v>
      </c>
      <c r="P5" s="29">
        <v>-15.603</v>
      </c>
      <c r="Q5" s="317">
        <f t="shared" si="2"/>
        <v>-16</v>
      </c>
      <c r="R5" s="305">
        <v>-5.1456785376246623</v>
      </c>
      <c r="S5" s="30" t="e">
        <f t="shared" si="3"/>
        <v>#DIV/0!</v>
      </c>
      <c r="T5" s="30" t="e">
        <f t="shared" si="4"/>
        <v>#DIV/0!</v>
      </c>
      <c r="U5" s="31">
        <f t="shared" si="5"/>
        <v>-4.5165405441729991</v>
      </c>
      <c r="V5" s="31">
        <f t="shared" si="6"/>
        <v>0</v>
      </c>
      <c r="W5" s="31" t="e">
        <f t="shared" si="7"/>
        <v>#DIV/0!</v>
      </c>
      <c r="X5" s="31" t="e">
        <f t="shared" si="8"/>
        <v>#DIV/0!</v>
      </c>
      <c r="Y5" s="305">
        <f t="shared" si="9"/>
        <v>-15.804608492543036</v>
      </c>
      <c r="Z5" s="31">
        <f t="shared" si="10"/>
        <v>-16.109540544173001</v>
      </c>
      <c r="AA5" s="31" t="str">
        <f t="shared" si="11"/>
        <v>OK</v>
      </c>
      <c r="AB5" s="31" t="s">
        <v>37</v>
      </c>
      <c r="AC5" s="31">
        <v>-16</v>
      </c>
      <c r="AD5" s="27">
        <v>0.81320888243027301</v>
      </c>
      <c r="AE5" s="27">
        <v>0.8221338098483143</v>
      </c>
      <c r="AF5" s="29">
        <v>1.1250542904327265</v>
      </c>
      <c r="AG5" s="29">
        <v>1.0757083015459401</v>
      </c>
      <c r="AH5" s="29">
        <v>0.71270608934906754</v>
      </c>
      <c r="AI5" s="32">
        <f t="shared" si="12"/>
        <v>64.460862564880784</v>
      </c>
      <c r="AJ5" s="32">
        <f t="shared" si="12"/>
        <v>61.633545665768459</v>
      </c>
      <c r="AK5" s="249">
        <f t="shared" si="12"/>
        <v>40.835050952975323</v>
      </c>
    </row>
    <row r="6" spans="1:37">
      <c r="A6" s="34" t="s">
        <v>74</v>
      </c>
      <c r="B6" s="35">
        <v>-13.602</v>
      </c>
      <c r="C6" s="36">
        <v>1</v>
      </c>
      <c r="D6" s="35">
        <v>-13.602</v>
      </c>
      <c r="E6" s="36">
        <f t="shared" si="13"/>
        <v>1</v>
      </c>
      <c r="F6" s="310" t="str">
        <f t="shared" si="14"/>
        <v>A</v>
      </c>
      <c r="G6" s="358">
        <v>1</v>
      </c>
      <c r="H6" s="358">
        <v>1</v>
      </c>
      <c r="I6" s="402">
        <v>0.74150000000000005</v>
      </c>
      <c r="J6" s="37">
        <v>-4.5946850671190003</v>
      </c>
      <c r="K6" s="37">
        <v>0</v>
      </c>
      <c r="L6" s="37">
        <f t="shared" si="0"/>
        <v>-15.4666</v>
      </c>
      <c r="M6" s="37">
        <f t="shared" si="1"/>
        <v>-15.955599062922236</v>
      </c>
      <c r="N6" s="410">
        <v>2.0135532127450002</v>
      </c>
      <c r="O6" s="410">
        <v>2.0135532127450002</v>
      </c>
      <c r="P6" s="37">
        <v>-15.4666</v>
      </c>
      <c r="Q6" s="37">
        <f t="shared" si="2"/>
        <v>-15.955599062922236</v>
      </c>
      <c r="R6" s="305">
        <v>-5.2852403137526087</v>
      </c>
      <c r="S6" s="30" t="e">
        <f t="shared" si="3"/>
        <v>#DIV/0!</v>
      </c>
      <c r="T6" s="30" t="e">
        <f t="shared" si="4"/>
        <v>#DIV/0!</v>
      </c>
      <c r="U6" s="31">
        <f t="shared" si="5"/>
        <v>-13.233650530375437</v>
      </c>
      <c r="V6" s="31">
        <f t="shared" si="6"/>
        <v>-1.505740500000001</v>
      </c>
      <c r="W6" s="31" t="e">
        <f t="shared" si="7"/>
        <v>#DIV/0!</v>
      </c>
      <c r="X6" s="31" t="e">
        <f t="shared" si="8"/>
        <v>#DIV/0!</v>
      </c>
      <c r="Y6" s="305">
        <f t="shared" si="9"/>
        <v>-46.270692704723523</v>
      </c>
      <c r="Z6" s="31">
        <f t="shared" si="10"/>
        <v>-16.332085067119003</v>
      </c>
      <c r="AA6" s="31" t="str">
        <f t="shared" si="11"/>
        <v>OK</v>
      </c>
      <c r="AB6" s="31"/>
      <c r="AC6" s="31"/>
      <c r="AD6" s="35">
        <v>0.82872454770757842</v>
      </c>
      <c r="AE6" s="35">
        <v>1.2148118478934899</v>
      </c>
      <c r="AF6" s="37">
        <v>1.4010999842958032</v>
      </c>
      <c r="AG6" s="37">
        <v>0.71782515071861142</v>
      </c>
      <c r="AH6" s="37">
        <v>0.25956181863117661</v>
      </c>
      <c r="AI6" s="38">
        <f t="shared" si="12"/>
        <v>80.277115775995441</v>
      </c>
      <c r="AJ6" s="38">
        <f t="shared" si="12"/>
        <v>41.128351564518645</v>
      </c>
      <c r="AK6" s="250">
        <f t="shared" si="12"/>
        <v>14.871796730306558</v>
      </c>
    </row>
    <row r="7" spans="1:37">
      <c r="A7" s="34" t="s">
        <v>75</v>
      </c>
      <c r="B7" s="35">
        <v>-13.603</v>
      </c>
      <c r="C7" s="36">
        <v>1</v>
      </c>
      <c r="D7" s="35">
        <v>-13.603</v>
      </c>
      <c r="E7" s="36">
        <f t="shared" si="13"/>
        <v>1</v>
      </c>
      <c r="F7" s="310" t="str">
        <f t="shared" si="14"/>
        <v>A</v>
      </c>
      <c r="G7" s="358">
        <v>1</v>
      </c>
      <c r="H7" s="358">
        <v>1</v>
      </c>
      <c r="I7" s="402">
        <v>0.74150000000000005</v>
      </c>
      <c r="J7" s="37">
        <v>-4.6294084809000005</v>
      </c>
      <c r="K7" s="37">
        <v>0</v>
      </c>
      <c r="L7" s="37">
        <f t="shared" si="0"/>
        <v>-15.486700000000001</v>
      </c>
      <c r="M7" s="37">
        <f t="shared" si="1"/>
        <v>-15.973734791708502</v>
      </c>
      <c r="N7" s="414">
        <v>3.01604928199</v>
      </c>
      <c r="O7" s="414">
        <v>3.01604928199</v>
      </c>
      <c r="P7" s="37">
        <v>-15.486700000000001</v>
      </c>
      <c r="Q7" s="37">
        <f t="shared" si="2"/>
        <v>-15.973734791708502</v>
      </c>
      <c r="R7" s="305">
        <f>R6/R5*R6</f>
        <v>-5.4285873028925167</v>
      </c>
      <c r="S7" s="30" t="e">
        <f t="shared" si="3"/>
        <v>#DIV/0!</v>
      </c>
      <c r="T7" s="30" t="e">
        <f t="shared" si="4"/>
        <v>#DIV/0!</v>
      </c>
      <c r="U7" s="31">
        <f t="shared" si="5"/>
        <v>-13.379211719326282</v>
      </c>
      <c r="V7" s="31">
        <f t="shared" si="6"/>
        <v>-1.5115041000000009</v>
      </c>
      <c r="W7" s="31" t="e">
        <f t="shared" si="7"/>
        <v>#DIV/0!</v>
      </c>
      <c r="X7" s="31" t="e">
        <f t="shared" si="8"/>
        <v>#DIV/0!</v>
      </c>
      <c r="Y7" s="305">
        <f t="shared" si="9"/>
        <v>-46.779638972287373</v>
      </c>
      <c r="Z7" s="31">
        <f t="shared" si="10"/>
        <v>-16.348708480900001</v>
      </c>
      <c r="AA7" s="31" t="str">
        <f t="shared" si="11"/>
        <v>OK</v>
      </c>
      <c r="AB7" s="31"/>
      <c r="AC7" s="31"/>
      <c r="AD7" s="35">
        <v>0.82752364523913591</v>
      </c>
      <c r="AE7" s="35">
        <v>1.217062265106112</v>
      </c>
      <c r="AF7" s="37">
        <v>1.4038057051960362</v>
      </c>
      <c r="AG7" s="37">
        <v>0.71542953370811602</v>
      </c>
      <c r="AH7" s="37">
        <v>0.24797928642659087</v>
      </c>
      <c r="AI7" s="38">
        <f t="shared" si="12"/>
        <v>80.432142164119128</v>
      </c>
      <c r="AJ7" s="38">
        <f t="shared" si="12"/>
        <v>40.991092820487516</v>
      </c>
      <c r="AK7" s="250">
        <f t="shared" si="12"/>
        <v>14.208166518909438</v>
      </c>
    </row>
    <row r="8" spans="1:37">
      <c r="A8" s="534" t="s">
        <v>49</v>
      </c>
      <c r="B8" s="35">
        <v>-17.422999999999998</v>
      </c>
      <c r="C8" s="36">
        <v>2</v>
      </c>
      <c r="D8" s="35">
        <v>-17.422999999999998</v>
      </c>
      <c r="E8" s="36">
        <f t="shared" si="13"/>
        <v>2</v>
      </c>
      <c r="F8" s="310" t="str">
        <f t="shared" si="14"/>
        <v>A</v>
      </c>
      <c r="G8" s="358">
        <v>1</v>
      </c>
      <c r="H8" s="358">
        <v>1</v>
      </c>
      <c r="I8" s="322">
        <v>1.4119999999999999</v>
      </c>
      <c r="J8" s="37">
        <v>-1.605356</v>
      </c>
      <c r="K8" s="37">
        <v>0</v>
      </c>
      <c r="L8" s="37">
        <f t="shared" si="0"/>
        <v>-15.696999999999999</v>
      </c>
      <c r="M8" s="318">
        <f t="shared" si="1"/>
        <v>-18.8</v>
      </c>
      <c r="N8" s="414">
        <v>18.9984</v>
      </c>
      <c r="O8" s="414">
        <v>18.9984</v>
      </c>
      <c r="P8" s="37">
        <v>-15.696999999999999</v>
      </c>
      <c r="Q8" s="318">
        <f t="shared" si="2"/>
        <v>-18.8</v>
      </c>
      <c r="R8" s="305">
        <v>-4.379592697714874</v>
      </c>
      <c r="S8" s="30" t="e">
        <f t="shared" si="3"/>
        <v>#DIV/0!</v>
      </c>
      <c r="T8" s="30" t="e">
        <f t="shared" si="4"/>
        <v>#DIV/0!</v>
      </c>
      <c r="U8" s="31">
        <f t="shared" si="5"/>
        <v>-1.6053559999999996</v>
      </c>
      <c r="V8" s="31">
        <f t="shared" si="6"/>
        <v>-3.3327507420466419E-16</v>
      </c>
      <c r="W8" s="31" t="e">
        <f t="shared" si="7"/>
        <v>#DIV/0!</v>
      </c>
      <c r="X8" s="31" t="e">
        <f t="shared" si="8"/>
        <v>#DIV/0!</v>
      </c>
      <c r="Y8" s="305">
        <f t="shared" si="9"/>
        <v>-1.5479274874448037</v>
      </c>
      <c r="Z8" s="31">
        <f t="shared" si="10"/>
        <v>-20.754355999999998</v>
      </c>
      <c r="AA8" s="31" t="str">
        <f t="shared" si="11"/>
        <v>OK</v>
      </c>
      <c r="AB8" s="31" t="s">
        <v>37</v>
      </c>
      <c r="AC8" s="31">
        <v>-18.8</v>
      </c>
      <c r="AD8" s="35">
        <v>1.5529220572882665</v>
      </c>
      <c r="AE8" s="35">
        <v>0.7451173132582749</v>
      </c>
      <c r="AF8" s="37">
        <v>0.58555717215066516</v>
      </c>
      <c r="AG8" s="37">
        <v>1.4120504862865466</v>
      </c>
      <c r="AH8" s="37">
        <v>0.20105164500036762</v>
      </c>
      <c r="AI8" s="38">
        <f t="shared" si="12"/>
        <v>33.5499546278485</v>
      </c>
      <c r="AJ8" s="38">
        <f t="shared" si="12"/>
        <v>80.904533323614643</v>
      </c>
      <c r="AK8" s="250">
        <f t="shared" si="12"/>
        <v>11.519410722683563</v>
      </c>
    </row>
    <row r="9" spans="1:37">
      <c r="A9" s="534"/>
      <c r="B9" s="35">
        <v>-17.422999999999998</v>
      </c>
      <c r="C9" s="36">
        <v>2</v>
      </c>
      <c r="D9" s="35">
        <v>-17.422999999999998</v>
      </c>
      <c r="E9" s="36">
        <f t="shared" si="13"/>
        <v>2</v>
      </c>
      <c r="F9" s="310" t="str">
        <f t="shared" si="14"/>
        <v>A</v>
      </c>
      <c r="G9" s="358">
        <v>1</v>
      </c>
      <c r="H9" s="358">
        <v>1</v>
      </c>
      <c r="I9" s="322">
        <v>1.4119999999999999</v>
      </c>
      <c r="J9" s="37">
        <v>-1.6444987208999999</v>
      </c>
      <c r="K9" s="37">
        <v>0</v>
      </c>
      <c r="L9" s="37">
        <f t="shared" si="0"/>
        <v>-16.5</v>
      </c>
      <c r="M9" s="318">
        <f t="shared" si="1"/>
        <v>-18.8</v>
      </c>
      <c r="N9" s="414">
        <v>18.9984</v>
      </c>
      <c r="O9" s="414">
        <v>18.9984</v>
      </c>
      <c r="P9" s="37">
        <v>-16.5</v>
      </c>
      <c r="Q9" s="318">
        <f t="shared" si="2"/>
        <v>-18.8</v>
      </c>
      <c r="R9" s="305">
        <v>-4.379592697714874</v>
      </c>
      <c r="S9" s="30" t="e">
        <f t="shared" si="3"/>
        <v>#DIV/0!</v>
      </c>
      <c r="T9" s="30" t="e">
        <f t="shared" si="4"/>
        <v>#DIV/0!</v>
      </c>
      <c r="U9" s="31">
        <f t="shared" si="5"/>
        <v>-1.6444987208999997</v>
      </c>
      <c r="V9" s="31">
        <f t="shared" si="6"/>
        <v>8.6651519293212687E-16</v>
      </c>
      <c r="W9" s="31" t="e">
        <f t="shared" si="7"/>
        <v>#DIV/0!</v>
      </c>
      <c r="X9" s="31" t="e">
        <f t="shared" si="8"/>
        <v>#DIV/0!</v>
      </c>
      <c r="Y9" s="305">
        <f t="shared" si="9"/>
        <v>-1.5856699530502456</v>
      </c>
      <c r="Z9" s="31">
        <f t="shared" si="10"/>
        <v>-19.9904987209</v>
      </c>
      <c r="AA9" s="31" t="str">
        <f t="shared" si="11"/>
        <v>OK</v>
      </c>
      <c r="AB9" s="31" t="s">
        <v>37</v>
      </c>
      <c r="AC9" s="31">
        <v>-18.8</v>
      </c>
      <c r="AD9" s="35">
        <v>1.5449419332325922</v>
      </c>
      <c r="AE9" s="35">
        <v>0.74223517223693425</v>
      </c>
      <c r="AF9" s="37">
        <v>0.56110707329647691</v>
      </c>
      <c r="AG9" s="37">
        <v>1.4302853144639609</v>
      </c>
      <c r="AH9" s="37">
        <v>0.18880653819679666</v>
      </c>
      <c r="AI9" s="38">
        <f t="shared" si="12"/>
        <v>32.149067154825865</v>
      </c>
      <c r="AJ9" s="38">
        <f t="shared" si="12"/>
        <v>81.949312018326722</v>
      </c>
      <c r="AK9" s="250">
        <f t="shared" si="12"/>
        <v>10.817817783152018</v>
      </c>
    </row>
    <row r="10" spans="1:37">
      <c r="A10" s="424" t="s">
        <v>76</v>
      </c>
      <c r="B10" s="35">
        <v>-11.81381</v>
      </c>
      <c r="C10" s="36">
        <v>2</v>
      </c>
      <c r="D10" s="35">
        <v>-11.81381</v>
      </c>
      <c r="E10" s="36">
        <f t="shared" si="13"/>
        <v>2</v>
      </c>
      <c r="F10" s="310" t="str">
        <f t="shared" si="14"/>
        <v>A</v>
      </c>
      <c r="G10" s="358">
        <v>1</v>
      </c>
      <c r="H10" s="358">
        <v>1</v>
      </c>
      <c r="I10" s="322">
        <v>2.2810000000000001</v>
      </c>
      <c r="J10" s="37">
        <v>-1.97155072</v>
      </c>
      <c r="K10" s="37">
        <v>0</v>
      </c>
      <c r="L10" s="37">
        <f t="shared" si="0"/>
        <v>-10.52</v>
      </c>
      <c r="M10" s="318">
        <f t="shared" si="1"/>
        <v>-12.77</v>
      </c>
      <c r="N10" s="414">
        <v>79.903999999999996</v>
      </c>
      <c r="O10" s="414">
        <v>79.903999999999996</v>
      </c>
      <c r="P10" s="37">
        <v>-10.52</v>
      </c>
      <c r="Q10" s="318">
        <f t="shared" si="2"/>
        <v>-12.77</v>
      </c>
      <c r="R10" s="305">
        <v>-2.2652347636796528</v>
      </c>
      <c r="S10" s="30" t="e">
        <f t="shared" si="3"/>
        <v>#DIV/0!</v>
      </c>
      <c r="T10" s="30" t="e">
        <f t="shared" si="4"/>
        <v>#DIV/0!</v>
      </c>
      <c r="U10" s="31">
        <f t="shared" si="5"/>
        <v>-1.9715507166666071</v>
      </c>
      <c r="V10" s="31">
        <f t="shared" si="6"/>
        <v>5.1092721919943073E-9</v>
      </c>
      <c r="W10" s="31" t="e">
        <f t="shared" si="7"/>
        <v>#DIV/0!</v>
      </c>
      <c r="X10" s="31" t="e">
        <f t="shared" si="8"/>
        <v>#DIV/0!</v>
      </c>
      <c r="Y10" s="305">
        <f t="shared" si="9"/>
        <v>-0.72846054281085038</v>
      </c>
      <c r="Z10" s="31">
        <f t="shared" si="10"/>
        <v>-15.07917072</v>
      </c>
      <c r="AA10" s="31" t="str">
        <f t="shared" si="11"/>
        <v>OK</v>
      </c>
      <c r="AB10" s="31" t="s">
        <v>85</v>
      </c>
      <c r="AC10" s="31">
        <v>-12.77</v>
      </c>
      <c r="AD10" s="35">
        <v>2.6673369974664509</v>
      </c>
      <c r="AE10" s="35">
        <v>1.0662241970974304</v>
      </c>
      <c r="AF10" s="37">
        <v>0.49085150032861158</v>
      </c>
      <c r="AG10" s="37">
        <v>1.6378205184992782</v>
      </c>
      <c r="AH10" s="37">
        <v>0.27052486479578641</v>
      </c>
      <c r="AI10" s="38">
        <f t="shared" si="12"/>
        <v>28.123719336493785</v>
      </c>
      <c r="AJ10" s="38">
        <f t="shared" si="12"/>
        <v>93.840203309936811</v>
      </c>
      <c r="AK10" s="250">
        <f t="shared" si="12"/>
        <v>15.499933006145785</v>
      </c>
    </row>
    <row r="11" spans="1:37">
      <c r="A11" s="424" t="s">
        <v>77</v>
      </c>
      <c r="B11" s="35">
        <v>-10.45126</v>
      </c>
      <c r="C11" s="36">
        <v>2</v>
      </c>
      <c r="D11" s="35">
        <v>-10.45126</v>
      </c>
      <c r="E11" s="36">
        <f t="shared" si="13"/>
        <v>2</v>
      </c>
      <c r="F11" s="310" t="str">
        <f t="shared" si="14"/>
        <v>A</v>
      </c>
      <c r="G11" s="358">
        <v>1</v>
      </c>
      <c r="H11" s="358">
        <v>1</v>
      </c>
      <c r="I11" s="322">
        <v>2.6669999999999998</v>
      </c>
      <c r="J11" s="37">
        <v>-1.5424434</v>
      </c>
      <c r="K11" s="37">
        <v>0</v>
      </c>
      <c r="L11" s="37">
        <f t="shared" si="0"/>
        <v>-9.3109999999999999</v>
      </c>
      <c r="M11" s="318">
        <f t="shared" si="1"/>
        <v>-11.01</v>
      </c>
      <c r="N11" s="414">
        <v>126.9045</v>
      </c>
      <c r="O11" s="414">
        <v>126.9045</v>
      </c>
      <c r="P11" s="37">
        <v>-9.3109999999999999</v>
      </c>
      <c r="Q11" s="318">
        <f t="shared" si="2"/>
        <v>-11.01</v>
      </c>
      <c r="R11" s="305">
        <v>-1.5579623409120225</v>
      </c>
      <c r="S11" s="30" t="e">
        <f t="shared" si="3"/>
        <v>#DIV/0!</v>
      </c>
      <c r="T11" s="30" t="e">
        <f t="shared" si="4"/>
        <v>#DIV/0!</v>
      </c>
      <c r="U11" s="31">
        <f t="shared" si="5"/>
        <v>-1.5424434000000018</v>
      </c>
      <c r="V11" s="31">
        <f t="shared" si="6"/>
        <v>2.1329604749098507E-15</v>
      </c>
      <c r="W11" s="31" t="e">
        <f t="shared" si="7"/>
        <v>#DIV/0!</v>
      </c>
      <c r="X11" s="31" t="e">
        <f t="shared" si="8"/>
        <v>#DIV/0!</v>
      </c>
      <c r="Y11" s="305">
        <f t="shared" si="9"/>
        <v>-0.41688076333424895</v>
      </c>
      <c r="Z11" s="31">
        <f t="shared" si="10"/>
        <v>-13.133963399999999</v>
      </c>
      <c r="AA11" s="31" t="str">
        <f t="shared" si="11"/>
        <v>OK</v>
      </c>
      <c r="AB11" s="31" t="s">
        <v>85</v>
      </c>
      <c r="AC11" s="31">
        <v>-11.01</v>
      </c>
      <c r="AD11" s="35">
        <v>1.4341548262282351</v>
      </c>
      <c r="AE11" s="35">
        <v>2.9986154919282759</v>
      </c>
      <c r="AF11" s="37">
        <v>1.6152177002792598</v>
      </c>
      <c r="AG11" s="37">
        <v>0.42594425045142698</v>
      </c>
      <c r="AH11" s="37">
        <v>0.32149764356323585</v>
      </c>
      <c r="AI11" s="38">
        <f t="shared" si="12"/>
        <v>92.545157220828358</v>
      </c>
      <c r="AJ11" s="38">
        <f t="shared" si="12"/>
        <v>24.404807858730077</v>
      </c>
      <c r="AK11" s="250">
        <f t="shared" si="12"/>
        <v>18.420458099574692</v>
      </c>
    </row>
    <row r="12" spans="1:37">
      <c r="A12" s="534" t="s">
        <v>78</v>
      </c>
      <c r="B12" s="35">
        <v>-12.967639999999999</v>
      </c>
      <c r="C12" s="36">
        <v>2</v>
      </c>
      <c r="D12" s="35">
        <v>-12.967639999999999</v>
      </c>
      <c r="E12" s="36">
        <f t="shared" si="13"/>
        <v>2</v>
      </c>
      <c r="F12" s="310" t="str">
        <f t="shared" si="14"/>
        <v>A</v>
      </c>
      <c r="G12" s="358">
        <v>1</v>
      </c>
      <c r="H12" s="358">
        <v>1</v>
      </c>
      <c r="I12" s="322">
        <v>1.988</v>
      </c>
      <c r="J12" s="37">
        <v>-4.52196209381</v>
      </c>
      <c r="K12" s="37">
        <v>0</v>
      </c>
      <c r="L12" s="37">
        <f t="shared" si="0"/>
        <v>-11.49</v>
      </c>
      <c r="M12" s="318">
        <f t="shared" si="1"/>
        <v>-14.4</v>
      </c>
      <c r="N12" s="414">
        <v>35.453000000000003</v>
      </c>
      <c r="O12" s="414">
        <v>35.453000000000003</v>
      </c>
      <c r="P12" s="37">
        <v>-11.49</v>
      </c>
      <c r="Q12" s="318">
        <f t="shared" si="2"/>
        <v>-14.4</v>
      </c>
      <c r="R12" s="305">
        <v>-3.233135330785271</v>
      </c>
      <c r="S12" s="30" t="e">
        <f t="shared" si="3"/>
        <v>#DIV/0!</v>
      </c>
      <c r="T12" s="30" t="e">
        <f t="shared" si="4"/>
        <v>#DIV/0!</v>
      </c>
      <c r="U12" s="31">
        <f t="shared" si="5"/>
        <v>-4.5219620938100009</v>
      </c>
      <c r="V12" s="31">
        <f t="shared" si="6"/>
        <v>-1.0664802374549254E-15</v>
      </c>
      <c r="W12" s="31" t="e">
        <f t="shared" si="7"/>
        <v>#DIV/0!</v>
      </c>
      <c r="X12" s="31" t="e">
        <f t="shared" si="8"/>
        <v>#DIV/0!</v>
      </c>
      <c r="Y12" s="305">
        <f t="shared" si="9"/>
        <v>-2.1995954242225539</v>
      </c>
      <c r="Z12" s="31">
        <f t="shared" si="10"/>
        <v>-18.96724209381</v>
      </c>
      <c r="AA12" s="31" t="str">
        <f t="shared" si="11"/>
        <v>OK</v>
      </c>
      <c r="AB12" s="31" t="s">
        <v>85</v>
      </c>
      <c r="AC12" s="31">
        <v>-14.4</v>
      </c>
      <c r="AD12" s="35">
        <v>2.5571626383271533</v>
      </c>
      <c r="AE12" s="35">
        <v>0.90905921256326305</v>
      </c>
      <c r="AF12" s="37">
        <v>0.42007085108374353</v>
      </c>
      <c r="AG12" s="37">
        <v>1.9622587835648519</v>
      </c>
      <c r="AH12" s="37">
        <v>0.256579192534995</v>
      </c>
      <c r="AI12" s="38">
        <f t="shared" si="12"/>
        <v>24.068286863567007</v>
      </c>
      <c r="AJ12" s="38">
        <f t="shared" si="12"/>
        <v>112.42914661074089</v>
      </c>
      <c r="AK12" s="250">
        <f t="shared" si="12"/>
        <v>14.700904843129772</v>
      </c>
    </row>
    <row r="13" spans="1:37">
      <c r="A13" s="534"/>
      <c r="B13" s="35">
        <v>-12.967639999999999</v>
      </c>
      <c r="C13" s="36">
        <v>2</v>
      </c>
      <c r="D13" s="35">
        <v>-12.967639999999999</v>
      </c>
      <c r="E13" s="36">
        <f t="shared" si="13"/>
        <v>2</v>
      </c>
      <c r="F13" s="310" t="str">
        <f t="shared" si="14"/>
        <v>A</v>
      </c>
      <c r="G13" s="358">
        <v>1</v>
      </c>
      <c r="H13" s="358">
        <v>1</v>
      </c>
      <c r="I13" s="322">
        <v>1.988</v>
      </c>
      <c r="J13" s="37">
        <v>-4.52196209381</v>
      </c>
      <c r="K13" s="37">
        <v>0</v>
      </c>
      <c r="L13" s="37">
        <f t="shared" si="0"/>
        <v>-11.32</v>
      </c>
      <c r="M13" s="318">
        <f t="shared" si="1"/>
        <v>-14.4</v>
      </c>
      <c r="N13" s="414">
        <v>35.453000000000003</v>
      </c>
      <c r="O13" s="414">
        <v>35.453000000000003</v>
      </c>
      <c r="P13" s="37">
        <v>-11.32</v>
      </c>
      <c r="Q13" s="318">
        <f t="shared" si="2"/>
        <v>-14.4</v>
      </c>
      <c r="R13" s="305">
        <v>-3.233135330785271</v>
      </c>
      <c r="S13" s="30" t="e">
        <f t="shared" si="3"/>
        <v>#DIV/0!</v>
      </c>
      <c r="T13" s="30" t="e">
        <f t="shared" si="4"/>
        <v>#DIV/0!</v>
      </c>
      <c r="U13" s="31">
        <f t="shared" si="5"/>
        <v>-4.52196209381</v>
      </c>
      <c r="V13" s="31">
        <f t="shared" si="6"/>
        <v>2.6662005936373134E-16</v>
      </c>
      <c r="W13" s="31" t="e">
        <f t="shared" si="7"/>
        <v>#DIV/0!</v>
      </c>
      <c r="X13" s="31" t="e">
        <f t="shared" si="8"/>
        <v>#DIV/0!</v>
      </c>
      <c r="Y13" s="305">
        <f t="shared" si="9"/>
        <v>-2.1995954242225539</v>
      </c>
      <c r="Z13" s="31">
        <f t="shared" si="10"/>
        <v>-19.137242093809999</v>
      </c>
      <c r="AA13" s="31" t="str">
        <f t="shared" si="11"/>
        <v>OK</v>
      </c>
      <c r="AB13" s="31" t="s">
        <v>85</v>
      </c>
      <c r="AC13" s="31">
        <v>-14.4</v>
      </c>
      <c r="AD13" s="35">
        <v>2.5610286161019991</v>
      </c>
      <c r="AE13" s="35">
        <v>0.90933153369120934</v>
      </c>
      <c r="AF13" s="37">
        <v>0.42595232386520449</v>
      </c>
      <c r="AG13" s="37">
        <v>1.9589805479976794</v>
      </c>
      <c r="AH13" s="37">
        <v>0.25500285529754213</v>
      </c>
      <c r="AI13" s="38">
        <f t="shared" si="12"/>
        <v>24.405270431265791</v>
      </c>
      <c r="AJ13" s="38">
        <f t="shared" si="12"/>
        <v>112.24131754849222</v>
      </c>
      <c r="AK13" s="250">
        <f t="shared" si="12"/>
        <v>14.610587372334411</v>
      </c>
    </row>
    <row r="14" spans="1:37">
      <c r="A14" s="534"/>
      <c r="B14" s="35">
        <v>-12.967639999999999</v>
      </c>
      <c r="C14" s="36">
        <v>2</v>
      </c>
      <c r="D14" s="35">
        <v>-12.967639999999999</v>
      </c>
      <c r="E14" s="36">
        <f t="shared" si="13"/>
        <v>2</v>
      </c>
      <c r="F14" s="310" t="str">
        <f t="shared" si="14"/>
        <v>A</v>
      </c>
      <c r="G14" s="358">
        <v>1</v>
      </c>
      <c r="H14" s="358">
        <v>1</v>
      </c>
      <c r="I14" s="322">
        <v>1.988</v>
      </c>
      <c r="J14" s="37">
        <v>-2.4809258400000003</v>
      </c>
      <c r="K14" s="37">
        <v>0</v>
      </c>
      <c r="L14" s="37">
        <f t="shared" si="0"/>
        <v>-11.32</v>
      </c>
      <c r="M14" s="318">
        <f t="shared" si="1"/>
        <v>-14.4</v>
      </c>
      <c r="N14" s="414">
        <v>35.453000000000003</v>
      </c>
      <c r="O14" s="414">
        <v>35.453000000000003</v>
      </c>
      <c r="P14" s="37">
        <v>-11.32</v>
      </c>
      <c r="Q14" s="318">
        <f t="shared" si="2"/>
        <v>-14.4</v>
      </c>
      <c r="R14" s="305">
        <v>-3.233135330785271</v>
      </c>
      <c r="S14" s="30" t="e">
        <f t="shared" si="3"/>
        <v>#DIV/0!</v>
      </c>
      <c r="T14" s="30" t="e">
        <f t="shared" si="4"/>
        <v>#DIV/0!</v>
      </c>
      <c r="U14" s="31">
        <f t="shared" si="5"/>
        <v>-2.4809258400000007</v>
      </c>
      <c r="V14" s="31">
        <f t="shared" si="6"/>
        <v>-2.6662005936373135E-15</v>
      </c>
      <c r="W14" s="31" t="e">
        <f t="shared" si="7"/>
        <v>#DIV/0!</v>
      </c>
      <c r="X14" s="31" t="e">
        <f t="shared" si="8"/>
        <v>#DIV/0!</v>
      </c>
      <c r="Y14" s="305">
        <f t="shared" si="9"/>
        <v>-1.2067843587122262</v>
      </c>
      <c r="Z14" s="31">
        <f t="shared" si="10"/>
        <v>-17.09620584</v>
      </c>
      <c r="AA14" s="31" t="str">
        <f t="shared" si="11"/>
        <v>OK</v>
      </c>
      <c r="AB14" s="31" t="s">
        <v>85</v>
      </c>
      <c r="AC14" s="31">
        <v>-14.4</v>
      </c>
      <c r="AD14" s="35">
        <v>2.3638063120883288</v>
      </c>
      <c r="AE14" s="35">
        <v>0.9416237553024468</v>
      </c>
      <c r="AF14" s="37">
        <v>0.5091035375081745</v>
      </c>
      <c r="AG14" s="37">
        <v>1.6516306198774335</v>
      </c>
      <c r="AH14" s="37">
        <v>0.27804895889267262</v>
      </c>
      <c r="AI14" s="38">
        <f t="shared" si="12"/>
        <v>29.169484034398604</v>
      </c>
      <c r="AJ14" s="38">
        <f t="shared" si="12"/>
        <v>94.631463833552914</v>
      </c>
      <c r="AK14" s="250">
        <f t="shared" si="12"/>
        <v>15.93103184255666</v>
      </c>
    </row>
    <row r="15" spans="1:37">
      <c r="A15" s="534"/>
      <c r="B15" s="35">
        <v>-12.967639999999999</v>
      </c>
      <c r="C15" s="36">
        <v>2</v>
      </c>
      <c r="D15" s="35">
        <v>-12.967639999999999</v>
      </c>
      <c r="E15" s="36">
        <f t="shared" si="13"/>
        <v>2</v>
      </c>
      <c r="F15" s="310" t="str">
        <f t="shared" si="14"/>
        <v>A</v>
      </c>
      <c r="G15" s="358">
        <v>1</v>
      </c>
      <c r="H15" s="358">
        <v>1</v>
      </c>
      <c r="I15" s="322">
        <v>1.988</v>
      </c>
      <c r="J15" s="37">
        <v>-2.4809258400000003</v>
      </c>
      <c r="K15" s="37">
        <v>0</v>
      </c>
      <c r="L15" s="37">
        <f t="shared" si="0"/>
        <v>-11.49</v>
      </c>
      <c r="M15" s="318">
        <f t="shared" si="1"/>
        <v>-14.4</v>
      </c>
      <c r="N15" s="414">
        <v>35.453000000000003</v>
      </c>
      <c r="O15" s="414">
        <v>35.453000000000003</v>
      </c>
      <c r="P15" s="37">
        <v>-11.49</v>
      </c>
      <c r="Q15" s="318">
        <f t="shared" si="2"/>
        <v>-14.4</v>
      </c>
      <c r="R15" s="305">
        <v>-3.233135330785271</v>
      </c>
      <c r="S15" s="30" t="e">
        <f t="shared" si="3"/>
        <v>#DIV/0!</v>
      </c>
      <c r="T15" s="30" t="e">
        <f t="shared" si="4"/>
        <v>#DIV/0!</v>
      </c>
      <c r="U15" s="31">
        <f t="shared" si="5"/>
        <v>-2.4809258400000007</v>
      </c>
      <c r="V15" s="31">
        <f t="shared" si="6"/>
        <v>3.9993008904559698E-16</v>
      </c>
      <c r="W15" s="31" t="e">
        <f t="shared" si="7"/>
        <v>#DIV/0!</v>
      </c>
      <c r="X15" s="31" t="e">
        <f t="shared" si="8"/>
        <v>#DIV/0!</v>
      </c>
      <c r="Y15" s="305">
        <f t="shared" si="9"/>
        <v>-1.2067843587122264</v>
      </c>
      <c r="Z15" s="31">
        <f t="shared" si="10"/>
        <v>-16.926205840000002</v>
      </c>
      <c r="AA15" s="31" t="str">
        <f t="shared" si="11"/>
        <v>OK</v>
      </c>
      <c r="AB15" s="31" t="s">
        <v>85</v>
      </c>
      <c r="AC15" s="31">
        <v>-14.4</v>
      </c>
      <c r="AD15" s="35">
        <v>2.3596024465274978</v>
      </c>
      <c r="AE15" s="35">
        <v>0.94114474729089603</v>
      </c>
      <c r="AF15" s="37">
        <v>0.50291928471904979</v>
      </c>
      <c r="AG15" s="37">
        <v>1.6552990616557424</v>
      </c>
      <c r="AH15" s="37">
        <v>0.27935108989865071</v>
      </c>
      <c r="AI15" s="38">
        <f t="shared" si="12"/>
        <v>28.815152450139749</v>
      </c>
      <c r="AJ15" s="38">
        <f t="shared" si="12"/>
        <v>94.84165006483947</v>
      </c>
      <c r="AK15" s="250">
        <f t="shared" si="12"/>
        <v>16.005638453572331</v>
      </c>
    </row>
    <row r="16" spans="1:37">
      <c r="A16" s="535" t="s">
        <v>79</v>
      </c>
      <c r="B16" s="35">
        <v>-5.3917200000000003</v>
      </c>
      <c r="C16" s="36">
        <v>1</v>
      </c>
      <c r="D16" s="35">
        <v>-5.3917200000000003</v>
      </c>
      <c r="E16" s="36">
        <f t="shared" si="13"/>
        <v>1</v>
      </c>
      <c r="F16" s="310" t="str">
        <f t="shared" si="14"/>
        <v>A</v>
      </c>
      <c r="G16" s="358">
        <v>1</v>
      </c>
      <c r="H16" s="358">
        <v>1</v>
      </c>
      <c r="I16" s="322">
        <v>2.673</v>
      </c>
      <c r="J16" s="37">
        <v>-1.08824835</v>
      </c>
      <c r="K16" s="37">
        <v>0</v>
      </c>
      <c r="L16" s="37">
        <f t="shared" si="0"/>
        <v>-5</v>
      </c>
      <c r="M16" s="37">
        <f t="shared" si="1"/>
        <v>-6.057503917750001</v>
      </c>
      <c r="N16" s="37">
        <v>6.9409999999999998</v>
      </c>
      <c r="O16" s="37">
        <v>6.9409999999999998</v>
      </c>
      <c r="P16" s="37">
        <v>-5</v>
      </c>
      <c r="Q16" s="37">
        <f t="shared" si="2"/>
        <v>-6.057503917750001</v>
      </c>
      <c r="R16" s="305">
        <v>-0.25281093923790615</v>
      </c>
      <c r="S16" s="30" t="e">
        <f t="shared" si="3"/>
        <v>#DIV/0!</v>
      </c>
      <c r="T16" s="30" t="e">
        <f t="shared" si="4"/>
        <v>#DIV/0!</v>
      </c>
      <c r="U16" s="31">
        <f t="shared" si="5"/>
        <v>-1.0882483500000006</v>
      </c>
      <c r="V16" s="31">
        <f t="shared" si="6"/>
        <v>2.1329604749098507E-15</v>
      </c>
      <c r="W16" s="31" t="e">
        <f t="shared" si="7"/>
        <v>#DIV/0!</v>
      </c>
      <c r="X16" s="31" t="e">
        <f t="shared" si="8"/>
        <v>#DIV/0!</v>
      </c>
      <c r="Y16" s="305">
        <f t="shared" si="9"/>
        <v>-0.2928051763021563</v>
      </c>
      <c r="Z16" s="31">
        <f t="shared" si="10"/>
        <v>-6.8716883500000012</v>
      </c>
      <c r="AA16" s="31" t="str">
        <f t="shared" si="11"/>
        <v>OK</v>
      </c>
      <c r="AB16" s="31"/>
      <c r="AC16" s="31"/>
      <c r="AD16" s="35">
        <v>2.6733297135927501</v>
      </c>
      <c r="AE16" s="35">
        <v>2.6350995906388275</v>
      </c>
      <c r="AF16" s="37">
        <v>1.1375727080604527</v>
      </c>
      <c r="AG16" s="37">
        <v>0.94160186899982978</v>
      </c>
      <c r="AH16" s="37">
        <v>0.30930997365499202</v>
      </c>
      <c r="AI16" s="38">
        <f t="shared" si="12"/>
        <v>65.178115061131663</v>
      </c>
      <c r="AJ16" s="38">
        <f t="shared" si="12"/>
        <v>53.949813075320471</v>
      </c>
      <c r="AK16" s="250">
        <f t="shared" si="12"/>
        <v>17.722156051733723</v>
      </c>
    </row>
    <row r="17" spans="1:37">
      <c r="A17" s="535"/>
      <c r="B17" s="27">
        <v>-5.3917200000000003</v>
      </c>
      <c r="C17" s="28">
        <v>1</v>
      </c>
      <c r="D17" s="27">
        <v>-5.3917200000000003</v>
      </c>
      <c r="E17" s="28">
        <f t="shared" si="13"/>
        <v>1</v>
      </c>
      <c r="F17" s="309" t="str">
        <f t="shared" si="14"/>
        <v>A</v>
      </c>
      <c r="G17" s="357">
        <v>1</v>
      </c>
      <c r="H17" s="357">
        <v>1</v>
      </c>
      <c r="I17" s="323">
        <v>2.673</v>
      </c>
      <c r="J17" s="29">
        <v>-1.1411044000000001</v>
      </c>
      <c r="K17" s="29">
        <v>0</v>
      </c>
      <c r="L17" s="29">
        <f t="shared" si="0"/>
        <v>-5.1130000000000004</v>
      </c>
      <c r="M17" s="29">
        <f t="shared" si="1"/>
        <v>-6.0726775860000002</v>
      </c>
      <c r="N17" s="37">
        <v>6.9409999999999998</v>
      </c>
      <c r="O17" s="37">
        <v>6.9409999999999998</v>
      </c>
      <c r="P17" s="29">
        <v>-5.1130000000000004</v>
      </c>
      <c r="Q17" s="29">
        <f t="shared" si="2"/>
        <v>-6.0726775860000002</v>
      </c>
      <c r="R17" s="305">
        <v>-0.23373792459125939</v>
      </c>
      <c r="S17" s="30" t="e">
        <f t="shared" si="3"/>
        <v>#DIV/0!</v>
      </c>
      <c r="T17" s="30" t="e">
        <f t="shared" si="4"/>
        <v>#DIV/0!</v>
      </c>
      <c r="U17" s="31">
        <f t="shared" si="5"/>
        <v>-1.1411043999999999</v>
      </c>
      <c r="V17" s="31">
        <f t="shared" si="6"/>
        <v>-1.0664802374549254E-15</v>
      </c>
      <c r="W17" s="31" t="e">
        <f t="shared" si="7"/>
        <v>#DIV/0!</v>
      </c>
      <c r="X17" s="31" t="e">
        <f t="shared" si="8"/>
        <v>#DIV/0!</v>
      </c>
      <c r="Y17" s="305">
        <f t="shared" si="9"/>
        <v>-0.3070266773399345</v>
      </c>
      <c r="Z17" s="31">
        <f t="shared" si="10"/>
        <v>-6.8115443999999998</v>
      </c>
      <c r="AA17" s="31" t="str">
        <f t="shared" si="11"/>
        <v>OK</v>
      </c>
      <c r="AB17" s="31"/>
      <c r="AC17" s="31"/>
      <c r="AD17" s="27">
        <v>2.6092849942795389</v>
      </c>
      <c r="AE17" s="27">
        <v>2.675825163733919</v>
      </c>
      <c r="AF17" s="29">
        <v>1.1579096766334316</v>
      </c>
      <c r="AG17" s="29">
        <v>0.91767638323242007</v>
      </c>
      <c r="AH17" s="29">
        <v>0.25230148031779676</v>
      </c>
      <c r="AI17" s="32">
        <f t="shared" si="12"/>
        <v>66.343337528453546</v>
      </c>
      <c r="AJ17" s="32">
        <f t="shared" si="12"/>
        <v>52.578983718047574</v>
      </c>
      <c r="AK17" s="249">
        <f t="shared" si="12"/>
        <v>14.455809987112762</v>
      </c>
    </row>
    <row r="18" spans="1:37">
      <c r="A18" s="535" t="s">
        <v>50</v>
      </c>
      <c r="B18" s="35">
        <v>-5.1390799999999999</v>
      </c>
      <c r="C18" s="36">
        <v>1</v>
      </c>
      <c r="D18" s="35">
        <v>-5.1390799999999999</v>
      </c>
      <c r="E18" s="36">
        <f t="shared" si="13"/>
        <v>1</v>
      </c>
      <c r="F18" s="310" t="str">
        <f t="shared" si="14"/>
        <v>A</v>
      </c>
      <c r="G18" s="358">
        <v>1</v>
      </c>
      <c r="H18" s="358">
        <v>1</v>
      </c>
      <c r="I18" s="322">
        <v>3.0779999999999998</v>
      </c>
      <c r="J18" s="37">
        <v>-0.75061240000000007</v>
      </c>
      <c r="K18" s="37">
        <v>0</v>
      </c>
      <c r="L18" s="37">
        <f t="shared" si="0"/>
        <v>-4.8920000000000003</v>
      </c>
      <c r="M18" s="37">
        <f t="shared" si="1"/>
        <v>-5.5952964059999992</v>
      </c>
      <c r="N18" s="37">
        <v>22.989699999999999</v>
      </c>
      <c r="O18" s="37">
        <v>22.989699999999999</v>
      </c>
      <c r="P18" s="37">
        <v>-4.8920000000000003</v>
      </c>
      <c r="Q18" s="37">
        <f t="shared" si="2"/>
        <v>-5.5952964059999992</v>
      </c>
      <c r="R18" s="305">
        <v>-0.17171679130343118</v>
      </c>
      <c r="S18" s="30" t="e">
        <f t="shared" si="3"/>
        <v>#DIV/0!</v>
      </c>
      <c r="T18" s="30" t="e">
        <f t="shared" si="4"/>
        <v>#DIV/0!</v>
      </c>
      <c r="U18" s="31">
        <f t="shared" si="5"/>
        <v>-0.75061239999643847</v>
      </c>
      <c r="V18" s="31">
        <f t="shared" si="6"/>
        <v>-8.8411211685013311E-13</v>
      </c>
      <c r="W18" s="31" t="e">
        <f t="shared" si="7"/>
        <v>#DIV/0!</v>
      </c>
      <c r="X18" s="31" t="e">
        <f t="shared" si="8"/>
        <v>#DIV/0!</v>
      </c>
      <c r="Y18" s="305">
        <f t="shared" si="9"/>
        <v>-0.15230955660379697</v>
      </c>
      <c r="Z18" s="31">
        <f t="shared" si="10"/>
        <v>-6.136772399999999</v>
      </c>
      <c r="AA18" s="31" t="str">
        <f t="shared" si="11"/>
        <v>OK</v>
      </c>
      <c r="AB18" s="31"/>
      <c r="AC18" s="31"/>
      <c r="AD18" s="35">
        <v>2.8054521847911928</v>
      </c>
      <c r="AE18" s="35">
        <v>3.0584643314662578</v>
      </c>
      <c r="AF18" s="37">
        <v>1.1651933463012225</v>
      </c>
      <c r="AG18" s="37">
        <v>0.87048515670713211</v>
      </c>
      <c r="AH18" s="37">
        <v>0.21961863383942404</v>
      </c>
      <c r="AI18" s="38">
        <f t="shared" si="12"/>
        <v>66.76066105978542</v>
      </c>
      <c r="AJ18" s="38">
        <f t="shared" si="12"/>
        <v>49.875125608102756</v>
      </c>
      <c r="AK18" s="250">
        <f t="shared" si="12"/>
        <v>12.583220821428</v>
      </c>
    </row>
    <row r="19" spans="1:37">
      <c r="A19" s="535"/>
      <c r="B19" s="35">
        <v>-5.1390799999999999</v>
      </c>
      <c r="C19" s="36">
        <v>1</v>
      </c>
      <c r="D19" s="35">
        <v>-5.1390799999999999</v>
      </c>
      <c r="E19" s="36">
        <f t="shared" si="13"/>
        <v>1</v>
      </c>
      <c r="F19" s="310" t="str">
        <f t="shared" si="14"/>
        <v>A</v>
      </c>
      <c r="G19" s="358">
        <v>1</v>
      </c>
      <c r="H19" s="358">
        <v>1</v>
      </c>
      <c r="I19" s="322">
        <v>3.0779999999999998</v>
      </c>
      <c r="J19" s="37">
        <v>-0.77529921735000007</v>
      </c>
      <c r="K19" s="37">
        <v>0</v>
      </c>
      <c r="L19" s="37">
        <f t="shared" si="0"/>
        <v>-4.8920000000000003</v>
      </c>
      <c r="M19" s="37">
        <f t="shared" si="1"/>
        <v>-5.6092444578027498</v>
      </c>
      <c r="N19" s="37">
        <v>22.989699999999999</v>
      </c>
      <c r="O19" s="37">
        <v>22.989699999999999</v>
      </c>
      <c r="P19" s="37">
        <v>-4.8920000000000003</v>
      </c>
      <c r="Q19" s="37">
        <f t="shared" si="2"/>
        <v>-5.6092444578027498</v>
      </c>
      <c r="R19" s="305">
        <v>-0.15875384458775843</v>
      </c>
      <c r="S19" s="30" t="e">
        <f t="shared" si="3"/>
        <v>#DIV/0!</v>
      </c>
      <c r="T19" s="30" t="e">
        <f t="shared" si="4"/>
        <v>#DIV/0!</v>
      </c>
      <c r="U19" s="31">
        <f t="shared" si="5"/>
        <v>-0.77529921734994722</v>
      </c>
      <c r="V19" s="31">
        <f t="shared" si="6"/>
        <v>8.7451379471303881E-14</v>
      </c>
      <c r="W19" s="31" t="e">
        <f t="shared" si="7"/>
        <v>#DIV/0!</v>
      </c>
      <c r="X19" s="31" t="e">
        <f t="shared" si="8"/>
        <v>#DIV/0!</v>
      </c>
      <c r="Y19" s="305">
        <f t="shared" si="9"/>
        <v>-0.15731885062170781</v>
      </c>
      <c r="Z19" s="31">
        <f t="shared" si="10"/>
        <v>-6.1614592173499991</v>
      </c>
      <c r="AA19" s="31" t="str">
        <f t="shared" si="11"/>
        <v>OK</v>
      </c>
      <c r="AB19" s="31"/>
      <c r="AC19" s="31"/>
      <c r="AD19" s="35">
        <v>2.791923098308601</v>
      </c>
      <c r="AE19" s="35">
        <v>3.0749873731523456</v>
      </c>
      <c r="AF19" s="37">
        <v>1.1754233663213847</v>
      </c>
      <c r="AG19" s="37">
        <v>0.86152360400418149</v>
      </c>
      <c r="AH19" s="37">
        <v>0.21232625796691493</v>
      </c>
      <c r="AI19" s="38">
        <f t="shared" si="12"/>
        <v>67.346798031275057</v>
      </c>
      <c r="AJ19" s="38">
        <f t="shared" si="12"/>
        <v>49.361666460339627</v>
      </c>
      <c r="AK19" s="250">
        <f t="shared" si="12"/>
        <v>12.165398461310197</v>
      </c>
    </row>
    <row r="20" spans="1:37">
      <c r="A20" s="424" t="s">
        <v>80</v>
      </c>
      <c r="B20" s="27">
        <v>-4.3410000000000002</v>
      </c>
      <c r="C20" s="28">
        <v>1</v>
      </c>
      <c r="D20" s="27">
        <v>-4.3410000000000002</v>
      </c>
      <c r="E20" s="28">
        <f t="shared" si="13"/>
        <v>1</v>
      </c>
      <c r="F20" s="309" t="str">
        <f t="shared" si="14"/>
        <v>A</v>
      </c>
      <c r="G20" s="357">
        <v>1</v>
      </c>
      <c r="H20" s="357">
        <v>1</v>
      </c>
      <c r="I20" s="323">
        <v>3.923</v>
      </c>
      <c r="J20" s="29">
        <v>-0.51197840000000006</v>
      </c>
      <c r="K20" s="29">
        <v>0</v>
      </c>
      <c r="L20" s="29">
        <f t="shared" si="0"/>
        <v>-4</v>
      </c>
      <c r="M20" s="29">
        <f t="shared" si="1"/>
        <v>-4.6745977960000005</v>
      </c>
      <c r="N20" s="29">
        <v>39.098300000000002</v>
      </c>
      <c r="O20" s="29">
        <v>39.098300000000002</v>
      </c>
      <c r="P20" s="29">
        <v>-4</v>
      </c>
      <c r="Q20" s="29">
        <f t="shared" si="2"/>
        <v>-4.6745977960000005</v>
      </c>
      <c r="R20" s="305">
        <v>-9.8985810774385216E-2</v>
      </c>
      <c r="S20" s="30" t="e">
        <f t="shared" si="3"/>
        <v>#DIV/0!</v>
      </c>
      <c r="T20" s="30" t="e">
        <f t="shared" si="4"/>
        <v>#DIV/0!</v>
      </c>
      <c r="U20" s="31">
        <f t="shared" si="5"/>
        <v>-0.51197840000000017</v>
      </c>
      <c r="V20" s="31">
        <f t="shared" si="6"/>
        <v>0</v>
      </c>
      <c r="W20" s="31" t="e">
        <f t="shared" si="7"/>
        <v>#DIV/0!</v>
      </c>
      <c r="X20" s="31" t="e">
        <f t="shared" si="8"/>
        <v>#DIV/0!</v>
      </c>
      <c r="Y20" s="305">
        <f t="shared" si="9"/>
        <v>-6.3953405096021293E-2</v>
      </c>
      <c r="Z20" s="31">
        <f t="shared" si="10"/>
        <v>-5.1939784000000007</v>
      </c>
      <c r="AA20" s="31" t="str">
        <f t="shared" si="11"/>
        <v>OK</v>
      </c>
      <c r="AB20" s="31"/>
      <c r="AC20" s="31"/>
      <c r="AD20" s="27">
        <v>3.4480573988806578</v>
      </c>
      <c r="AE20" s="27">
        <v>3.8540447343017572</v>
      </c>
      <c r="AF20" s="29">
        <v>1.1803025946266164</v>
      </c>
      <c r="AG20" s="29">
        <v>0.82665004377785989</v>
      </c>
      <c r="AH20" s="29">
        <v>9.5494760373982926E-2</v>
      </c>
      <c r="AI20" s="32">
        <f t="shared" si="12"/>
        <v>67.626357220445598</v>
      </c>
      <c r="AJ20" s="32">
        <f t="shared" si="12"/>
        <v>47.363558642776113</v>
      </c>
      <c r="AK20" s="249">
        <f t="shared" si="12"/>
        <v>5.4714467350423561</v>
      </c>
    </row>
    <row r="21" spans="1:37">
      <c r="A21" s="535" t="s">
        <v>51</v>
      </c>
      <c r="B21" s="35">
        <v>-4.1769999999999996</v>
      </c>
      <c r="C21" s="36">
        <v>1</v>
      </c>
      <c r="D21" s="35">
        <v>-4.1769999999999996</v>
      </c>
      <c r="E21" s="36">
        <f t="shared" si="13"/>
        <v>1</v>
      </c>
      <c r="F21" s="310" t="str">
        <f t="shared" si="14"/>
        <v>A</v>
      </c>
      <c r="G21" s="358">
        <v>1</v>
      </c>
      <c r="H21" s="358">
        <v>1</v>
      </c>
      <c r="I21" s="322">
        <v>4.2</v>
      </c>
      <c r="J21" s="37">
        <v>-0.49028440000000006</v>
      </c>
      <c r="K21" s="37">
        <v>0</v>
      </c>
      <c r="L21" s="37">
        <f t="shared" si="0"/>
        <v>-3.44</v>
      </c>
      <c r="M21" s="37">
        <f t="shared" si="1"/>
        <v>-4.5498206860000003</v>
      </c>
      <c r="N21" s="37">
        <v>85.467799999999997</v>
      </c>
      <c r="O21" s="37">
        <v>85.467799999999997</v>
      </c>
      <c r="P21" s="37">
        <v>-3.44</v>
      </c>
      <c r="Q21" s="37">
        <f t="shared" si="2"/>
        <v>-4.5498206860000003</v>
      </c>
      <c r="R21" s="305">
        <v>-8.2723681393198023E-2</v>
      </c>
      <c r="S21" s="30" t="e">
        <f t="shared" si="3"/>
        <v>#DIV/0!</v>
      </c>
      <c r="T21" s="30" t="e">
        <f t="shared" si="4"/>
        <v>#DIV/0!</v>
      </c>
      <c r="U21" s="31">
        <f t="shared" si="5"/>
        <v>-0.49028439999997536</v>
      </c>
      <c r="V21" s="31">
        <f t="shared" si="6"/>
        <v>7.2520656146934922E-14</v>
      </c>
      <c r="W21" s="31" t="e">
        <f t="shared" si="7"/>
        <v>#DIV/0!</v>
      </c>
      <c r="X21" s="31" t="e">
        <f t="shared" si="8"/>
        <v>#DIV/0!</v>
      </c>
      <c r="Y21" s="305">
        <f t="shared" si="9"/>
        <v>-5.3431595709944192E-2</v>
      </c>
      <c r="Z21" s="31">
        <f t="shared" si="10"/>
        <v>-5.4042843999999999</v>
      </c>
      <c r="AA21" s="31" t="str">
        <f t="shared" si="11"/>
        <v>OK</v>
      </c>
      <c r="AB21" s="31"/>
      <c r="AC21" s="31"/>
      <c r="AD21" s="27">
        <v>3.8946060208186877</v>
      </c>
      <c r="AE21" s="27">
        <v>4.0215996950081969</v>
      </c>
      <c r="AF21" s="29">
        <v>1.1890260836719573</v>
      </c>
      <c r="AG21" s="29">
        <v>0.81816533325434782</v>
      </c>
      <c r="AH21" s="29">
        <v>0.1433677901829552</v>
      </c>
      <c r="AI21" s="38">
        <f t="shared" ref="AI21:AK45" si="15">DEGREES(AF21)</f>
        <v>68.126176325372242</v>
      </c>
      <c r="AJ21" s="38">
        <f t="shared" si="15"/>
        <v>46.877420539388631</v>
      </c>
      <c r="AK21" s="250">
        <f t="shared" si="15"/>
        <v>8.2143692956004504</v>
      </c>
    </row>
    <row r="22" spans="1:37">
      <c r="A22" s="535"/>
      <c r="B22" s="35">
        <v>-4.1769999999999996</v>
      </c>
      <c r="C22" s="36">
        <v>1</v>
      </c>
      <c r="D22" s="35">
        <v>-4.1769999999999996</v>
      </c>
      <c r="E22" s="36">
        <f t="shared" si="13"/>
        <v>1</v>
      </c>
      <c r="F22" s="310" t="str">
        <f t="shared" si="14"/>
        <v>A</v>
      </c>
      <c r="G22" s="358">
        <v>1</v>
      </c>
      <c r="H22" s="358">
        <v>1</v>
      </c>
      <c r="I22" s="322">
        <v>4.2</v>
      </c>
      <c r="J22" s="37">
        <v>-0.50679207446000007</v>
      </c>
      <c r="K22" s="37">
        <v>0</v>
      </c>
      <c r="L22" s="37">
        <f t="shared" si="0"/>
        <v>-3.95</v>
      </c>
      <c r="M22" s="37">
        <f t="shared" si="1"/>
        <v>-4.4928475220698996</v>
      </c>
      <c r="N22" s="37">
        <v>85.467799999999997</v>
      </c>
      <c r="O22" s="37">
        <v>85.467799999999997</v>
      </c>
      <c r="P22" s="37">
        <v>-3.95</v>
      </c>
      <c r="Q22" s="37">
        <f t="shared" si="2"/>
        <v>-4.4928475220698996</v>
      </c>
      <c r="R22" s="305">
        <v>-8.2723681393198023E-2</v>
      </c>
      <c r="S22" s="30" t="e">
        <f t="shared" si="3"/>
        <v>#DIV/0!</v>
      </c>
      <c r="T22" s="30" t="e">
        <f t="shared" si="4"/>
        <v>#DIV/0!</v>
      </c>
      <c r="U22" s="31">
        <f t="shared" si="5"/>
        <v>-0.50679207446000007</v>
      </c>
      <c r="V22" s="31">
        <f t="shared" si="6"/>
        <v>-2.1329604749098507E-15</v>
      </c>
      <c r="W22" s="31" t="e">
        <f t="shared" si="7"/>
        <v>#DIV/0!</v>
      </c>
      <c r="X22" s="31" t="e">
        <f t="shared" si="8"/>
        <v>#DIV/0!</v>
      </c>
      <c r="Y22" s="305">
        <f t="shared" si="9"/>
        <v>-5.523061560096959E-2</v>
      </c>
      <c r="Z22" s="31">
        <f t="shared" si="10"/>
        <v>-4.9107920744599989</v>
      </c>
      <c r="AA22" s="31" t="str">
        <f t="shared" si="11"/>
        <v>OK</v>
      </c>
      <c r="AB22" s="31"/>
      <c r="AC22" s="31"/>
      <c r="AD22" s="27">
        <v>3.4685464048693069</v>
      </c>
      <c r="AE22" s="27">
        <v>4.2424859817492502</v>
      </c>
      <c r="AF22" s="29">
        <v>1.2292637483923476</v>
      </c>
      <c r="AG22" s="29">
        <v>0.77251982092963412</v>
      </c>
      <c r="AH22" s="29">
        <v>4.6475414903721299E-2</v>
      </c>
      <c r="AI22" s="38">
        <f t="shared" si="15"/>
        <v>70.431624691313061</v>
      </c>
      <c r="AJ22" s="38">
        <f t="shared" si="15"/>
        <v>44.262125329470152</v>
      </c>
      <c r="AK22" s="250">
        <f t="shared" si="15"/>
        <v>2.6628451251026357</v>
      </c>
    </row>
    <row r="23" spans="1:37">
      <c r="A23" s="535" t="s">
        <v>52</v>
      </c>
      <c r="B23" s="35">
        <v>-3.8940000000000001</v>
      </c>
      <c r="C23" s="36">
        <v>1</v>
      </c>
      <c r="D23" s="35">
        <v>-3.8940000000000001</v>
      </c>
      <c r="E23" s="36">
        <f t="shared" si="13"/>
        <v>1</v>
      </c>
      <c r="F23" s="310" t="str">
        <f t="shared" si="14"/>
        <v>A</v>
      </c>
      <c r="G23" s="358">
        <v>1</v>
      </c>
      <c r="H23" s="358">
        <v>1</v>
      </c>
      <c r="I23" s="322">
        <v>4.58</v>
      </c>
      <c r="J23" s="37">
        <v>-0.45518837412999996</v>
      </c>
      <c r="K23" s="37">
        <v>0</v>
      </c>
      <c r="L23" s="37">
        <f t="shared" si="0"/>
        <v>-3.5920000000000001</v>
      </c>
      <c r="M23" s="37">
        <f t="shared" si="1"/>
        <v>-4.1904414313834497</v>
      </c>
      <c r="N23" s="37">
        <v>132.90549999999999</v>
      </c>
      <c r="O23" s="37">
        <v>132.90549999999999</v>
      </c>
      <c r="P23" s="37">
        <v>-3.5920000000000001</v>
      </c>
      <c r="Q23" s="37">
        <f t="shared" si="2"/>
        <v>-4.1904414313834497</v>
      </c>
      <c r="R23" s="305">
        <v>-6.9128061527468726E-2</v>
      </c>
      <c r="S23" s="30" t="e">
        <f t="shared" si="3"/>
        <v>#DIV/0!</v>
      </c>
      <c r="T23" s="30" t="e">
        <f t="shared" si="4"/>
        <v>#DIV/0!</v>
      </c>
      <c r="U23" s="31">
        <f t="shared" si="5"/>
        <v>-0.45518837412999968</v>
      </c>
      <c r="V23" s="31">
        <f t="shared" si="6"/>
        <v>-2.1329604749098507E-15</v>
      </c>
      <c r="W23" s="31" t="e">
        <f t="shared" si="7"/>
        <v>#DIV/0!</v>
      </c>
      <c r="X23" s="31" t="e">
        <f t="shared" si="8"/>
        <v>#DIV/0!</v>
      </c>
      <c r="Y23" s="305">
        <f t="shared" si="9"/>
        <v>-4.1716595227954414E-2</v>
      </c>
      <c r="Z23" s="31">
        <f t="shared" si="10"/>
        <v>-4.6511883741299993</v>
      </c>
      <c r="AA23" s="31" t="str">
        <f t="shared" si="11"/>
        <v>OK</v>
      </c>
      <c r="AB23" s="31"/>
      <c r="AC23" s="31"/>
      <c r="AD23" s="27">
        <v>3.8014952813276879</v>
      </c>
      <c r="AE23" s="27">
        <v>4.5982980830282463</v>
      </c>
      <c r="AF23" s="29">
        <v>1.2320813784542797</v>
      </c>
      <c r="AG23" s="29">
        <v>0.76508610262755794</v>
      </c>
      <c r="AH23" s="29">
        <v>2.216439036363322E-2</v>
      </c>
      <c r="AI23" s="38">
        <f t="shared" si="15"/>
        <v>70.593063002090943</v>
      </c>
      <c r="AJ23" s="38">
        <f t="shared" si="15"/>
        <v>43.836204644672037</v>
      </c>
      <c r="AK23" s="250">
        <f t="shared" si="15"/>
        <v>1.2699260233166154</v>
      </c>
    </row>
    <row r="24" spans="1:37">
      <c r="A24" s="535"/>
      <c r="B24" s="35">
        <v>-3.8940000000000001</v>
      </c>
      <c r="C24" s="36">
        <v>1</v>
      </c>
      <c r="D24" s="35">
        <v>-3.8940000000000001</v>
      </c>
      <c r="E24" s="36">
        <f t="shared" si="13"/>
        <v>1</v>
      </c>
      <c r="F24" s="310" t="str">
        <f t="shared" si="14"/>
        <v>A</v>
      </c>
      <c r="G24" s="358">
        <v>1</v>
      </c>
      <c r="H24" s="358">
        <v>1</v>
      </c>
      <c r="I24" s="322">
        <v>4.58</v>
      </c>
      <c r="J24" s="37">
        <v>-0.45123520000000006</v>
      </c>
      <c r="K24" s="37">
        <v>0</v>
      </c>
      <c r="L24" s="37">
        <f t="shared" si="0"/>
        <v>-3.8210000000000002</v>
      </c>
      <c r="M24" s="37">
        <f t="shared" si="1"/>
        <v>-4.1584378879999999</v>
      </c>
      <c r="N24" s="37">
        <v>132.90549999999999</v>
      </c>
      <c r="O24" s="37">
        <v>132.90549999999999</v>
      </c>
      <c r="P24" s="37">
        <v>-3.8210000000000002</v>
      </c>
      <c r="Q24" s="37">
        <f t="shared" si="2"/>
        <v>-4.1584378879999999</v>
      </c>
      <c r="R24" s="305">
        <v>-6.9128061527468726E-2</v>
      </c>
      <c r="S24" s="30" t="e">
        <f t="shared" si="3"/>
        <v>#DIV/0!</v>
      </c>
      <c r="T24" s="30" t="e">
        <f t="shared" si="4"/>
        <v>#DIV/0!</v>
      </c>
      <c r="U24" s="31">
        <f t="shared" si="5"/>
        <v>-0.4512352</v>
      </c>
      <c r="V24" s="31">
        <f t="shared" si="6"/>
        <v>2.1329604749098507E-15</v>
      </c>
      <c r="W24" s="31" t="e">
        <f t="shared" si="7"/>
        <v>#DIV/0!</v>
      </c>
      <c r="X24" s="31" t="e">
        <f t="shared" si="8"/>
        <v>#DIV/0!</v>
      </c>
      <c r="Y24" s="305">
        <f t="shared" si="9"/>
        <v>-4.1354299144795402E-2</v>
      </c>
      <c r="Z24" s="31">
        <f t="shared" si="10"/>
        <v>-4.4182351999999998</v>
      </c>
      <c r="AA24" s="31" t="str">
        <f t="shared" si="11"/>
        <v>OK</v>
      </c>
      <c r="AB24" s="31"/>
      <c r="AC24" s="31"/>
      <c r="AD24" s="27">
        <v>3.6113601933623052</v>
      </c>
      <c r="AE24" s="27">
        <v>4.6841901832614816</v>
      </c>
      <c r="AF24" s="29">
        <v>1.2435739923662585</v>
      </c>
      <c r="AG24" s="29">
        <v>0.75253701290631658</v>
      </c>
      <c r="AH24" s="29">
        <v>8.4834663143297882E-3</v>
      </c>
      <c r="AI24" s="38">
        <f t="shared" si="15"/>
        <v>71.251541274820667</v>
      </c>
      <c r="AJ24" s="38">
        <f t="shared" si="15"/>
        <v>43.117194766913904</v>
      </c>
      <c r="AK24" s="250">
        <f t="shared" si="15"/>
        <v>0.48606681545250069</v>
      </c>
    </row>
    <row r="25" spans="1:37">
      <c r="A25" s="424" t="s">
        <v>53</v>
      </c>
      <c r="B25" s="35">
        <v>-24.587409999999998</v>
      </c>
      <c r="C25" s="36">
        <v>2</v>
      </c>
      <c r="D25" s="35">
        <v>-24.587409999999998</v>
      </c>
      <c r="E25" s="36">
        <f t="shared" si="13"/>
        <v>2</v>
      </c>
      <c r="F25" s="310" t="str">
        <f t="shared" si="14"/>
        <v>A</v>
      </c>
      <c r="G25" s="358">
        <v>1</v>
      </c>
      <c r="H25" s="358">
        <v>1</v>
      </c>
      <c r="I25" s="322">
        <v>1.081</v>
      </c>
      <c r="J25" s="37">
        <v>-3.9477504430000004E-2</v>
      </c>
      <c r="K25" s="37">
        <v>0</v>
      </c>
      <c r="L25" s="37">
        <f t="shared" si="0"/>
        <v>-22.222999999999999</v>
      </c>
      <c r="M25" s="37">
        <f t="shared" si="1"/>
        <v>-24.917088090002949</v>
      </c>
      <c r="N25" s="37">
        <v>4.0026000000000002</v>
      </c>
      <c r="O25" s="37">
        <v>4.0026000000000002</v>
      </c>
      <c r="P25" s="37">
        <v>-22.222999999999999</v>
      </c>
      <c r="Q25" s="37">
        <f t="shared" si="2"/>
        <v>-24.917088090002949</v>
      </c>
      <c r="R25" s="305">
        <f>R24</f>
        <v>-6.9128061527468726E-2</v>
      </c>
      <c r="S25" s="30" t="e">
        <f t="shared" si="3"/>
        <v>#DIV/0!</v>
      </c>
      <c r="T25" s="30" t="e">
        <f t="shared" si="4"/>
        <v>#DIV/0!</v>
      </c>
      <c r="U25" s="31">
        <f t="shared" si="5"/>
        <v>-3.9477504429999623E-2</v>
      </c>
      <c r="V25" s="31">
        <f t="shared" si="6"/>
        <v>-5.3324011872746268E-16</v>
      </c>
      <c r="W25" s="31" t="e">
        <f t="shared" si="7"/>
        <v>#DIV/0!</v>
      </c>
      <c r="X25" s="31" t="e">
        <f t="shared" si="8"/>
        <v>#DIV/0!</v>
      </c>
      <c r="Y25" s="305">
        <f t="shared" si="9"/>
        <v>-6.4945184251667148E-2</v>
      </c>
      <c r="Z25" s="31">
        <f t="shared" si="10"/>
        <v>-26.991297504430001</v>
      </c>
      <c r="AA25" s="31" t="str">
        <f t="shared" si="11"/>
        <v>OK</v>
      </c>
      <c r="AB25" s="31"/>
      <c r="AC25" s="31"/>
      <c r="AD25" s="35">
        <v>0.64610193819968864</v>
      </c>
      <c r="AE25" s="35">
        <v>1.0519240049132754</v>
      </c>
      <c r="AF25" s="37">
        <v>1.2758229578584046</v>
      </c>
      <c r="AG25" s="37">
        <v>0.5565527841533463</v>
      </c>
      <c r="AH25" s="37">
        <v>0.16264905408783584</v>
      </c>
      <c r="AI25" s="38">
        <f t="shared" si="15"/>
        <v>73.099270891183664</v>
      </c>
      <c r="AJ25" s="38">
        <f t="shared" si="15"/>
        <v>31.888125608242227</v>
      </c>
      <c r="AK25" s="250">
        <f t="shared" si="15"/>
        <v>9.3191043410280425</v>
      </c>
    </row>
    <row r="26" spans="1:37">
      <c r="A26" s="424" t="s">
        <v>81</v>
      </c>
      <c r="B26" s="35">
        <v>-9.3226999999999993</v>
      </c>
      <c r="C26" s="36">
        <v>2</v>
      </c>
      <c r="D26" s="35">
        <v>-9.3226999999999993</v>
      </c>
      <c r="E26" s="36">
        <f t="shared" si="13"/>
        <v>2</v>
      </c>
      <c r="F26" s="310" t="str">
        <f t="shared" si="14"/>
        <v>A</v>
      </c>
      <c r="G26" s="358">
        <v>2</v>
      </c>
      <c r="H26" s="358">
        <v>2</v>
      </c>
      <c r="I26" s="322">
        <v>2.46</v>
      </c>
      <c r="J26" s="37">
        <v>-0.61149193000000002</v>
      </c>
      <c r="K26" s="37">
        <v>0</v>
      </c>
      <c r="L26" s="37">
        <f t="shared" si="0"/>
        <v>-7.4180000000000001</v>
      </c>
      <c r="M26" s="37">
        <f t="shared" si="1"/>
        <v>-9.7430574702249988</v>
      </c>
      <c r="N26" s="37">
        <v>9.0122</v>
      </c>
      <c r="O26" s="37">
        <v>9.0122</v>
      </c>
      <c r="P26" s="37">
        <v>-7.4180000000000001</v>
      </c>
      <c r="Q26" s="37">
        <f t="shared" si="2"/>
        <v>-9.7430574702249988</v>
      </c>
      <c r="R26" s="305">
        <v>-0.57341635476710584</v>
      </c>
      <c r="S26" s="30" t="e">
        <f t="shared" si="3"/>
        <v>#DIV/0!</v>
      </c>
      <c r="T26" s="30" t="e">
        <f t="shared" si="4"/>
        <v>#DIV/0!</v>
      </c>
      <c r="U26" s="31">
        <f t="shared" si="5"/>
        <v>-0.61149193000000024</v>
      </c>
      <c r="V26" s="31">
        <f t="shared" si="6"/>
        <v>1.0664802374549254E-15</v>
      </c>
      <c r="W26" s="31" t="e">
        <f t="shared" si="7"/>
        <v>#DIV/0!</v>
      </c>
      <c r="X26" s="31" t="e">
        <f t="shared" si="8"/>
        <v>#DIV/0!</v>
      </c>
      <c r="Y26" s="305">
        <f t="shared" si="9"/>
        <v>-0.19425364017886176</v>
      </c>
      <c r="Z26" s="31">
        <f t="shared" si="10"/>
        <v>-11.533145964999999</v>
      </c>
      <c r="AA26" s="31" t="str">
        <f t="shared" si="11"/>
        <v>OK</v>
      </c>
      <c r="AB26" s="31"/>
      <c r="AC26" s="31"/>
      <c r="AD26" s="35">
        <v>1.856216301616946</v>
      </c>
      <c r="AE26" s="35">
        <v>2.3775639801285635</v>
      </c>
      <c r="AF26" s="37">
        <v>1.2732916772437615</v>
      </c>
      <c r="AG26" s="37">
        <v>0.63374542371677089</v>
      </c>
      <c r="AH26" s="37">
        <v>0.28036388607671098</v>
      </c>
      <c r="AI26" s="38">
        <f t="shared" si="15"/>
        <v>72.954239195201339</v>
      </c>
      <c r="AJ26" s="38">
        <f t="shared" si="15"/>
        <v>36.310938064701041</v>
      </c>
      <c r="AK26" s="250">
        <f t="shared" si="15"/>
        <v>16.063667400082164</v>
      </c>
    </row>
    <row r="27" spans="1:37">
      <c r="A27" s="34" t="s">
        <v>82</v>
      </c>
      <c r="B27" s="35">
        <v>-11.26</v>
      </c>
      <c r="C27" s="36">
        <v>2</v>
      </c>
      <c r="D27" s="35">
        <v>-11.26</v>
      </c>
      <c r="E27" s="36">
        <f t="shared" si="13"/>
        <v>2</v>
      </c>
      <c r="F27" s="310" t="str">
        <f t="shared" si="14"/>
        <v>A</v>
      </c>
      <c r="G27" s="358">
        <v>2</v>
      </c>
      <c r="H27" s="358">
        <v>2</v>
      </c>
      <c r="I27" s="322">
        <v>1.3069999999999999</v>
      </c>
      <c r="J27" s="37">
        <v>-6.2478720000000001</v>
      </c>
      <c r="K27" s="37">
        <v>0</v>
      </c>
      <c r="L27" s="37">
        <f t="shared" si="0"/>
        <v>-12.15</v>
      </c>
      <c r="M27" s="37">
        <f t="shared" si="1"/>
        <v>-12.909323839999999</v>
      </c>
      <c r="N27" s="37">
        <v>12.0107</v>
      </c>
      <c r="O27" s="37">
        <v>12.0107</v>
      </c>
      <c r="P27" s="37">
        <v>-12.15</v>
      </c>
      <c r="Q27" s="37">
        <f t="shared" si="2"/>
        <v>-12.909323839999999</v>
      </c>
      <c r="R27" s="305">
        <v>-9.4140323289254937</v>
      </c>
      <c r="S27" s="30" t="e">
        <f t="shared" si="3"/>
        <v>#DIV/0!</v>
      </c>
      <c r="T27" s="30" t="e">
        <f t="shared" si="4"/>
        <v>#DIV/0!</v>
      </c>
      <c r="U27" s="31">
        <f t="shared" si="5"/>
        <v>-6.2478720000000001</v>
      </c>
      <c r="V27" s="31">
        <f t="shared" si="6"/>
        <v>-1.0664802374549254E-15</v>
      </c>
      <c r="W27" s="31" t="e">
        <f t="shared" si="7"/>
        <v>#DIV/0!</v>
      </c>
      <c r="X27" s="31" t="e">
        <f t="shared" si="8"/>
        <v>#DIV/0!</v>
      </c>
      <c r="Y27" s="305">
        <f t="shared" si="9"/>
        <v>-7.0312023825638246</v>
      </c>
      <c r="Z27" s="31">
        <f t="shared" si="10"/>
        <v>-13.493936</v>
      </c>
      <c r="AA27" s="31" t="str">
        <f t="shared" si="11"/>
        <v>OK</v>
      </c>
      <c r="AB27" s="31"/>
      <c r="AC27" s="31"/>
      <c r="AD27" s="35">
        <v>1.4738551557174453</v>
      </c>
      <c r="AE27" s="35">
        <v>1.0323366037084818</v>
      </c>
      <c r="AF27" s="37">
        <v>0.7850337261022543</v>
      </c>
      <c r="AG27" s="37">
        <v>1.3117448226444721</v>
      </c>
      <c r="AH27" s="37">
        <v>8.5890988676247948E-2</v>
      </c>
      <c r="AI27" s="38">
        <f t="shared" si="15"/>
        <v>44.979119281088224</v>
      </c>
      <c r="AJ27" s="38">
        <f t="shared" si="15"/>
        <v>75.157442135664951</v>
      </c>
      <c r="AK27" s="250">
        <f t="shared" si="15"/>
        <v>4.9211911493549527</v>
      </c>
    </row>
    <row r="28" spans="1:37">
      <c r="A28" s="534" t="s">
        <v>83</v>
      </c>
      <c r="B28" s="35">
        <v>-13.618</v>
      </c>
      <c r="C28" s="36">
        <v>1</v>
      </c>
      <c r="D28" s="35">
        <v>-13.618</v>
      </c>
      <c r="E28" s="36">
        <f t="shared" si="13"/>
        <v>1</v>
      </c>
      <c r="F28" s="310" t="str">
        <f t="shared" si="14"/>
        <v>A</v>
      </c>
      <c r="G28" s="358">
        <v>2</v>
      </c>
      <c r="H28" s="358">
        <v>2</v>
      </c>
      <c r="I28" s="322">
        <v>1.2070000000000001</v>
      </c>
      <c r="J28" s="37">
        <v>-5.1656272200000002</v>
      </c>
      <c r="K28" s="37">
        <v>0</v>
      </c>
      <c r="L28" s="37">
        <f t="shared" si="0"/>
        <v>-12.07</v>
      </c>
      <c r="M28" s="318">
        <f t="shared" si="1"/>
        <v>-17</v>
      </c>
      <c r="N28" s="414">
        <v>15.9994</v>
      </c>
      <c r="O28" s="414">
        <v>15.9994</v>
      </c>
      <c r="P28" s="37">
        <v>-12.07</v>
      </c>
      <c r="Q28" s="318">
        <f t="shared" si="2"/>
        <v>-17</v>
      </c>
      <c r="R28" s="305">
        <v>-11.412346120867211</v>
      </c>
      <c r="S28" s="30" t="e">
        <f t="shared" si="3"/>
        <v>#DIV/0!</v>
      </c>
      <c r="T28" s="30" t="e">
        <f t="shared" si="4"/>
        <v>#DIV/0!</v>
      </c>
      <c r="U28" s="31">
        <f t="shared" si="5"/>
        <v>-5.165627220000002</v>
      </c>
      <c r="V28" s="31">
        <f t="shared" si="6"/>
        <v>2.6662005936373134E-16</v>
      </c>
      <c r="W28" s="31" t="e">
        <f t="shared" si="7"/>
        <v>#DIV/0!</v>
      </c>
      <c r="X28" s="31" t="e">
        <f t="shared" si="8"/>
        <v>#DIV/0!</v>
      </c>
      <c r="Y28" s="305">
        <f t="shared" si="9"/>
        <v>-6.8164330251688465</v>
      </c>
      <c r="Z28" s="31">
        <f t="shared" si="10"/>
        <v>-17.748813609999999</v>
      </c>
      <c r="AA28" s="31" t="str">
        <f t="shared" si="11"/>
        <v>RĘCZNIE</v>
      </c>
      <c r="AB28" s="31" t="s">
        <v>35</v>
      </c>
      <c r="AC28" s="31">
        <v>-17</v>
      </c>
      <c r="AD28" s="35">
        <v>1.3959114587547365</v>
      </c>
      <c r="AE28" s="35">
        <v>0.83220079447608364</v>
      </c>
      <c r="AF28" s="37">
        <v>0.82030698456589979</v>
      </c>
      <c r="AG28" s="37">
        <v>1.2593791324689918</v>
      </c>
      <c r="AH28" s="37">
        <v>0.13924225935218237</v>
      </c>
      <c r="AI28" s="38">
        <f t="shared" si="15"/>
        <v>47.000128120729215</v>
      </c>
      <c r="AJ28" s="38">
        <f t="shared" si="15"/>
        <v>72.157109097320244</v>
      </c>
      <c r="AK28" s="250">
        <f t="shared" si="15"/>
        <v>7.9779937907460665</v>
      </c>
    </row>
    <row r="29" spans="1:37">
      <c r="A29" s="534"/>
      <c r="B29" s="35">
        <v>-13.618</v>
      </c>
      <c r="C29" s="36">
        <v>1</v>
      </c>
      <c r="D29" s="35">
        <v>-13.618</v>
      </c>
      <c r="E29" s="36">
        <f t="shared" si="13"/>
        <v>1</v>
      </c>
      <c r="F29" s="310" t="str">
        <f t="shared" si="14"/>
        <v>A</v>
      </c>
      <c r="G29" s="358">
        <v>2</v>
      </c>
      <c r="H29" s="358">
        <v>2</v>
      </c>
      <c r="I29" s="322">
        <v>1.2070000000000001</v>
      </c>
      <c r="J29" s="37">
        <v>-5.1180000000000003</v>
      </c>
      <c r="K29" s="37">
        <v>0</v>
      </c>
      <c r="L29" s="37">
        <f t="shared" si="0"/>
        <v>-12.07</v>
      </c>
      <c r="M29" s="318">
        <f t="shared" si="1"/>
        <v>-17</v>
      </c>
      <c r="N29" s="414">
        <v>15.9994</v>
      </c>
      <c r="O29" s="414">
        <v>15.9994</v>
      </c>
      <c r="P29" s="37">
        <v>-12.07</v>
      </c>
      <c r="Q29" s="318">
        <f t="shared" si="2"/>
        <v>-17</v>
      </c>
      <c r="R29" s="305">
        <v>-11.412346120867211</v>
      </c>
      <c r="S29" s="30" t="e">
        <f t="shared" si="3"/>
        <v>#DIV/0!</v>
      </c>
      <c r="T29" s="30" t="e">
        <f t="shared" si="4"/>
        <v>#DIV/0!</v>
      </c>
      <c r="U29" s="31">
        <f t="shared" si="5"/>
        <v>-5.1179999999999977</v>
      </c>
      <c r="V29" s="31">
        <f t="shared" si="6"/>
        <v>-7.9986017809119397E-16</v>
      </c>
      <c r="W29" s="31" t="e">
        <f t="shared" si="7"/>
        <v>#DIV/0!</v>
      </c>
      <c r="X29" s="31" t="e">
        <f t="shared" si="8"/>
        <v>#DIV/0!</v>
      </c>
      <c r="Y29" s="305">
        <f t="shared" si="9"/>
        <v>-6.753585331853297</v>
      </c>
      <c r="Z29" s="31">
        <f t="shared" si="10"/>
        <v>-17.725000000000001</v>
      </c>
      <c r="AA29" s="31" t="str">
        <f t="shared" si="11"/>
        <v>RĘCZNIE</v>
      </c>
      <c r="AB29" s="31" t="s">
        <v>35</v>
      </c>
      <c r="AC29" s="31">
        <v>-17</v>
      </c>
      <c r="AD29" s="35">
        <v>1.394583081756287</v>
      </c>
      <c r="AE29" s="35">
        <v>0.83294339469332934</v>
      </c>
      <c r="AF29" s="37">
        <v>0.8215700710141427</v>
      </c>
      <c r="AG29" s="37">
        <v>1.2568967567363638</v>
      </c>
      <c r="AH29" s="37">
        <v>0.14021036676722859</v>
      </c>
      <c r="AI29" s="38">
        <f t="shared" si="15"/>
        <v>47.072497643373708</v>
      </c>
      <c r="AJ29" s="38">
        <f t="shared" si="15"/>
        <v>72.014879444674975</v>
      </c>
      <c r="AK29" s="250">
        <f t="shared" si="15"/>
        <v>8.0334622597435352</v>
      </c>
    </row>
    <row r="30" spans="1:37">
      <c r="A30" s="424" t="s">
        <v>84</v>
      </c>
      <c r="B30" s="27">
        <v>-10.360010000000001</v>
      </c>
      <c r="C30" s="28">
        <v>1</v>
      </c>
      <c r="D30" s="27">
        <v>-10.360010000000001</v>
      </c>
      <c r="E30" s="28">
        <f t="shared" si="13"/>
        <v>1</v>
      </c>
      <c r="F30" s="309" t="str">
        <f t="shared" si="14"/>
        <v>A</v>
      </c>
      <c r="G30" s="357">
        <v>2</v>
      </c>
      <c r="H30" s="357">
        <v>2</v>
      </c>
      <c r="I30" s="323">
        <v>1.889</v>
      </c>
      <c r="J30" s="29">
        <v>-4.3687377200000004</v>
      </c>
      <c r="K30" s="29">
        <v>0</v>
      </c>
      <c r="L30" s="29">
        <f t="shared" si="0"/>
        <v>-9.36</v>
      </c>
      <c r="M30" s="29">
        <f t="shared" si="1"/>
        <v>-11.724179705900001</v>
      </c>
      <c r="N30" s="413">
        <v>32.064999999999998</v>
      </c>
      <c r="O30" s="413">
        <v>32.064999999999998</v>
      </c>
      <c r="P30" s="29">
        <v>-9.36</v>
      </c>
      <c r="Q30" s="29">
        <f t="shared" si="2"/>
        <v>-11.724179705900001</v>
      </c>
      <c r="R30" s="305">
        <v>-4.8356080630627911</v>
      </c>
      <c r="S30" s="30" t="e">
        <f t="shared" si="3"/>
        <v>#DIV/0!</v>
      </c>
      <c r="T30" s="30" t="e">
        <f t="shared" si="4"/>
        <v>#DIV/0!</v>
      </c>
      <c r="U30" s="31">
        <f t="shared" si="5"/>
        <v>-4.3687377199999995</v>
      </c>
      <c r="V30" s="31">
        <f t="shared" si="6"/>
        <v>-1.0664802374549254E-15</v>
      </c>
      <c r="W30" s="31" t="e">
        <f t="shared" si="7"/>
        <v>#DIV/0!</v>
      </c>
      <c r="X30" s="31" t="e">
        <f t="shared" si="8"/>
        <v>#DIV/0!</v>
      </c>
      <c r="Y30" s="305">
        <f t="shared" si="9"/>
        <v>-2.3536436334561346</v>
      </c>
      <c r="Z30" s="31">
        <f t="shared" si="10"/>
        <v>-13.544388860000002</v>
      </c>
      <c r="AA30" s="31" t="str">
        <f t="shared" si="11"/>
        <v>RĘCZNIE</v>
      </c>
      <c r="AB30" s="31"/>
      <c r="AC30" s="31"/>
      <c r="AD30" s="27">
        <v>1.3770128926590697</v>
      </c>
      <c r="AE30" s="27">
        <v>2.0779523778832498</v>
      </c>
      <c r="AF30" s="29">
        <v>1.4561289436410336</v>
      </c>
      <c r="AG30" s="29">
        <v>0.58584192834477022</v>
      </c>
      <c r="AH30" s="29">
        <v>6.7447412101544882E-2</v>
      </c>
      <c r="AI30" s="32">
        <f t="shared" si="15"/>
        <v>83.430042897474138</v>
      </c>
      <c r="AJ30" s="32">
        <f t="shared" si="15"/>
        <v>33.566269955960927</v>
      </c>
      <c r="AK30" s="249">
        <f t="shared" si="15"/>
        <v>3.8644520524981161</v>
      </c>
    </row>
    <row r="31" spans="1:37">
      <c r="A31" s="534" t="s">
        <v>54</v>
      </c>
      <c r="B31" s="35">
        <v>-14.534000000000001</v>
      </c>
      <c r="C31" s="36">
        <v>3</v>
      </c>
      <c r="D31" s="35">
        <v>-14.534000000000001</v>
      </c>
      <c r="E31" s="36">
        <f t="shared" si="13"/>
        <v>3</v>
      </c>
      <c r="F31" s="310" t="str">
        <f t="shared" si="14"/>
        <v>A</v>
      </c>
      <c r="G31" s="358">
        <v>3</v>
      </c>
      <c r="H31" s="358">
        <v>3</v>
      </c>
      <c r="I31" s="322">
        <v>1.0975999999999999</v>
      </c>
      <c r="J31" s="37">
        <v>-9.7925768668000011</v>
      </c>
      <c r="K31" s="37">
        <v>0</v>
      </c>
      <c r="L31" s="37">
        <f t="shared" si="0"/>
        <v>-15.58</v>
      </c>
      <c r="M31" s="318">
        <f t="shared" si="1"/>
        <v>-16.8</v>
      </c>
      <c r="N31" s="414">
        <v>14.0067</v>
      </c>
      <c r="O31" s="414">
        <v>14.0067</v>
      </c>
      <c r="P31" s="37">
        <v>-15.58</v>
      </c>
      <c r="Q31" s="318">
        <f t="shared" si="2"/>
        <v>-16.8</v>
      </c>
      <c r="R31" s="305">
        <v>-11.412346120867211</v>
      </c>
      <c r="S31" s="30" t="e">
        <f t="shared" si="3"/>
        <v>#DIV/0!</v>
      </c>
      <c r="T31" s="30" t="e">
        <f t="shared" si="4"/>
        <v>#DIV/0!</v>
      </c>
      <c r="U31" s="31">
        <f t="shared" si="5"/>
        <v>-9.7925768667999975</v>
      </c>
      <c r="V31" s="31">
        <f t="shared" si="6"/>
        <v>-5.3324011872746268E-16</v>
      </c>
      <c r="W31" s="31" t="e">
        <f t="shared" si="7"/>
        <v>#DIV/0!</v>
      </c>
      <c r="X31" s="31" t="e">
        <f t="shared" si="8"/>
        <v>#DIV/0!</v>
      </c>
      <c r="Y31" s="305">
        <f t="shared" si="9"/>
        <v>-15.626346231748609</v>
      </c>
      <c r="Z31" s="31">
        <f t="shared" si="10"/>
        <v>-16.752192288933337</v>
      </c>
      <c r="AA31" s="31" t="str">
        <f t="shared" si="11"/>
        <v>OK</v>
      </c>
      <c r="AB31" s="31" t="s">
        <v>35</v>
      </c>
      <c r="AC31" s="31">
        <v>-16.8</v>
      </c>
      <c r="AD31" s="35">
        <v>0.848935971553052</v>
      </c>
      <c r="AE31" s="35">
        <v>1.1968723582173564</v>
      </c>
      <c r="AF31" s="37">
        <v>1.3433414638983403</v>
      </c>
      <c r="AG31" s="37">
        <v>0.7119158044130135</v>
      </c>
      <c r="AH31" s="37">
        <v>0</v>
      </c>
      <c r="AI31" s="38">
        <f t="shared" si="15"/>
        <v>76.967796326300544</v>
      </c>
      <c r="AJ31" s="38">
        <f t="shared" si="15"/>
        <v>40.789770961526663</v>
      </c>
      <c r="AK31" s="250">
        <f t="shared" si="15"/>
        <v>0</v>
      </c>
    </row>
    <row r="32" spans="1:37">
      <c r="A32" s="534"/>
      <c r="B32" s="35">
        <v>-14.534000000000001</v>
      </c>
      <c r="C32" s="36">
        <v>3</v>
      </c>
      <c r="D32" s="35">
        <v>-14.534000000000001</v>
      </c>
      <c r="E32" s="36">
        <f t="shared" si="13"/>
        <v>3</v>
      </c>
      <c r="F32" s="310" t="str">
        <f t="shared" si="14"/>
        <v>A</v>
      </c>
      <c r="G32" s="358">
        <v>3</v>
      </c>
      <c r="H32" s="358">
        <v>3</v>
      </c>
      <c r="I32" s="322">
        <v>1.0975999999999999</v>
      </c>
      <c r="J32" s="37">
        <v>-9.7653371599999996</v>
      </c>
      <c r="K32" s="37">
        <v>0</v>
      </c>
      <c r="L32" s="37">
        <f t="shared" si="0"/>
        <v>-15.58</v>
      </c>
      <c r="M32" s="318">
        <f t="shared" si="1"/>
        <v>-16.8</v>
      </c>
      <c r="N32" s="414">
        <v>14.0067</v>
      </c>
      <c r="O32" s="414">
        <v>14.0067</v>
      </c>
      <c r="P32" s="37">
        <v>-15.58</v>
      </c>
      <c r="Q32" s="318">
        <f t="shared" si="2"/>
        <v>-16.8</v>
      </c>
      <c r="R32" s="305">
        <v>-11.412346120867211</v>
      </c>
      <c r="S32" s="30" t="e">
        <f t="shared" si="3"/>
        <v>#DIV/0!</v>
      </c>
      <c r="T32" s="30" t="e">
        <f t="shared" si="4"/>
        <v>#DIV/0!</v>
      </c>
      <c r="U32" s="31">
        <f t="shared" si="5"/>
        <v>-9.7653371599999996</v>
      </c>
      <c r="V32" s="31">
        <f t="shared" si="6"/>
        <v>5.3324011872746268E-16</v>
      </c>
      <c r="W32" s="31" t="e">
        <f t="shared" si="7"/>
        <v>#DIV/0!</v>
      </c>
      <c r="X32" s="31" t="e">
        <f t="shared" si="8"/>
        <v>#DIV/0!</v>
      </c>
      <c r="Y32" s="305">
        <f t="shared" si="9"/>
        <v>-15.582878909970294</v>
      </c>
      <c r="Z32" s="31">
        <f t="shared" si="10"/>
        <v>-16.74311238666667</v>
      </c>
      <c r="AA32" s="31" t="str">
        <f t="shared" si="11"/>
        <v>OK</v>
      </c>
      <c r="AB32" s="31" t="s">
        <v>35</v>
      </c>
      <c r="AC32" s="31">
        <v>-16.8</v>
      </c>
      <c r="AD32" s="35">
        <v>0.84914521530637022</v>
      </c>
      <c r="AE32" s="35">
        <v>1.1964153726119406</v>
      </c>
      <c r="AF32" s="37">
        <v>1.3426127823899783</v>
      </c>
      <c r="AG32" s="37">
        <v>0.71230461556912217</v>
      </c>
      <c r="AH32" s="37">
        <v>5.2839883766113724E-5</v>
      </c>
      <c r="AI32" s="38">
        <f t="shared" si="15"/>
        <v>76.926045951262168</v>
      </c>
      <c r="AJ32" s="38">
        <f t="shared" si="15"/>
        <v>40.812048199799293</v>
      </c>
      <c r="AK32" s="250">
        <f t="shared" si="15"/>
        <v>3.0275023297601498E-3</v>
      </c>
    </row>
    <row r="33" spans="1:37">
      <c r="A33" s="426" t="s">
        <v>86</v>
      </c>
      <c r="B33" s="27">
        <v>-13.598000000000001</v>
      </c>
      <c r="C33" s="28">
        <v>1</v>
      </c>
      <c r="D33" s="27">
        <v>-13.602</v>
      </c>
      <c r="E33" s="28">
        <v>1</v>
      </c>
      <c r="F33" s="309" t="str">
        <f t="shared" si="14"/>
        <v>A</v>
      </c>
      <c r="G33" s="357">
        <v>1</v>
      </c>
      <c r="H33" s="357">
        <v>1</v>
      </c>
      <c r="I33" s="323">
        <v>0.74139999999999995</v>
      </c>
      <c r="J33" s="29">
        <v>-4.5522185072210002</v>
      </c>
      <c r="K33" s="29">
        <v>0</v>
      </c>
      <c r="L33" s="29">
        <f t="shared" si="0"/>
        <v>-15.445</v>
      </c>
      <c r="M33" s="29">
        <f t="shared" si="1"/>
        <v>-15.932153456579867</v>
      </c>
      <c r="N33" s="412">
        <v>1.00782503224</v>
      </c>
      <c r="O33" s="410">
        <v>2.0135532127450002</v>
      </c>
      <c r="P33" s="29">
        <v>-15.445</v>
      </c>
      <c r="Q33" s="29">
        <f t="shared" si="2"/>
        <v>-15.932153456579867</v>
      </c>
      <c r="R33" s="305">
        <v>-5.2249999999999996</v>
      </c>
      <c r="S33" s="30" t="e">
        <f t="shared" si="3"/>
        <v>#DIV/0!</v>
      </c>
      <c r="T33" s="30" t="e">
        <f t="shared" si="4"/>
        <v>#DIV/0!</v>
      </c>
      <c r="U33" s="31">
        <f t="shared" si="5"/>
        <v>-4.5522185072645254</v>
      </c>
      <c r="V33" s="31">
        <f t="shared" si="6"/>
        <v>-4.482949678141779E-11</v>
      </c>
      <c r="W33" s="31" t="e">
        <f t="shared" si="7"/>
        <v>#DIV/0!</v>
      </c>
      <c r="X33" s="31" t="e">
        <f t="shared" si="8"/>
        <v>#DIV/0!</v>
      </c>
      <c r="Y33" s="305">
        <f t="shared" si="9"/>
        <v>-15.920862328527704</v>
      </c>
      <c r="Z33" s="31">
        <f t="shared" si="10"/>
        <v>-16.307218507221002</v>
      </c>
      <c r="AA33" s="31" t="str">
        <f t="shared" si="11"/>
        <v>OK</v>
      </c>
      <c r="AB33" s="31"/>
      <c r="AC33" s="31"/>
      <c r="AD33" s="27">
        <v>0.81887021123984727</v>
      </c>
      <c r="AE33" s="27">
        <v>0.82192583145247677</v>
      </c>
      <c r="AF33" s="29">
        <v>1.1227628402821521</v>
      </c>
      <c r="AG33" s="29">
        <v>1.0810020457817524</v>
      </c>
      <c r="AH33" s="29">
        <v>0.71796683224373725</v>
      </c>
      <c r="AI33" s="32">
        <f t="shared" si="15"/>
        <v>64.329572142288256</v>
      </c>
      <c r="AJ33" s="32">
        <f t="shared" si="15"/>
        <v>61.936854868302206</v>
      </c>
      <c r="AK33" s="249">
        <f t="shared" si="15"/>
        <v>41.13646931794333</v>
      </c>
    </row>
    <row r="34" spans="1:37">
      <c r="A34" s="531" t="s">
        <v>87</v>
      </c>
      <c r="B34" s="35">
        <v>-13.598000000000001</v>
      </c>
      <c r="C34" s="36">
        <v>1</v>
      </c>
      <c r="D34" s="35">
        <v>-17.422999999999998</v>
      </c>
      <c r="E34" s="36">
        <v>2</v>
      </c>
      <c r="F34" s="310" t="str">
        <f t="shared" si="14"/>
        <v>A</v>
      </c>
      <c r="G34" s="358">
        <v>1</v>
      </c>
      <c r="H34" s="358">
        <v>1</v>
      </c>
      <c r="I34" s="322">
        <v>0.91679999999999995</v>
      </c>
      <c r="J34" s="37">
        <v>-5.9043173335999999</v>
      </c>
      <c r="K34" s="37">
        <v>1.82</v>
      </c>
      <c r="L34" s="37">
        <f t="shared" si="0"/>
        <v>-16.010000000000002</v>
      </c>
      <c r="M34" s="318">
        <f t="shared" si="1"/>
        <v>-19.899999999999999</v>
      </c>
      <c r="N34" s="414">
        <v>1.0079</v>
      </c>
      <c r="O34" s="414">
        <v>18.9984</v>
      </c>
      <c r="P34" s="37">
        <v>-16.010000000000002</v>
      </c>
      <c r="Q34" s="318">
        <f t="shared" si="2"/>
        <v>-19.899999999999999</v>
      </c>
      <c r="R34" s="305">
        <v>-8.8469999999999995</v>
      </c>
      <c r="S34" s="30" t="e">
        <f t="shared" si="3"/>
        <v>#DIV/0!</v>
      </c>
      <c r="T34" s="30" t="e">
        <f t="shared" si="4"/>
        <v>#DIV/0!</v>
      </c>
      <c r="U34" s="31">
        <f t="shared" si="5"/>
        <v>-5.9043173336000008</v>
      </c>
      <c r="V34" s="31">
        <f t="shared" si="6"/>
        <v>1.8200000000000003</v>
      </c>
      <c r="W34" s="31" t="e">
        <f t="shared" si="7"/>
        <v>#DIV/0!</v>
      </c>
      <c r="X34" s="31" t="e">
        <f t="shared" si="8"/>
        <v>#DIV/0!</v>
      </c>
      <c r="Y34" s="305">
        <f t="shared" si="9"/>
        <v>-13.504208416888281</v>
      </c>
      <c r="Z34" s="31">
        <f t="shared" si="10"/>
        <v>-20.915317333599997</v>
      </c>
      <c r="AA34" s="31" t="str">
        <f t="shared" si="11"/>
        <v>OK</v>
      </c>
      <c r="AB34" s="31" t="s">
        <v>37</v>
      </c>
      <c r="AC34" s="31">
        <v>-19.899999999999999</v>
      </c>
      <c r="AD34" s="35">
        <v>0.82895740381911853</v>
      </c>
      <c r="AE34" s="35">
        <v>0.7109334796012573</v>
      </c>
      <c r="AF34" s="37">
        <v>1.2215524327313745</v>
      </c>
      <c r="AG34" s="37">
        <v>1.2051274485652408</v>
      </c>
      <c r="AH34" s="37">
        <v>0.47378031524196529</v>
      </c>
      <c r="AI34" s="38">
        <f t="shared" si="15"/>
        <v>69.98979884944616</v>
      </c>
      <c r="AJ34" s="38">
        <f t="shared" si="15"/>
        <v>69.048716578157496</v>
      </c>
      <c r="AK34" s="250">
        <f t="shared" si="15"/>
        <v>27.14561247974228</v>
      </c>
    </row>
    <row r="35" spans="1:37">
      <c r="A35" s="531"/>
      <c r="B35" s="27">
        <v>-13.598000000000001</v>
      </c>
      <c r="C35" s="28">
        <v>1</v>
      </c>
      <c r="D35" s="27">
        <v>-17.422999999999998</v>
      </c>
      <c r="E35" s="28">
        <v>2</v>
      </c>
      <c r="F35" s="309" t="str">
        <f t="shared" si="14"/>
        <v>A</v>
      </c>
      <c r="G35" s="357">
        <v>1</v>
      </c>
      <c r="H35" s="357">
        <v>1</v>
      </c>
      <c r="I35" s="323">
        <v>0.91679999999999995</v>
      </c>
      <c r="J35" s="29">
        <v>-5.9043173335999999</v>
      </c>
      <c r="K35" s="29">
        <v>1.82</v>
      </c>
      <c r="L35" s="29">
        <f t="shared" si="0"/>
        <v>-17</v>
      </c>
      <c r="M35" s="317">
        <f t="shared" si="1"/>
        <v>-19.899999999999999</v>
      </c>
      <c r="N35" s="414">
        <v>1.0079</v>
      </c>
      <c r="O35" s="414">
        <v>18.9984</v>
      </c>
      <c r="P35" s="29">
        <v>-17</v>
      </c>
      <c r="Q35" s="317">
        <f t="shared" si="2"/>
        <v>-19.899999999999999</v>
      </c>
      <c r="R35" s="305">
        <v>-8.8469999999999995</v>
      </c>
      <c r="S35" s="30" t="e">
        <f t="shared" si="3"/>
        <v>#DIV/0!</v>
      </c>
      <c r="T35" s="30" t="e">
        <f t="shared" si="4"/>
        <v>#DIV/0!</v>
      </c>
      <c r="U35" s="31">
        <f t="shared" si="5"/>
        <v>-5.904317333599999</v>
      </c>
      <c r="V35" s="31">
        <f t="shared" si="6"/>
        <v>1.82</v>
      </c>
      <c r="W35" s="31" t="e">
        <f t="shared" si="7"/>
        <v>#DIV/0!</v>
      </c>
      <c r="X35" s="31" t="e">
        <f t="shared" si="8"/>
        <v>#DIV/0!</v>
      </c>
      <c r="Y35" s="305">
        <f t="shared" si="9"/>
        <v>-13.504208416888275</v>
      </c>
      <c r="Z35" s="31">
        <f t="shared" si="10"/>
        <v>-19.925317333599999</v>
      </c>
      <c r="AA35" s="31" t="str">
        <f t="shared" si="11"/>
        <v>OK</v>
      </c>
      <c r="AB35" s="31" t="s">
        <v>37</v>
      </c>
      <c r="AC35" s="31">
        <v>-19.899999999999999</v>
      </c>
      <c r="AD35" s="27">
        <v>0.79857962332342192</v>
      </c>
      <c r="AE35" s="27">
        <v>0.71194761568693044</v>
      </c>
      <c r="AF35" s="29">
        <v>1.2111250668105815</v>
      </c>
      <c r="AG35" s="29">
        <v>1.2017820143332933</v>
      </c>
      <c r="AH35" s="29">
        <v>0.38333391259102612</v>
      </c>
      <c r="AI35" s="32">
        <f t="shared" si="15"/>
        <v>69.392354790746182</v>
      </c>
      <c r="AJ35" s="32">
        <f t="shared" si="15"/>
        <v>68.857037316028311</v>
      </c>
      <c r="AK35" s="249">
        <f t="shared" si="15"/>
        <v>21.963415335702603</v>
      </c>
    </row>
    <row r="36" spans="1:37">
      <c r="A36" s="426" t="s">
        <v>88</v>
      </c>
      <c r="B36" s="35">
        <v>-13.598000000000001</v>
      </c>
      <c r="C36" s="36">
        <v>1</v>
      </c>
      <c r="D36" s="35">
        <v>-12.968</v>
      </c>
      <c r="E36" s="36">
        <v>2</v>
      </c>
      <c r="F36" s="310" t="str">
        <f t="shared" si="14"/>
        <v>B</v>
      </c>
      <c r="G36" s="358">
        <v>1</v>
      </c>
      <c r="H36" s="358">
        <v>1</v>
      </c>
      <c r="I36" s="322">
        <v>1.2744</v>
      </c>
      <c r="J36" s="37">
        <v>-4.4707418714699996</v>
      </c>
      <c r="K36" s="37">
        <v>1.07</v>
      </c>
      <c r="L36" s="318">
        <f t="shared" si="0"/>
        <v>-16.3</v>
      </c>
      <c r="M36" s="37">
        <f t="shared" si="1"/>
        <v>-12.74</v>
      </c>
      <c r="N36" s="414">
        <v>1.0079</v>
      </c>
      <c r="O36" s="414">
        <v>35.453000000000003</v>
      </c>
      <c r="P36" s="37">
        <v>-12.74</v>
      </c>
      <c r="Q36" s="318">
        <f t="shared" si="2"/>
        <v>-16.3</v>
      </c>
      <c r="R36" s="305">
        <v>-4.8170000000000002</v>
      </c>
      <c r="S36" s="30" t="e">
        <f t="shared" si="3"/>
        <v>#DIV/0!</v>
      </c>
      <c r="T36" s="30" t="e">
        <f t="shared" si="4"/>
        <v>#DIV/0!</v>
      </c>
      <c r="U36" s="31">
        <f t="shared" si="5"/>
        <v>-4.4707418714699996</v>
      </c>
      <c r="V36" s="31">
        <f t="shared" si="6"/>
        <v>1.0699999999999996</v>
      </c>
      <c r="W36" s="31" t="e">
        <f t="shared" si="7"/>
        <v>#DIV/0!</v>
      </c>
      <c r="X36" s="31" t="e">
        <f t="shared" si="8"/>
        <v>#DIV/0!</v>
      </c>
      <c r="Y36" s="305">
        <f t="shared" si="9"/>
        <v>-5.2919620394703202</v>
      </c>
      <c r="Z36" s="31">
        <f t="shared" si="10"/>
        <v>-18.296741871470005</v>
      </c>
      <c r="AA36" s="31" t="str">
        <f t="shared" si="11"/>
        <v>OK</v>
      </c>
      <c r="AB36" s="31" t="s">
        <v>37</v>
      </c>
      <c r="AC36" s="31">
        <v>-16.3</v>
      </c>
      <c r="AD36" s="35">
        <v>1.2783694839539426</v>
      </c>
      <c r="AE36" s="35">
        <v>0.97883041375591073</v>
      </c>
      <c r="AF36" s="37">
        <v>0.70515802541895034</v>
      </c>
      <c r="AG36" s="37">
        <v>1.490888983541071</v>
      </c>
      <c r="AH36" s="37">
        <v>0.18457286457495306</v>
      </c>
      <c r="AI36" s="38">
        <f t="shared" si="15"/>
        <v>40.402578746284682</v>
      </c>
      <c r="AJ36" s="38">
        <f t="shared" si="15"/>
        <v>85.421646479452619</v>
      </c>
      <c r="AK36" s="250">
        <f t="shared" si="15"/>
        <v>10.575246152784514</v>
      </c>
    </row>
    <row r="37" spans="1:37">
      <c r="A37" s="425" t="s">
        <v>89</v>
      </c>
      <c r="B37" s="27">
        <v>-13.598000000000001</v>
      </c>
      <c r="C37" s="28">
        <v>1</v>
      </c>
      <c r="D37" s="27">
        <v>-11.814</v>
      </c>
      <c r="E37" s="28">
        <v>2</v>
      </c>
      <c r="F37" s="309" t="str">
        <f t="shared" si="14"/>
        <v>B</v>
      </c>
      <c r="G37" s="357">
        <v>1</v>
      </c>
      <c r="H37" s="357">
        <v>1</v>
      </c>
      <c r="I37" s="323">
        <v>1.4145000000000001</v>
      </c>
      <c r="J37" s="29">
        <v>-3.7949811032000005</v>
      </c>
      <c r="K37" s="29">
        <v>0.82</v>
      </c>
      <c r="L37" s="29">
        <f t="shared" si="0"/>
        <v>-14.984844323308</v>
      </c>
      <c r="M37" s="29">
        <f t="shared" si="1"/>
        <v>-11.67</v>
      </c>
      <c r="N37" s="414">
        <v>1.0079</v>
      </c>
      <c r="O37" s="414">
        <v>79.903999999999996</v>
      </c>
      <c r="P37" s="29">
        <v>-11.67</v>
      </c>
      <c r="Q37" s="29">
        <f t="shared" si="2"/>
        <v>-14.984844323308</v>
      </c>
      <c r="R37" s="305">
        <v>-3.843</v>
      </c>
      <c r="S37" s="30" t="e">
        <f t="shared" si="3"/>
        <v>#DIV/0!</v>
      </c>
      <c r="T37" s="30" t="e">
        <f t="shared" si="4"/>
        <v>#DIV/0!</v>
      </c>
      <c r="U37" s="31">
        <f t="shared" si="5"/>
        <v>-3.7949811032000009</v>
      </c>
      <c r="V37" s="31">
        <f t="shared" si="6"/>
        <v>0.82000000000000073</v>
      </c>
      <c r="W37" s="31" t="e">
        <f t="shared" si="7"/>
        <v>#DIV/0!</v>
      </c>
      <c r="X37" s="31" t="e">
        <f t="shared" si="8"/>
        <v>#DIV/0!</v>
      </c>
      <c r="Y37" s="305">
        <f t="shared" si="9"/>
        <v>-3.6462997219130173</v>
      </c>
      <c r="Z37" s="31">
        <f t="shared" si="10"/>
        <v>-17.536981103199999</v>
      </c>
      <c r="AA37" s="31" t="str">
        <f t="shared" si="11"/>
        <v>OK</v>
      </c>
      <c r="AB37" s="31"/>
      <c r="AC37" s="31"/>
      <c r="AD37" s="27">
        <v>1.4602078503211384</v>
      </c>
      <c r="AE37" s="27">
        <v>1.0764254594246128</v>
      </c>
      <c r="AF37" s="29">
        <v>0.66620241635216049</v>
      </c>
      <c r="AG37" s="29">
        <v>1.4816842994575465</v>
      </c>
      <c r="AH37" s="29">
        <v>5.964780784088055E-2</v>
      </c>
      <c r="AI37" s="32">
        <f t="shared" si="15"/>
        <v>38.170586758396055</v>
      </c>
      <c r="AJ37" s="32">
        <f t="shared" si="15"/>
        <v>84.894256929715425</v>
      </c>
      <c r="AK37" s="249">
        <f t="shared" si="15"/>
        <v>3.4175676464897951</v>
      </c>
    </row>
    <row r="38" spans="1:37">
      <c r="A38" s="425" t="s">
        <v>90</v>
      </c>
      <c r="B38" s="27">
        <v>-13.598000000000001</v>
      </c>
      <c r="C38" s="28">
        <v>1</v>
      </c>
      <c r="D38" s="27">
        <v>-10.451000000000001</v>
      </c>
      <c r="E38" s="28">
        <v>2</v>
      </c>
      <c r="F38" s="309" t="str">
        <f t="shared" si="14"/>
        <v>B</v>
      </c>
      <c r="G38" s="357">
        <v>1</v>
      </c>
      <c r="H38" s="357">
        <v>1</v>
      </c>
      <c r="I38" s="323">
        <v>1.6092</v>
      </c>
      <c r="J38" s="29">
        <v>-3.05</v>
      </c>
      <c r="K38" s="29">
        <v>0.44800000000000001</v>
      </c>
      <c r="L38" s="29">
        <v>-12.37</v>
      </c>
      <c r="M38" s="29">
        <f t="shared" si="1"/>
        <v>-10.39</v>
      </c>
      <c r="N38" s="414">
        <v>1.0079</v>
      </c>
      <c r="O38" s="414">
        <v>126.9045</v>
      </c>
      <c r="P38" s="29">
        <v>-10.39</v>
      </c>
      <c r="Q38" s="29">
        <f t="shared" si="2"/>
        <v>-13.960234999999999</v>
      </c>
      <c r="R38" s="305">
        <v>-2.9420000000000002</v>
      </c>
      <c r="S38" s="30" t="e">
        <f t="shared" si="3"/>
        <v>#DIV/0!</v>
      </c>
      <c r="T38" s="30" t="e">
        <f t="shared" si="4"/>
        <v>#DIV/0!</v>
      </c>
      <c r="U38" s="31">
        <f t="shared" si="5"/>
        <v>-3.0900947231495333</v>
      </c>
      <c r="V38" s="31">
        <f t="shared" si="6"/>
        <v>0.44096059999999987</v>
      </c>
      <c r="W38" s="31" t="e">
        <f t="shared" si="7"/>
        <v>#DIV/0!</v>
      </c>
      <c r="X38" s="31" t="e">
        <f t="shared" si="8"/>
        <v>#DIV/0!</v>
      </c>
      <c r="Y38" s="305">
        <f t="shared" si="9"/>
        <v>-2.2940368761699652</v>
      </c>
      <c r="Z38" s="31">
        <f t="shared" si="10"/>
        <v>-16.709</v>
      </c>
      <c r="AA38" s="31" t="str">
        <f t="shared" si="11"/>
        <v>OK</v>
      </c>
      <c r="AB38" s="31"/>
      <c r="AC38" s="31"/>
      <c r="AD38" s="27">
        <v>1.7212973190377621</v>
      </c>
      <c r="AE38" s="27">
        <v>1.2102048208269784</v>
      </c>
      <c r="AF38" s="29">
        <v>0.5990486484883687</v>
      </c>
      <c r="AG38" s="29">
        <v>1.4915378341033971</v>
      </c>
      <c r="AH38" s="29">
        <v>8.5230457908403015E-2</v>
      </c>
      <c r="AI38" s="32">
        <f t="shared" si="15"/>
        <v>34.322959281399527</v>
      </c>
      <c r="AJ38" s="32">
        <f t="shared" si="15"/>
        <v>85.458822878208608</v>
      </c>
      <c r="AK38" s="249">
        <f t="shared" si="15"/>
        <v>4.8833455241189023</v>
      </c>
    </row>
    <row r="39" spans="1:37">
      <c r="A39" s="426" t="s">
        <v>91</v>
      </c>
      <c r="B39" s="27">
        <v>-13.598000000000001</v>
      </c>
      <c r="C39" s="28">
        <v>1</v>
      </c>
      <c r="D39" s="27">
        <v>-11.26</v>
      </c>
      <c r="E39" s="28">
        <v>2</v>
      </c>
      <c r="F39" s="309" t="str">
        <f t="shared" si="14"/>
        <v>B</v>
      </c>
      <c r="G39" s="357">
        <v>1</v>
      </c>
      <c r="H39" s="357">
        <v>1</v>
      </c>
      <c r="I39" s="323">
        <v>1.1202000000000001</v>
      </c>
      <c r="J39" s="29">
        <v>-3.507268968</v>
      </c>
      <c r="K39" s="29">
        <v>1.57</v>
      </c>
      <c r="L39" s="29">
        <f>IF(F39="A",P39,Q39)</f>
        <v>-14.57947696692</v>
      </c>
      <c r="M39" s="29">
        <f t="shared" si="1"/>
        <v>-11.13</v>
      </c>
      <c r="N39" s="414">
        <v>1.0079</v>
      </c>
      <c r="O39" s="37">
        <v>12.0107</v>
      </c>
      <c r="P39" s="29">
        <v>-11.13</v>
      </c>
      <c r="Q39" s="29">
        <f t="shared" si="2"/>
        <v>-14.57947696692</v>
      </c>
      <c r="R39" s="305">
        <v>-4.4909999999999997</v>
      </c>
      <c r="S39" s="30" t="e">
        <f t="shared" si="3"/>
        <v>#DIV/0!</v>
      </c>
      <c r="T39" s="30" t="e">
        <f t="shared" si="4"/>
        <v>#DIV/0!</v>
      </c>
      <c r="U39" s="31">
        <f t="shared" si="5"/>
        <v>-3.5072689679999987</v>
      </c>
      <c r="V39" s="31">
        <f t="shared" si="6"/>
        <v>1.5699999999999998</v>
      </c>
      <c r="W39" s="31" t="e">
        <f t="shared" si="7"/>
        <v>#DIV/0!</v>
      </c>
      <c r="X39" s="31" t="e">
        <f t="shared" si="8"/>
        <v>#DIV/0!</v>
      </c>
      <c r="Y39" s="305">
        <f t="shared" si="9"/>
        <v>-5.3731205721743809</v>
      </c>
      <c r="Z39" s="31">
        <f t="shared" si="10"/>
        <v>-17.235268968</v>
      </c>
      <c r="AA39" s="31" t="str">
        <f t="shared" si="11"/>
        <v>OK</v>
      </c>
      <c r="AB39" s="31"/>
      <c r="AC39" s="31"/>
      <c r="AD39" s="27">
        <v>0.96247203854207275</v>
      </c>
      <c r="AE39" s="27">
        <v>1.1369221321374001</v>
      </c>
      <c r="AF39" s="29">
        <v>1.1664444767726452</v>
      </c>
      <c r="AG39" s="29">
        <v>1.1974603575762914</v>
      </c>
      <c r="AH39" s="29">
        <v>0.79434744896077492</v>
      </c>
      <c r="AI39" s="32">
        <f t="shared" si="15"/>
        <v>66.832345555418158</v>
      </c>
      <c r="AJ39" s="32">
        <f t="shared" si="15"/>
        <v>68.609424623347905</v>
      </c>
      <c r="AK39" s="249">
        <f t="shared" si="15"/>
        <v>45.512756292435974</v>
      </c>
    </row>
    <row r="40" spans="1:37">
      <c r="A40" s="426" t="s">
        <v>92</v>
      </c>
      <c r="B40" s="35">
        <v>-14.534000000000001</v>
      </c>
      <c r="C40" s="36">
        <v>3</v>
      </c>
      <c r="D40" s="35">
        <v>-13.598000000000001</v>
      </c>
      <c r="E40" s="36">
        <v>1</v>
      </c>
      <c r="F40" s="310" t="str">
        <f t="shared" si="14"/>
        <v>B</v>
      </c>
      <c r="G40" s="358">
        <v>1</v>
      </c>
      <c r="H40" s="358">
        <v>1</v>
      </c>
      <c r="I40" s="322">
        <v>1.0449999999999999</v>
      </c>
      <c r="J40" s="37">
        <v>-3.68798</v>
      </c>
      <c r="K40" s="37">
        <v>1.633</v>
      </c>
      <c r="L40" s="37">
        <f>IF(F40="A",P40,Q40)</f>
        <v>-16.275288700000001</v>
      </c>
      <c r="M40" s="37">
        <f t="shared" si="1"/>
        <v>-13.1</v>
      </c>
      <c r="N40" s="414">
        <v>14.0067</v>
      </c>
      <c r="O40" s="414">
        <v>1.0079</v>
      </c>
      <c r="P40" s="37">
        <v>-13.1</v>
      </c>
      <c r="Q40" s="37">
        <f t="shared" si="2"/>
        <v>-16.275288700000001</v>
      </c>
      <c r="R40" s="305">
        <v>-5.98</v>
      </c>
      <c r="S40" s="30" t="e">
        <f t="shared" si="3"/>
        <v>#DIV/0!</v>
      </c>
      <c r="T40" s="30" t="e">
        <f t="shared" si="4"/>
        <v>#DIV/0!</v>
      </c>
      <c r="U40" s="31">
        <f t="shared" si="5"/>
        <v>-3.6879799999999983</v>
      </c>
      <c r="V40" s="31">
        <f t="shared" si="6"/>
        <v>1.6330000000000002</v>
      </c>
      <c r="W40" s="31" t="e">
        <f t="shared" si="7"/>
        <v>#DIV/0!</v>
      </c>
      <c r="X40" s="31" t="e">
        <f t="shared" si="8"/>
        <v>#DIV/0!</v>
      </c>
      <c r="Y40" s="305">
        <f t="shared" si="9"/>
        <v>-6.4923903941139089</v>
      </c>
      <c r="Z40" s="31">
        <f t="shared" si="10"/>
        <v>-18.71998</v>
      </c>
      <c r="AA40" s="31" t="str">
        <f t="shared" si="11"/>
        <v>OK</v>
      </c>
      <c r="AB40" s="31"/>
      <c r="AC40" s="31"/>
      <c r="AD40" s="35">
        <v>0.86957376485302706</v>
      </c>
      <c r="AE40" s="35">
        <v>1.0006180783006287</v>
      </c>
      <c r="AF40" s="37">
        <v>1.1696491038134742</v>
      </c>
      <c r="AG40" s="37">
        <v>1.1969145067366436</v>
      </c>
      <c r="AH40" s="37">
        <v>0.76012080889001121</v>
      </c>
      <c r="AI40" s="38">
        <f t="shared" si="15"/>
        <v>67.015957159771148</v>
      </c>
      <c r="AJ40" s="38">
        <f t="shared" si="15"/>
        <v>68.578149673992414</v>
      </c>
      <c r="AK40" s="250">
        <f t="shared" si="15"/>
        <v>43.551714269467865</v>
      </c>
    </row>
    <row r="41" spans="1:37">
      <c r="A41" s="426" t="s">
        <v>93</v>
      </c>
      <c r="B41" s="27">
        <v>-13.618</v>
      </c>
      <c r="C41" s="28">
        <v>1</v>
      </c>
      <c r="D41" s="27">
        <v>-13.598000000000001</v>
      </c>
      <c r="E41" s="28">
        <v>1</v>
      </c>
      <c r="F41" s="309" t="str">
        <f t="shared" si="14"/>
        <v>B</v>
      </c>
      <c r="G41" s="357">
        <v>1</v>
      </c>
      <c r="H41" s="357">
        <v>1</v>
      </c>
      <c r="I41" s="323">
        <v>0.97060000000000002</v>
      </c>
      <c r="J41" s="29">
        <v>-4.4557033157000001</v>
      </c>
      <c r="K41" s="29">
        <v>1.78</v>
      </c>
      <c r="L41" s="29">
        <f>IF(F41="A",P41,Q41)</f>
        <v>-16.1811123733705</v>
      </c>
      <c r="M41" s="29">
        <f t="shared" si="1"/>
        <v>-13.18</v>
      </c>
      <c r="N41" s="414">
        <v>15.9994</v>
      </c>
      <c r="O41" s="414">
        <v>1.0079</v>
      </c>
      <c r="P41" s="29">
        <v>-13.18</v>
      </c>
      <c r="Q41" s="29">
        <f t="shared" si="2"/>
        <v>-16.1811123733705</v>
      </c>
      <c r="R41" s="305">
        <v>-7.8170000000000002</v>
      </c>
      <c r="S41" s="30" t="e">
        <f t="shared" si="3"/>
        <v>#DIV/0!</v>
      </c>
      <c r="T41" s="30" t="e">
        <f t="shared" si="4"/>
        <v>#DIV/0!</v>
      </c>
      <c r="U41" s="31">
        <f t="shared" si="5"/>
        <v>-4.455703315700001</v>
      </c>
      <c r="V41" s="31">
        <f t="shared" si="6"/>
        <v>1.7800000000000002</v>
      </c>
      <c r="W41" s="31" t="e">
        <f t="shared" si="7"/>
        <v>#DIV/0!</v>
      </c>
      <c r="X41" s="31" t="e">
        <f t="shared" si="8"/>
        <v>#DIV/0!</v>
      </c>
      <c r="Y41" s="305">
        <f t="shared" si="9"/>
        <v>-9.0925216068121166</v>
      </c>
      <c r="Z41" s="31">
        <f t="shared" si="10"/>
        <v>-18.491703315700001</v>
      </c>
      <c r="AA41" s="31" t="str">
        <f t="shared" si="11"/>
        <v>OK</v>
      </c>
      <c r="AB41" s="31"/>
      <c r="AC41" s="31"/>
      <c r="AD41" s="27">
        <v>0.83702527757358769</v>
      </c>
      <c r="AE41" s="27">
        <v>0.95367532471258121</v>
      </c>
      <c r="AF41" s="29">
        <v>1.2215600262441835</v>
      </c>
      <c r="AG41" s="29">
        <v>1.2357456083761804</v>
      </c>
      <c r="AH41" s="29">
        <v>0.85924968967436322</v>
      </c>
      <c r="AI41" s="32">
        <f t="shared" si="15"/>
        <v>69.990233925681792</v>
      </c>
      <c r="AJ41" s="32">
        <f t="shared" si="15"/>
        <v>70.803007911781407</v>
      </c>
      <c r="AK41" s="249">
        <f t="shared" si="15"/>
        <v>49.231380766266724</v>
      </c>
    </row>
    <row r="42" spans="1:37">
      <c r="A42" s="425" t="s">
        <v>94</v>
      </c>
      <c r="B42" s="35">
        <v>-17.422999999999998</v>
      </c>
      <c r="C42" s="36">
        <v>2</v>
      </c>
      <c r="D42" s="35">
        <v>-12.968</v>
      </c>
      <c r="E42" s="36">
        <v>2</v>
      </c>
      <c r="F42" s="310" t="str">
        <f t="shared" si="14"/>
        <v>B</v>
      </c>
      <c r="G42" s="358">
        <v>1</v>
      </c>
      <c r="H42" s="358">
        <v>1</v>
      </c>
      <c r="I42" s="322">
        <v>1.6279999999999999</v>
      </c>
      <c r="J42" s="37">
        <v>-2.7033125440999997</v>
      </c>
      <c r="K42" s="37">
        <v>0.88</v>
      </c>
      <c r="L42" s="405">
        <v>-13.13</v>
      </c>
      <c r="M42" s="37">
        <f t="shared" si="1"/>
        <v>-12.66</v>
      </c>
      <c r="N42" s="414">
        <v>18.9984</v>
      </c>
      <c r="O42" s="414">
        <v>35.453000000000003</v>
      </c>
      <c r="P42" s="37">
        <v>-12.66</v>
      </c>
      <c r="Q42" s="318">
        <f t="shared" si="2"/>
        <v>-16.39</v>
      </c>
      <c r="R42" s="305">
        <v>-4.4749999999999996</v>
      </c>
      <c r="S42" s="30" t="e">
        <f t="shared" si="3"/>
        <v>#DIV/0!</v>
      </c>
      <c r="T42" s="30" t="e">
        <f t="shared" si="4"/>
        <v>#DIV/0!</v>
      </c>
      <c r="U42" s="31">
        <f t="shared" si="5"/>
        <v>-2.7033125441000001</v>
      </c>
      <c r="V42" s="31">
        <f t="shared" si="6"/>
        <v>0.88000000000000034</v>
      </c>
      <c r="W42" s="31" t="e">
        <f t="shared" si="7"/>
        <v>#DIV/0!</v>
      </c>
      <c r="X42" s="31" t="e">
        <f t="shared" si="8"/>
        <v>#DIV/0!</v>
      </c>
      <c r="Y42" s="305">
        <f t="shared" si="9"/>
        <v>-1.9608126892636275</v>
      </c>
      <c r="Z42" s="31">
        <f t="shared" si="10"/>
        <v>-20.434312544099999</v>
      </c>
      <c r="AA42" s="31" t="str">
        <f t="shared" si="11"/>
        <v>OK</v>
      </c>
      <c r="AB42" s="31" t="s">
        <v>85</v>
      </c>
      <c r="AC42" s="31">
        <v>-16.39</v>
      </c>
      <c r="AD42" s="35">
        <v>0.83264640057447648</v>
      </c>
      <c r="AE42" s="35">
        <v>1.7758796779705577</v>
      </c>
      <c r="AF42" s="37">
        <v>1.5503350323715552</v>
      </c>
      <c r="AG42" s="37">
        <v>0.63686312755346397</v>
      </c>
      <c r="AH42" s="37">
        <v>0.21624384160367086</v>
      </c>
      <c r="AI42" s="38">
        <f t="shared" si="15"/>
        <v>88.827654186167976</v>
      </c>
      <c r="AJ42" s="38">
        <f t="shared" si="15"/>
        <v>36.489569336315299</v>
      </c>
      <c r="AK42" s="250">
        <f t="shared" si="15"/>
        <v>12.389859469585824</v>
      </c>
    </row>
    <row r="43" spans="1:37">
      <c r="A43" s="426" t="s">
        <v>95</v>
      </c>
      <c r="B43" s="35">
        <v>-11.814</v>
      </c>
      <c r="C43" s="36">
        <v>2</v>
      </c>
      <c r="D43" s="35">
        <v>-17.422999999999998</v>
      </c>
      <c r="E43" s="36">
        <v>2</v>
      </c>
      <c r="F43" s="310" t="str">
        <f t="shared" si="14"/>
        <v>A</v>
      </c>
      <c r="G43" s="358">
        <v>1</v>
      </c>
      <c r="H43" s="358">
        <v>1</v>
      </c>
      <c r="I43" s="322">
        <v>1.7549999999999999</v>
      </c>
      <c r="J43" s="37">
        <v>-2.9019956000000002</v>
      </c>
      <c r="K43" s="37">
        <v>1.29</v>
      </c>
      <c r="L43" s="37">
        <f t="shared" ref="L43:L53" si="16">IF(F43="A",P43,Q43)</f>
        <v>-11.78</v>
      </c>
      <c r="M43" s="37">
        <f t="shared" si="1"/>
        <v>-16.627132513999999</v>
      </c>
      <c r="N43" s="414">
        <v>79.903999999999996</v>
      </c>
      <c r="O43" s="414">
        <v>18.9984</v>
      </c>
      <c r="P43" s="37">
        <v>-11.78</v>
      </c>
      <c r="Q43" s="37">
        <f t="shared" si="2"/>
        <v>-16.627132513999999</v>
      </c>
      <c r="R43" s="305">
        <v>-4.0750000000000002</v>
      </c>
      <c r="S43" s="30" t="e">
        <f t="shared" si="3"/>
        <v>#DIV/0!</v>
      </c>
      <c r="T43" s="30" t="e">
        <f t="shared" si="4"/>
        <v>#DIV/0!</v>
      </c>
      <c r="U43" s="31">
        <f t="shared" si="5"/>
        <v>-2.9019956000000016</v>
      </c>
      <c r="V43" s="31">
        <f t="shared" si="6"/>
        <v>1.2900000000000003</v>
      </c>
      <c r="W43" s="31" t="e">
        <f t="shared" si="7"/>
        <v>#DIV/0!</v>
      </c>
      <c r="X43" s="31" t="e">
        <f t="shared" si="8"/>
        <v>#DIV/0!</v>
      </c>
      <c r="Y43" s="305">
        <f t="shared" si="9"/>
        <v>-1.8113032160551854</v>
      </c>
      <c r="Z43" s="31">
        <f t="shared" si="10"/>
        <v>-20.3589956</v>
      </c>
      <c r="AA43" s="31" t="str">
        <f t="shared" si="11"/>
        <v>OK</v>
      </c>
      <c r="AB43" s="31"/>
      <c r="AC43" s="31"/>
      <c r="AD43" s="35">
        <v>1.912364728342145</v>
      </c>
      <c r="AE43" s="35">
        <v>0.81944150701548846</v>
      </c>
      <c r="AF43" s="37">
        <v>0.63586436114904843</v>
      </c>
      <c r="AG43" s="37">
        <v>1.6345313486002848</v>
      </c>
      <c r="AH43" s="37">
        <v>4.7808412696496733E-4</v>
      </c>
      <c r="AI43" s="38">
        <f t="shared" si="15"/>
        <v>36.432344236622825</v>
      </c>
      <c r="AJ43" s="38">
        <f t="shared" si="15"/>
        <v>93.651747756623024</v>
      </c>
      <c r="AK43" s="250">
        <f t="shared" si="15"/>
        <v>2.7392202727289223E-2</v>
      </c>
    </row>
    <row r="44" spans="1:37">
      <c r="A44" s="425" t="s">
        <v>96</v>
      </c>
      <c r="B44" s="27">
        <v>-11.814</v>
      </c>
      <c r="C44" s="28">
        <v>2</v>
      </c>
      <c r="D44" s="27">
        <v>-12.968</v>
      </c>
      <c r="E44" s="28">
        <v>2</v>
      </c>
      <c r="F44" s="309" t="str">
        <f t="shared" si="14"/>
        <v>A</v>
      </c>
      <c r="G44" s="357">
        <v>1</v>
      </c>
      <c r="H44" s="357">
        <v>1</v>
      </c>
      <c r="I44" s="323">
        <v>2.1379999999999999</v>
      </c>
      <c r="J44" s="29">
        <v>-2.2730916963999999</v>
      </c>
      <c r="K44" s="29">
        <v>0.56999999999999995</v>
      </c>
      <c r="L44" s="29">
        <f t="shared" si="16"/>
        <v>-11.1</v>
      </c>
      <c r="M44" s="404">
        <v>-11.211499999999999</v>
      </c>
      <c r="N44" s="414">
        <v>79.903999999999996</v>
      </c>
      <c r="O44" s="414">
        <v>35.453000000000003</v>
      </c>
      <c r="P44" s="29">
        <v>-11.1</v>
      </c>
      <c r="Q44" s="29">
        <f t="shared" si="2"/>
        <v>-13.843126808466</v>
      </c>
      <c r="R44" s="305">
        <v>-2.86</v>
      </c>
      <c r="S44" s="30" t="e">
        <f t="shared" si="3"/>
        <v>#DIV/0!</v>
      </c>
      <c r="T44" s="30" t="e">
        <f t="shared" si="4"/>
        <v>#DIV/0!</v>
      </c>
      <c r="U44" s="31">
        <f t="shared" si="5"/>
        <v>-2.273091696399999</v>
      </c>
      <c r="V44" s="31">
        <f t="shared" si="6"/>
        <v>0.57000000000000162</v>
      </c>
      <c r="W44" s="31" t="e">
        <f t="shared" si="7"/>
        <v>#DIV/0!</v>
      </c>
      <c r="X44" s="31" t="e">
        <f t="shared" si="8"/>
        <v>#DIV/0!</v>
      </c>
      <c r="Y44" s="305">
        <f t="shared" si="9"/>
        <v>-0.95598307607535293</v>
      </c>
      <c r="Z44" s="31">
        <f t="shared" si="10"/>
        <v>-15.955091696399998</v>
      </c>
      <c r="AA44" s="31" t="str">
        <f t="shared" si="11"/>
        <v>OK</v>
      </c>
      <c r="AB44" s="31"/>
      <c r="AC44" s="31"/>
      <c r="AD44" s="35">
        <v>2.427233862424937</v>
      </c>
      <c r="AE44" s="35">
        <v>0.98287950820652303</v>
      </c>
      <c r="AF44" s="37">
        <v>0.52156769546847381</v>
      </c>
      <c r="AG44" s="37">
        <v>1.6575715885368312</v>
      </c>
      <c r="AH44" s="37">
        <v>7.3469226214672588E-5</v>
      </c>
      <c r="AI44" s="32">
        <f t="shared" si="15"/>
        <v>29.883627680708141</v>
      </c>
      <c r="AJ44" s="32">
        <f t="shared" si="15"/>
        <v>94.9718562639559</v>
      </c>
      <c r="AK44" s="249">
        <f t="shared" si="15"/>
        <v>4.2094765861926484E-3</v>
      </c>
    </row>
    <row r="45" spans="1:37">
      <c r="A45" s="425" t="s">
        <v>97</v>
      </c>
      <c r="B45" s="27">
        <v>-10.451000000000001</v>
      </c>
      <c r="C45" s="28">
        <v>2</v>
      </c>
      <c r="D45" s="27">
        <v>-12.968</v>
      </c>
      <c r="E45" s="28">
        <v>2</v>
      </c>
      <c r="F45" s="309" t="str">
        <f t="shared" si="14"/>
        <v>A</v>
      </c>
      <c r="G45" s="357">
        <v>1</v>
      </c>
      <c r="H45" s="357">
        <v>1</v>
      </c>
      <c r="I45" s="323">
        <v>2.3207</v>
      </c>
      <c r="J45" s="29">
        <v>-2.1899702510000001</v>
      </c>
      <c r="K45" s="29">
        <v>0.65</v>
      </c>
      <c r="L45" s="29">
        <f t="shared" si="16"/>
        <v>-10.08</v>
      </c>
      <c r="M45" s="317">
        <v>-10.38</v>
      </c>
      <c r="N45" s="414">
        <v>126.9045</v>
      </c>
      <c r="O45" s="414">
        <v>35.453000000000003</v>
      </c>
      <c r="P45" s="29">
        <v>-10.08</v>
      </c>
      <c r="Q45" s="317">
        <f t="shared" si="2"/>
        <v>-12.88</v>
      </c>
      <c r="R45" s="305">
        <v>-2.4140000000000001</v>
      </c>
      <c r="S45" s="30" t="e">
        <f t="shared" si="3"/>
        <v>#DIV/0!</v>
      </c>
      <c r="T45" s="30" t="e">
        <f t="shared" si="4"/>
        <v>#DIV/0!</v>
      </c>
      <c r="U45" s="31">
        <f t="shared" si="5"/>
        <v>-2.1899702510000001</v>
      </c>
      <c r="V45" s="31">
        <f t="shared" si="6"/>
        <v>0.64999999999999947</v>
      </c>
      <c r="W45" s="31" t="e">
        <f t="shared" si="7"/>
        <v>#DIV/0!</v>
      </c>
      <c r="X45" s="31" t="e">
        <f t="shared" si="8"/>
        <v>#DIV/0!</v>
      </c>
      <c r="Y45" s="305">
        <f t="shared" si="9"/>
        <v>-0.78171574789369846</v>
      </c>
      <c r="Z45" s="31">
        <f t="shared" si="10"/>
        <v>-15.528970251000002</v>
      </c>
      <c r="AA45" s="31" t="str">
        <f t="shared" si="11"/>
        <v>OK</v>
      </c>
      <c r="AB45" s="31" t="s">
        <v>85</v>
      </c>
      <c r="AC45" s="31">
        <v>-12.88</v>
      </c>
      <c r="AD45" s="35">
        <v>1.3020366499614326</v>
      </c>
      <c r="AE45" s="35">
        <v>2.5346752307740927</v>
      </c>
      <c r="AF45" s="37">
        <v>1.6557731438969205</v>
      </c>
      <c r="AG45" s="37">
        <v>0.43756124362930482</v>
      </c>
      <c r="AH45" s="37">
        <v>0</v>
      </c>
      <c r="AI45" s="32">
        <f t="shared" si="15"/>
        <v>94.868812976401088</v>
      </c>
      <c r="AJ45" s="32">
        <f t="shared" si="15"/>
        <v>25.070412538454747</v>
      </c>
      <c r="AK45" s="249">
        <f t="shared" si="15"/>
        <v>0</v>
      </c>
    </row>
    <row r="46" spans="1:37">
      <c r="A46" s="425" t="s">
        <v>98</v>
      </c>
      <c r="B46" s="27">
        <v>-10.45</v>
      </c>
      <c r="C46" s="28">
        <v>2</v>
      </c>
      <c r="D46" s="27">
        <v>-11.814</v>
      </c>
      <c r="E46" s="28">
        <v>2</v>
      </c>
      <c r="F46" s="309" t="str">
        <f t="shared" si="14"/>
        <v>A</v>
      </c>
      <c r="G46" s="357">
        <v>1</v>
      </c>
      <c r="H46" s="357">
        <v>1</v>
      </c>
      <c r="I46" s="323">
        <v>2.4849999999999999</v>
      </c>
      <c r="J46" s="29">
        <v>-1.8562407569999999</v>
      </c>
      <c r="K46" s="29">
        <v>0.73699999999999999</v>
      </c>
      <c r="L46" s="29">
        <f t="shared" si="16"/>
        <v>-9.85</v>
      </c>
      <c r="M46" s="317">
        <v>-9.9</v>
      </c>
      <c r="N46" s="414">
        <v>126.9045</v>
      </c>
      <c r="O46" s="414">
        <v>79.903999999999996</v>
      </c>
      <c r="P46" s="29">
        <v>-9.85</v>
      </c>
      <c r="Q46" s="317">
        <f t="shared" si="2"/>
        <v>-11.99</v>
      </c>
      <c r="R46" s="305">
        <v>-2.0779999999999998</v>
      </c>
      <c r="S46" s="30" t="e">
        <f t="shared" si="3"/>
        <v>#DIV/0!</v>
      </c>
      <c r="T46" s="30" t="e">
        <f t="shared" si="4"/>
        <v>#DIV/0!</v>
      </c>
      <c r="U46" s="31">
        <f t="shared" si="5"/>
        <v>-1.8562407569999999</v>
      </c>
      <c r="V46" s="31">
        <f t="shared" si="6"/>
        <v>0.73699999999999899</v>
      </c>
      <c r="W46" s="31" t="e">
        <f t="shared" si="7"/>
        <v>#DIV/0!</v>
      </c>
      <c r="X46" s="31" t="e">
        <f t="shared" si="8"/>
        <v>#DIV/0!</v>
      </c>
      <c r="Y46" s="305">
        <f t="shared" si="9"/>
        <v>-0.57787002589046155</v>
      </c>
      <c r="Z46" s="31">
        <f t="shared" si="10"/>
        <v>-14.270240756999998</v>
      </c>
      <c r="AA46" s="31" t="str">
        <f t="shared" si="11"/>
        <v>OK</v>
      </c>
      <c r="AB46" s="31" t="s">
        <v>85</v>
      </c>
      <c r="AC46" s="31">
        <v>-11.99</v>
      </c>
      <c r="AD46" s="35">
        <v>2.7814748425373961</v>
      </c>
      <c r="AE46" s="35">
        <v>1.1372893138844311</v>
      </c>
      <c r="AF46" s="37">
        <v>0.51668002290165405</v>
      </c>
      <c r="AG46" s="37">
        <v>1.647226022253631</v>
      </c>
      <c r="AH46" s="37">
        <v>5.8636656761163939E-5</v>
      </c>
      <c r="AI46" s="32">
        <f t="shared" ref="AI46:AK60" si="17">DEGREES(AF46)</f>
        <v>29.603584670987495</v>
      </c>
      <c r="AJ46" s="32">
        <f t="shared" si="17"/>
        <v>94.379098979255673</v>
      </c>
      <c r="AK46" s="249">
        <f t="shared" si="17"/>
        <v>3.3596329571719367E-3</v>
      </c>
    </row>
    <row r="47" spans="1:37">
      <c r="A47" s="426" t="s">
        <v>7</v>
      </c>
      <c r="B47" s="27">
        <v>-5.3920000000000003</v>
      </c>
      <c r="C47" s="28">
        <v>1</v>
      </c>
      <c r="D47" s="27">
        <v>-10.451000000000001</v>
      </c>
      <c r="E47" s="28">
        <v>2</v>
      </c>
      <c r="F47" s="309" t="str">
        <f t="shared" si="14"/>
        <v>A</v>
      </c>
      <c r="G47" s="357">
        <v>1</v>
      </c>
      <c r="H47" s="357">
        <v>1</v>
      </c>
      <c r="I47" s="323">
        <v>2.3919000000000001</v>
      </c>
      <c r="J47" s="29">
        <v>-3.5777460039999998</v>
      </c>
      <c r="K47" s="29">
        <v>7.43</v>
      </c>
      <c r="L47" s="29">
        <f t="shared" si="16"/>
        <v>-8.5500000000000007</v>
      </c>
      <c r="M47" s="29">
        <f t="shared" ref="M47:M53" si="18">IF(F47="A",Q47,P47)</f>
        <v>-9.8612214922600003</v>
      </c>
      <c r="N47" s="37">
        <v>6.9409999999999998</v>
      </c>
      <c r="O47" s="414">
        <v>126.9045</v>
      </c>
      <c r="P47" s="29">
        <v>-8.5500000000000007</v>
      </c>
      <c r="Q47" s="29">
        <f t="shared" si="2"/>
        <v>-9.8612214922600003</v>
      </c>
      <c r="R47" s="305">
        <v>-0.96299999999999997</v>
      </c>
      <c r="S47" s="30" t="e">
        <f t="shared" si="3"/>
        <v>#DIV/0!</v>
      </c>
      <c r="T47" s="30" t="e">
        <f t="shared" si="4"/>
        <v>#DIV/0!</v>
      </c>
      <c r="U47" s="31">
        <f t="shared" si="5"/>
        <v>-3.5777460039999998</v>
      </c>
      <c r="V47" s="31">
        <f t="shared" si="6"/>
        <v>7.4299999999999988</v>
      </c>
      <c r="W47" s="31" t="e">
        <f t="shared" si="7"/>
        <v>#DIV/0!</v>
      </c>
      <c r="X47" s="31" t="e">
        <f t="shared" si="8"/>
        <v>#DIV/0!</v>
      </c>
      <c r="Y47" s="305">
        <f t="shared" si="9"/>
        <v>-1.2021872506523068</v>
      </c>
      <c r="Z47" s="31">
        <f t="shared" si="10"/>
        <v>-10.870746004000001</v>
      </c>
      <c r="AA47" s="31" t="str">
        <f t="shared" si="11"/>
        <v>OK</v>
      </c>
      <c r="AB47" s="31"/>
      <c r="AC47" s="31"/>
      <c r="AD47" s="35">
        <v>1.4227015360894928</v>
      </c>
      <c r="AE47" s="35">
        <v>1.9690119952246514</v>
      </c>
      <c r="AF47" s="37">
        <v>1.9838069649391046</v>
      </c>
      <c r="AG47" s="37">
        <v>0.76824512102788955</v>
      </c>
      <c r="AH47" s="37">
        <v>0</v>
      </c>
      <c r="AI47" s="32">
        <f t="shared" si="17"/>
        <v>113.66376645966797</v>
      </c>
      <c r="AJ47" s="32">
        <f t="shared" si="17"/>
        <v>44.017203066415206</v>
      </c>
      <c r="AK47" s="249">
        <f t="shared" si="17"/>
        <v>0</v>
      </c>
    </row>
    <row r="48" spans="1:37">
      <c r="A48" s="531" t="s">
        <v>8</v>
      </c>
      <c r="B48" s="35">
        <v>-5.1390000000000002</v>
      </c>
      <c r="C48" s="36">
        <v>1</v>
      </c>
      <c r="D48" s="35">
        <v>-10.451000000000001</v>
      </c>
      <c r="E48" s="36">
        <v>2</v>
      </c>
      <c r="F48" s="310" t="str">
        <f t="shared" si="14"/>
        <v>A</v>
      </c>
      <c r="G48" s="358">
        <v>1</v>
      </c>
      <c r="H48" s="358">
        <v>1</v>
      </c>
      <c r="I48" s="322">
        <v>2.7115</v>
      </c>
      <c r="J48" s="37">
        <v>-3.1528109340000001</v>
      </c>
      <c r="K48" s="37">
        <v>9.2100000000000009</v>
      </c>
      <c r="L48" s="37">
        <f t="shared" si="16"/>
        <v>-7.64</v>
      </c>
      <c r="M48" s="37">
        <f t="shared" si="18"/>
        <v>-9.5964881777100004</v>
      </c>
      <c r="N48" s="37">
        <v>22.989699999999999</v>
      </c>
      <c r="O48" s="414">
        <v>126.9045</v>
      </c>
      <c r="P48" s="37">
        <v>-7.64</v>
      </c>
      <c r="Q48" s="37">
        <f t="shared" si="2"/>
        <v>-9.5964881777100004</v>
      </c>
      <c r="R48" s="305">
        <v>-0.76400000000000001</v>
      </c>
      <c r="S48" s="30" t="e">
        <f t="shared" si="3"/>
        <v>#DIV/0!</v>
      </c>
      <c r="T48" s="30" t="e">
        <f t="shared" si="4"/>
        <v>#DIV/0!</v>
      </c>
      <c r="U48" s="31">
        <f t="shared" si="5"/>
        <v>-3.1528109340000001</v>
      </c>
      <c r="V48" s="31">
        <f t="shared" si="6"/>
        <v>9.2099999999999991</v>
      </c>
      <c r="W48" s="31" t="e">
        <f t="shared" si="7"/>
        <v>#DIV/0!</v>
      </c>
      <c r="X48" s="31" t="e">
        <f t="shared" si="8"/>
        <v>#DIV/0!</v>
      </c>
      <c r="Y48" s="305">
        <f t="shared" si="9"/>
        <v>-0.82437983618553334</v>
      </c>
      <c r="Z48" s="31">
        <f t="shared" si="10"/>
        <v>-11.102810934000001</v>
      </c>
      <c r="AA48" s="31" t="str">
        <f t="shared" si="11"/>
        <v>OK</v>
      </c>
      <c r="AB48" s="31"/>
      <c r="AC48" s="31"/>
      <c r="AD48" s="35">
        <v>1.5799245390819034</v>
      </c>
      <c r="AE48" s="35">
        <v>2.0975490729717166</v>
      </c>
      <c r="AF48" s="37">
        <v>2.0885116640884984</v>
      </c>
      <c r="AG48" s="37">
        <v>0.72079664929374232</v>
      </c>
      <c r="AH48" s="37">
        <v>0</v>
      </c>
      <c r="AI48" s="38">
        <f t="shared" si="17"/>
        <v>119.66290381611526</v>
      </c>
      <c r="AJ48" s="38">
        <f t="shared" si="17"/>
        <v>41.298605891702785</v>
      </c>
      <c r="AK48" s="250">
        <f t="shared" si="17"/>
        <v>0</v>
      </c>
    </row>
    <row r="49" spans="1:37">
      <c r="A49" s="531"/>
      <c r="B49" s="27">
        <v>-5.1390000000000002</v>
      </c>
      <c r="C49" s="28">
        <v>1</v>
      </c>
      <c r="D49" s="27">
        <v>-10.451000000000001</v>
      </c>
      <c r="E49" s="28">
        <v>2</v>
      </c>
      <c r="F49" s="309" t="str">
        <f t="shared" si="14"/>
        <v>A</v>
      </c>
      <c r="G49" s="357">
        <v>1</v>
      </c>
      <c r="H49" s="357">
        <v>1</v>
      </c>
      <c r="I49" s="323">
        <v>2.7115</v>
      </c>
      <c r="J49" s="29">
        <v>-2.9937720000000003</v>
      </c>
      <c r="K49" s="29">
        <v>9.2100000000000009</v>
      </c>
      <c r="L49" s="29">
        <f t="shared" si="16"/>
        <v>-8.8000000000000007</v>
      </c>
      <c r="M49" s="29">
        <f t="shared" si="18"/>
        <v>-9.3558311799999991</v>
      </c>
      <c r="N49" s="37">
        <v>22.989699999999999</v>
      </c>
      <c r="O49" s="414">
        <v>126.9045</v>
      </c>
      <c r="P49" s="29">
        <v>-8.8000000000000007</v>
      </c>
      <c r="Q49" s="29">
        <f t="shared" si="2"/>
        <v>-9.3558311799999991</v>
      </c>
      <c r="R49" s="305">
        <v>-0.76400000000000001</v>
      </c>
      <c r="S49" s="30" t="e">
        <f t="shared" si="3"/>
        <v>#DIV/0!</v>
      </c>
      <c r="T49" s="30" t="e">
        <f t="shared" si="4"/>
        <v>#DIV/0!</v>
      </c>
      <c r="U49" s="31">
        <f t="shared" si="5"/>
        <v>-2.9937720000000003</v>
      </c>
      <c r="V49" s="31">
        <f t="shared" si="6"/>
        <v>9.2100000000000026</v>
      </c>
      <c r="W49" s="31" t="e">
        <f t="shared" si="7"/>
        <v>#DIV/0!</v>
      </c>
      <c r="X49" s="31" t="e">
        <f t="shared" si="8"/>
        <v>#DIV/0!</v>
      </c>
      <c r="Y49" s="305">
        <f t="shared" si="9"/>
        <v>-0.78279520167917438</v>
      </c>
      <c r="Z49" s="31">
        <f t="shared" si="10"/>
        <v>-9.783771999999999</v>
      </c>
      <c r="AA49" s="31" t="str">
        <f t="shared" si="11"/>
        <v>OK</v>
      </c>
      <c r="AB49" s="31"/>
      <c r="AC49" s="31"/>
      <c r="AD49" s="35">
        <v>1.4111506143360737</v>
      </c>
      <c r="AE49" s="35">
        <v>2.1269710369492882</v>
      </c>
      <c r="AF49" s="37">
        <v>2.1588288084507119</v>
      </c>
      <c r="AG49" s="37">
        <v>0.73577330626520487</v>
      </c>
      <c r="AH49" s="37">
        <v>1.226840468615399E-3</v>
      </c>
      <c r="AI49" s="32">
        <f t="shared" si="17"/>
        <v>123.69177941548222</v>
      </c>
      <c r="AJ49" s="32">
        <f t="shared" si="17"/>
        <v>42.156705127382772</v>
      </c>
      <c r="AK49" s="249">
        <f t="shared" si="17"/>
        <v>7.0292780987514486E-2</v>
      </c>
    </row>
    <row r="50" spans="1:37">
      <c r="A50" s="531"/>
      <c r="B50" s="27">
        <v>-5.1390000000000002</v>
      </c>
      <c r="C50" s="28">
        <v>1</v>
      </c>
      <c r="D50" s="27">
        <v>-10.451000000000001</v>
      </c>
      <c r="E50" s="28">
        <v>2</v>
      </c>
      <c r="F50" s="309" t="str">
        <f t="shared" si="14"/>
        <v>A</v>
      </c>
      <c r="G50" s="357">
        <v>1</v>
      </c>
      <c r="H50" s="357">
        <v>1</v>
      </c>
      <c r="I50" s="323">
        <v>2.7115</v>
      </c>
      <c r="J50" s="29">
        <v>-2.9937720000000003</v>
      </c>
      <c r="K50" s="29">
        <v>9.2100000000000009</v>
      </c>
      <c r="L50" s="29">
        <f t="shared" si="16"/>
        <v>-7.64</v>
      </c>
      <c r="M50" s="29">
        <f t="shared" si="18"/>
        <v>-9.5066311799999994</v>
      </c>
      <c r="N50" s="37">
        <v>22.989699999999999</v>
      </c>
      <c r="O50" s="414">
        <v>126.9045</v>
      </c>
      <c r="P50" s="29">
        <v>-7.64</v>
      </c>
      <c r="Q50" s="29">
        <f t="shared" si="2"/>
        <v>-9.5066311799999994</v>
      </c>
      <c r="R50" s="305">
        <v>-0.76400000000000001</v>
      </c>
      <c r="S50" s="30" t="e">
        <f t="shared" si="3"/>
        <v>#DIV/0!</v>
      </c>
      <c r="T50" s="30" t="e">
        <f t="shared" si="4"/>
        <v>#DIV/0!</v>
      </c>
      <c r="U50" s="31">
        <f t="shared" si="5"/>
        <v>-2.9937720000000008</v>
      </c>
      <c r="V50" s="31">
        <f t="shared" si="6"/>
        <v>9.2100000000000009</v>
      </c>
      <c r="W50" s="31" t="e">
        <f t="shared" si="7"/>
        <v>#DIV/0!</v>
      </c>
      <c r="X50" s="31" t="e">
        <f t="shared" si="8"/>
        <v>#DIV/0!</v>
      </c>
      <c r="Y50" s="305">
        <f t="shared" si="9"/>
        <v>-0.7827952016791746</v>
      </c>
      <c r="Z50" s="31">
        <f t="shared" si="10"/>
        <v>-10.943771999999999</v>
      </c>
      <c r="AA50" s="31" t="str">
        <f t="shared" si="11"/>
        <v>OK</v>
      </c>
      <c r="AB50" s="31"/>
      <c r="AC50" s="31"/>
      <c r="AD50" s="35">
        <v>1.5878391656698243</v>
      </c>
      <c r="AE50" s="35">
        <v>2.0574154821652586</v>
      </c>
      <c r="AF50" s="37">
        <v>2.039180481191238</v>
      </c>
      <c r="AG50" s="37">
        <v>0.74615395040910693</v>
      </c>
      <c r="AH50" s="37">
        <v>0</v>
      </c>
      <c r="AI50" s="32">
        <f t="shared" si="17"/>
        <v>116.83643523771428</v>
      </c>
      <c r="AJ50" s="32">
        <f t="shared" si="17"/>
        <v>42.751472225455551</v>
      </c>
      <c r="AK50" s="249">
        <f t="shared" si="17"/>
        <v>0</v>
      </c>
    </row>
    <row r="51" spans="1:37">
      <c r="A51" s="531" t="s">
        <v>9</v>
      </c>
      <c r="B51" s="35">
        <v>-5.1390000000000002</v>
      </c>
      <c r="C51" s="36">
        <v>1</v>
      </c>
      <c r="D51" s="35">
        <v>-12.967000000000001</v>
      </c>
      <c r="E51" s="36">
        <v>2</v>
      </c>
      <c r="F51" s="310" t="str">
        <f t="shared" si="14"/>
        <v>A</v>
      </c>
      <c r="G51" s="358">
        <v>1</v>
      </c>
      <c r="H51" s="358">
        <v>1</v>
      </c>
      <c r="I51" s="322">
        <v>2.3605999999999998</v>
      </c>
      <c r="J51" s="37">
        <v>-4.2711156670000001</v>
      </c>
      <c r="K51" s="37">
        <v>8.9700000000000006</v>
      </c>
      <c r="L51" s="37">
        <f t="shared" si="16"/>
        <v>-9.1999999999999993</v>
      </c>
      <c r="M51" s="37">
        <v>-10</v>
      </c>
      <c r="N51" s="37">
        <v>22.989699999999999</v>
      </c>
      <c r="O51" s="414">
        <v>35.453000000000003</v>
      </c>
      <c r="P51" s="37">
        <v>-9.1999999999999993</v>
      </c>
      <c r="Q51" s="37" t="e">
        <f>IF(AC51&lt;&gt;0,AC51,X51)</f>
        <v>#DIV/0!</v>
      </c>
      <c r="R51" s="305">
        <v>-1.097</v>
      </c>
      <c r="S51" s="30" t="e">
        <f t="shared" si="3"/>
        <v>#DIV/0!</v>
      </c>
      <c r="T51" s="30" t="e">
        <f t="shared" si="4"/>
        <v>#DIV/0!</v>
      </c>
      <c r="U51" s="31">
        <f t="shared" si="5"/>
        <v>-4.2711156669983108</v>
      </c>
      <c r="V51" s="31">
        <f t="shared" si="6"/>
        <v>8.9699999999998248</v>
      </c>
      <c r="W51" s="31" t="e">
        <f t="shared" si="7"/>
        <v>#DIV/0!</v>
      </c>
      <c r="X51" s="31" t="e">
        <f t="shared" si="8"/>
        <v>#DIV/0!</v>
      </c>
      <c r="Y51" s="305">
        <f t="shared" si="9"/>
        <v>-1.4734831621987516</v>
      </c>
      <c r="Z51" s="31">
        <f t="shared" si="10"/>
        <v>-13.177115667000002</v>
      </c>
      <c r="AA51" s="31" t="str">
        <f t="shared" si="11"/>
        <v>OK</v>
      </c>
      <c r="AB51" s="31"/>
      <c r="AC51" s="31"/>
      <c r="AD51" s="35">
        <v>1.2938852276439265</v>
      </c>
      <c r="AE51" s="35">
        <v>1.8826264533038788</v>
      </c>
      <c r="AF51" s="37">
        <v>2.4417278978152575</v>
      </c>
      <c r="AG51" s="37">
        <v>0.66389944050880434</v>
      </c>
      <c r="AH51" s="37">
        <v>1.9102871491009879E-2</v>
      </c>
      <c r="AI51" s="38">
        <f t="shared" si="17"/>
        <v>139.900703264165</v>
      </c>
      <c r="AJ51" s="38">
        <f t="shared" si="17"/>
        <v>38.03863596225117</v>
      </c>
      <c r="AK51" s="250">
        <f t="shared" si="17"/>
        <v>1.0945139130156483</v>
      </c>
    </row>
    <row r="52" spans="1:37">
      <c r="A52" s="531"/>
      <c r="B52" s="27">
        <v>-5.1390000000000002</v>
      </c>
      <c r="C52" s="28">
        <v>1</v>
      </c>
      <c r="D52" s="27">
        <v>-12.967000000000001</v>
      </c>
      <c r="E52" s="28">
        <v>2</v>
      </c>
      <c r="F52" s="309" t="str">
        <f t="shared" si="14"/>
        <v>A</v>
      </c>
      <c r="G52" s="357">
        <v>1</v>
      </c>
      <c r="H52" s="357">
        <v>1</v>
      </c>
      <c r="I52" s="323">
        <v>2.3605999999999998</v>
      </c>
      <c r="J52" s="29">
        <v>-4.2711156670000001</v>
      </c>
      <c r="K52" s="29">
        <v>8.9700000000000006</v>
      </c>
      <c r="L52" s="29">
        <f t="shared" si="16"/>
        <v>-8.93</v>
      </c>
      <c r="M52" s="29">
        <v>-10</v>
      </c>
      <c r="N52" s="37">
        <v>22.989699999999999</v>
      </c>
      <c r="O52" s="414">
        <v>35.453000000000003</v>
      </c>
      <c r="P52" s="29">
        <v>-8.93</v>
      </c>
      <c r="Q52" s="29" t="e">
        <f>X52</f>
        <v>#DIV/0!</v>
      </c>
      <c r="R52" s="305">
        <v>-1.097</v>
      </c>
      <c r="S52" s="30" t="e">
        <f t="shared" si="3"/>
        <v>#DIV/0!</v>
      </c>
      <c r="T52" s="30" t="e">
        <f t="shared" si="4"/>
        <v>#DIV/0!</v>
      </c>
      <c r="U52" s="31">
        <f t="shared" si="5"/>
        <v>-4.2711156669984227</v>
      </c>
      <c r="V52" s="31">
        <f t="shared" si="6"/>
        <v>8.9700000000003595</v>
      </c>
      <c r="W52" s="31" t="e">
        <f t="shared" si="7"/>
        <v>#DIV/0!</v>
      </c>
      <c r="X52" s="31" t="e">
        <f t="shared" si="8"/>
        <v>#DIV/0!</v>
      </c>
      <c r="Y52" s="305">
        <f t="shared" si="9"/>
        <v>-1.4734831621987905</v>
      </c>
      <c r="Z52" s="31">
        <f t="shared" si="10"/>
        <v>-13.447115667000002</v>
      </c>
      <c r="AA52" s="31" t="str">
        <f t="shared" si="11"/>
        <v>OK</v>
      </c>
      <c r="AB52" s="31"/>
      <c r="AC52" s="31"/>
      <c r="AD52" s="35">
        <v>1.3256910839922127</v>
      </c>
      <c r="AE52" s="35">
        <v>1.8678714897980087</v>
      </c>
      <c r="AF52" s="37">
        <v>2.3979374056785354</v>
      </c>
      <c r="AG52" s="37">
        <v>0.66598408392245501</v>
      </c>
      <c r="AH52" s="37">
        <v>1.5722501824038698E-2</v>
      </c>
      <c r="AI52" s="32">
        <f t="shared" si="17"/>
        <v>137.39169288193</v>
      </c>
      <c r="AJ52" s="32">
        <f t="shared" si="17"/>
        <v>38.158077231643098</v>
      </c>
      <c r="AK52" s="249">
        <f t="shared" si="17"/>
        <v>0.90083299790415594</v>
      </c>
    </row>
    <row r="53" spans="1:37">
      <c r="A53" s="426" t="s">
        <v>99</v>
      </c>
      <c r="B53" s="35">
        <v>-5.1390000000000002</v>
      </c>
      <c r="C53" s="36">
        <v>1</v>
      </c>
      <c r="D53" s="35">
        <v>-11.814</v>
      </c>
      <c r="E53" s="36">
        <v>2</v>
      </c>
      <c r="F53" s="310" t="str">
        <f t="shared" si="14"/>
        <v>A</v>
      </c>
      <c r="G53" s="358">
        <v>1</v>
      </c>
      <c r="H53" s="358">
        <v>1</v>
      </c>
      <c r="I53" s="322">
        <v>2.5019999999999998</v>
      </c>
      <c r="J53" s="37">
        <v>-3.7632664370000004</v>
      </c>
      <c r="K53" s="37">
        <v>9.09</v>
      </c>
      <c r="L53" s="37">
        <f t="shared" si="16"/>
        <v>-8.31</v>
      </c>
      <c r="M53" s="37">
        <f t="shared" si="18"/>
        <v>-10.624390536905</v>
      </c>
      <c r="N53" s="37">
        <v>22.989699999999999</v>
      </c>
      <c r="O53" s="414">
        <v>79.903999999999996</v>
      </c>
      <c r="P53" s="37">
        <v>-8.31</v>
      </c>
      <c r="Q53" s="37">
        <f t="shared" si="2"/>
        <v>-10.624390536905</v>
      </c>
      <c r="R53" s="305">
        <v>-0.96099999999999997</v>
      </c>
      <c r="S53" s="30" t="e">
        <f t="shared" si="3"/>
        <v>#DIV/0!</v>
      </c>
      <c r="T53" s="30" t="e">
        <f t="shared" si="4"/>
        <v>#DIV/0!</v>
      </c>
      <c r="U53" s="31">
        <f t="shared" si="5"/>
        <v>-3.7632664370000009</v>
      </c>
      <c r="V53" s="31">
        <f t="shared" si="6"/>
        <v>9.0899999999999981</v>
      </c>
      <c r="W53" s="31" t="e">
        <f t="shared" si="7"/>
        <v>#DIV/0!</v>
      </c>
      <c r="X53" s="31" t="e">
        <f t="shared" si="8"/>
        <v>#DIV/0!</v>
      </c>
      <c r="Y53" s="305">
        <f t="shared" si="9"/>
        <v>-1.1556837498904771</v>
      </c>
      <c r="Z53" s="31">
        <f t="shared" si="10"/>
        <v>-12.406266437000001</v>
      </c>
      <c r="AA53" s="31" t="str">
        <f t="shared" si="11"/>
        <v>OK</v>
      </c>
      <c r="AB53" s="31"/>
      <c r="AC53" s="31"/>
      <c r="AD53" s="35">
        <v>1.4331692950515669</v>
      </c>
      <c r="AE53" s="35">
        <v>1.9634251401076861</v>
      </c>
      <c r="AF53" s="37">
        <v>2.2547203819833674</v>
      </c>
      <c r="AG53" s="37">
        <v>0.68945422043080473</v>
      </c>
      <c r="AH53" s="37">
        <v>0.23414124680595308</v>
      </c>
      <c r="AI53" s="38">
        <f t="shared" si="17"/>
        <v>129.18596186977177</v>
      </c>
      <c r="AJ53" s="38">
        <f t="shared" si="17"/>
        <v>39.502816998167447</v>
      </c>
      <c r="AK53" s="250">
        <f t="shared" si="17"/>
        <v>13.415305251912079</v>
      </c>
    </row>
    <row r="54" spans="1:37">
      <c r="A54" s="426" t="s">
        <v>576</v>
      </c>
      <c r="B54" s="35"/>
      <c r="C54" s="36"/>
      <c r="D54" s="35"/>
      <c r="E54" s="36"/>
      <c r="F54" s="310"/>
      <c r="G54" s="358">
        <v>1</v>
      </c>
      <c r="H54" s="358">
        <v>1</v>
      </c>
      <c r="I54" s="322">
        <v>1.9259999999999999</v>
      </c>
      <c r="J54" s="37">
        <v>-4.99</v>
      </c>
      <c r="K54" s="37">
        <v>8.1229999999999993</v>
      </c>
      <c r="L54" s="406">
        <v>-10.5</v>
      </c>
      <c r="M54" s="406">
        <v>-15</v>
      </c>
      <c r="N54" s="37">
        <v>22.99</v>
      </c>
      <c r="O54" s="414"/>
      <c r="P54" s="406">
        <v>-10.5</v>
      </c>
      <c r="Q54" s="37"/>
      <c r="R54" s="305"/>
      <c r="S54" s="30"/>
      <c r="T54" s="30"/>
      <c r="U54" s="31"/>
      <c r="V54" s="31"/>
      <c r="W54" s="31"/>
      <c r="X54" s="31"/>
      <c r="Y54" s="305"/>
      <c r="Z54" s="31"/>
      <c r="AA54" s="31"/>
      <c r="AB54" s="31"/>
      <c r="AC54" s="31"/>
      <c r="AD54" s="35"/>
      <c r="AE54" s="35"/>
      <c r="AF54" s="37"/>
      <c r="AG54" s="37"/>
      <c r="AH54" s="37"/>
      <c r="AI54" s="38"/>
      <c r="AJ54" s="38"/>
      <c r="AK54" s="250"/>
    </row>
    <row r="55" spans="1:37">
      <c r="A55" s="426" t="s">
        <v>10</v>
      </c>
      <c r="B55" s="27">
        <v>-5.3920000000000003</v>
      </c>
      <c r="C55" s="28">
        <v>1</v>
      </c>
      <c r="D55" s="27">
        <v>-13.598000000000001</v>
      </c>
      <c r="E55" s="28">
        <v>1</v>
      </c>
      <c r="F55" s="309" t="str">
        <f t="shared" si="14"/>
        <v>A</v>
      </c>
      <c r="G55" s="357">
        <v>1</v>
      </c>
      <c r="H55" s="357">
        <v>1</v>
      </c>
      <c r="I55" s="323">
        <v>1.5952999999999999</v>
      </c>
      <c r="J55" s="29">
        <v>-2.4671004665299998</v>
      </c>
      <c r="K55" s="29">
        <v>5.8819999999999997</v>
      </c>
      <c r="L55" s="29">
        <f>IF(F55="A",P55,Q55)</f>
        <v>-7.9</v>
      </c>
      <c r="M55" s="29">
        <f>IF(F55="A",Q55,P55)</f>
        <v>-11.09626176358945</v>
      </c>
      <c r="N55" s="37">
        <v>6.9409999999999998</v>
      </c>
      <c r="O55" s="414">
        <v>1.0079</v>
      </c>
      <c r="P55" s="29">
        <v>-7.9</v>
      </c>
      <c r="Q55" s="29">
        <f t="shared" si="2"/>
        <v>-11.09626176358945</v>
      </c>
      <c r="R55" s="305">
        <v>-1.0249999999999999</v>
      </c>
      <c r="S55" s="30" t="e">
        <f t="shared" si="3"/>
        <v>#DIV/0!</v>
      </c>
      <c r="T55" s="30" t="e">
        <f t="shared" si="4"/>
        <v>#DIV/0!</v>
      </c>
      <c r="U55" s="31">
        <f t="shared" si="5"/>
        <v>-2.4671004665300007</v>
      </c>
      <c r="V55" s="31">
        <f t="shared" si="6"/>
        <v>5.8819999999999988</v>
      </c>
      <c r="W55" s="31" t="e">
        <f>IF(F55="A",-14.3998434/AD55-14.3998434/AN55+14.3998434/$I55,-14.3998434/AE55-14.3998434/AM55+14.3998434/$I55)</f>
        <v>#DIV/0!</v>
      </c>
      <c r="X55" s="31" t="e">
        <f>IF(F55="A",-14.3998434/AE55-14.3998434/AM55+14.3998434/$I55,-14.3998434/AD55-14.3998434/AN55+14.3998434/$I55)</f>
        <v>#DIV/0!</v>
      </c>
      <c r="Y55" s="305">
        <f t="shared" si="9"/>
        <v>-1.8635916472059422</v>
      </c>
      <c r="Z55" s="31">
        <f>(G55*B55+G55*D55+J55-G55*P55)/G55</f>
        <v>-13.557100466530001</v>
      </c>
      <c r="AA55" s="31" t="str">
        <f>IF(OR(C55&lt;G55,E55&lt;G55),"RĘCZNIE","OK")</f>
        <v>OK</v>
      </c>
      <c r="AB55" s="31"/>
      <c r="AC55" s="31"/>
      <c r="AD55" s="35">
        <v>1.4108070994607158</v>
      </c>
      <c r="AE55" s="35">
        <v>1.2423117503128869</v>
      </c>
      <c r="AF55" s="37">
        <v>1.5834414386655975</v>
      </c>
      <c r="AG55" s="37">
        <v>1.2527474997702461</v>
      </c>
      <c r="AH55" s="37">
        <v>1.1488453474060283</v>
      </c>
      <c r="AI55" s="32">
        <f t="shared" si="17"/>
        <v>90.72451154166194</v>
      </c>
      <c r="AJ55" s="32">
        <f t="shared" si="17"/>
        <v>71.777144532401167</v>
      </c>
      <c r="AK55" s="249">
        <f t="shared" si="17"/>
        <v>65.82398971960626</v>
      </c>
    </row>
    <row r="56" spans="1:37">
      <c r="A56" s="426" t="s">
        <v>11</v>
      </c>
      <c r="B56" s="35">
        <v>-5.3920000000000003</v>
      </c>
      <c r="C56" s="36">
        <v>1</v>
      </c>
      <c r="D56" s="35">
        <v>-17.422000000000001</v>
      </c>
      <c r="E56" s="36">
        <v>2</v>
      </c>
      <c r="F56" s="310" t="str">
        <f t="shared" si="14"/>
        <v>A</v>
      </c>
      <c r="G56" s="358">
        <v>1</v>
      </c>
      <c r="H56" s="358">
        <v>1</v>
      </c>
      <c r="I56" s="322">
        <v>1.5639000000000001</v>
      </c>
      <c r="J56" s="37">
        <v>-5.9801837899999999</v>
      </c>
      <c r="K56" s="37">
        <v>6.28</v>
      </c>
      <c r="L56" s="37">
        <f>IF(F56="A",P56,Q56)</f>
        <v>-11.3</v>
      </c>
      <c r="M56" s="37">
        <f>IF(F56="A",Q56,P56)</f>
        <v>-14.799713841349998</v>
      </c>
      <c r="N56" s="37">
        <v>6.9409999999999998</v>
      </c>
      <c r="O56" s="414">
        <v>18.9984</v>
      </c>
      <c r="P56" s="37">
        <v>-11.3</v>
      </c>
      <c r="Q56" s="37">
        <f t="shared" si="2"/>
        <v>-14.799713841349998</v>
      </c>
      <c r="R56" s="305">
        <v>-2.4889999999999999</v>
      </c>
      <c r="S56" s="30" t="e">
        <f t="shared" si="3"/>
        <v>#DIV/0!</v>
      </c>
      <c r="T56" s="30" t="e">
        <f t="shared" si="4"/>
        <v>#DIV/0!</v>
      </c>
      <c r="U56" s="31">
        <f t="shared" si="5"/>
        <v>-5.9801837899999999</v>
      </c>
      <c r="V56" s="31">
        <f t="shared" si="6"/>
        <v>6.2800000000000011</v>
      </c>
      <c r="W56" s="31" t="e">
        <f>IF(F56="A",-14.3998434/AD56-14.3998434/AN56+14.3998434/$I56,-14.3998434/AE56-14.3998434/AM56+14.3998434/$I56)</f>
        <v>#DIV/0!</v>
      </c>
      <c r="X56" s="31" t="e">
        <f>IF(F56="A",-14.3998434/AE56-14.3998434/AM56+14.3998434/$I56,-14.3998434/AD56-14.3998434/AN56+14.3998434/$I56)</f>
        <v>#DIV/0!</v>
      </c>
      <c r="Y56" s="305">
        <f t="shared" si="9"/>
        <v>-4.7005126127930952</v>
      </c>
      <c r="Z56" s="31">
        <f>(G56*B56+G56*D56+J56-G56*P56)/G56</f>
        <v>-17.494183789999997</v>
      </c>
      <c r="AA56" s="31" t="str">
        <f>IF(OR(C56&lt;G56,E56&lt;G56),"RĘCZNIE","OK")</f>
        <v>OK</v>
      </c>
      <c r="AB56" s="31"/>
      <c r="AC56" s="31"/>
      <c r="AD56" s="35">
        <v>1.0189833632126082</v>
      </c>
      <c r="AE56" s="35">
        <v>1.1939117908024386</v>
      </c>
      <c r="AF56" s="37">
        <v>2.1026608236691153</v>
      </c>
      <c r="AG56" s="37">
        <v>0.86639329378119789</v>
      </c>
      <c r="AH56" s="37">
        <v>0.15490068174084595</v>
      </c>
      <c r="AI56" s="38">
        <f t="shared" si="17"/>
        <v>120.4735909437417</v>
      </c>
      <c r="AJ56" s="38">
        <f t="shared" si="17"/>
        <v>49.640679132100672</v>
      </c>
      <c r="AK56" s="250">
        <f t="shared" si="17"/>
        <v>8.8751553074496474</v>
      </c>
    </row>
    <row r="57" spans="1:37">
      <c r="A57" s="426" t="s">
        <v>577</v>
      </c>
      <c r="B57" s="35"/>
      <c r="C57" s="36"/>
      <c r="D57" s="35"/>
      <c r="E57" s="36"/>
      <c r="F57" s="310"/>
      <c r="G57" s="358">
        <v>1</v>
      </c>
      <c r="H57" s="358">
        <v>1</v>
      </c>
      <c r="I57" s="322">
        <v>2.0209999999999999</v>
      </c>
      <c r="J57" s="37">
        <v>-4.8600000000000003</v>
      </c>
      <c r="K57" s="37">
        <v>7.085</v>
      </c>
      <c r="L57" s="37">
        <v>-9.57</v>
      </c>
      <c r="M57" s="406">
        <v>-10</v>
      </c>
      <c r="N57" s="37"/>
      <c r="O57" s="414"/>
      <c r="P57" s="37">
        <v>-9.57</v>
      </c>
      <c r="Q57" s="37"/>
      <c r="R57" s="305"/>
      <c r="S57" s="30"/>
      <c r="T57" s="30"/>
      <c r="U57" s="31"/>
      <c r="V57" s="31"/>
      <c r="W57" s="31"/>
      <c r="X57" s="31"/>
      <c r="Y57" s="305"/>
      <c r="Z57" s="31"/>
      <c r="AA57" s="31"/>
      <c r="AB57" s="31"/>
      <c r="AC57" s="31"/>
      <c r="AD57" s="35"/>
      <c r="AE57" s="35"/>
      <c r="AF57" s="37"/>
      <c r="AG57" s="37"/>
      <c r="AH57" s="37"/>
      <c r="AI57" s="38"/>
      <c r="AJ57" s="38"/>
      <c r="AK57" s="250"/>
    </row>
    <row r="58" spans="1:37">
      <c r="A58" s="47" t="s">
        <v>100</v>
      </c>
      <c r="B58" s="27">
        <v>-4.3410000000000002</v>
      </c>
      <c r="C58" s="28">
        <v>1</v>
      </c>
      <c r="D58" s="27">
        <v>-12.967000000000001</v>
      </c>
      <c r="E58" s="28">
        <v>2</v>
      </c>
      <c r="F58" s="309" t="str">
        <f t="shared" si="14"/>
        <v>A</v>
      </c>
      <c r="G58" s="357">
        <v>1</v>
      </c>
      <c r="H58" s="357">
        <v>1</v>
      </c>
      <c r="I58" s="323">
        <v>2.6665999999999999</v>
      </c>
      <c r="J58" s="29">
        <v>-4.3735103999999998</v>
      </c>
      <c r="K58" s="319">
        <v>10.25</v>
      </c>
      <c r="L58" s="29">
        <v>-10.5</v>
      </c>
      <c r="M58" s="29">
        <f t="shared" ref="M58:M79" si="19">IF(F58="A",Q58,P58)</f>
        <v>-11.152853375999999</v>
      </c>
      <c r="N58" s="29">
        <v>39.098300000000002</v>
      </c>
      <c r="O58" s="414">
        <v>35.453000000000003</v>
      </c>
      <c r="P58" s="29">
        <v>-8.44</v>
      </c>
      <c r="Q58" s="37">
        <f t="shared" si="2"/>
        <v>-11.152853375999999</v>
      </c>
      <c r="R58" s="305">
        <v>-0.84799999999999998</v>
      </c>
      <c r="S58" s="30" t="e">
        <f t="shared" si="3"/>
        <v>#DIV/0!</v>
      </c>
      <c r="T58" s="30" t="e">
        <f t="shared" si="4"/>
        <v>#DIV/0!</v>
      </c>
      <c r="U58" s="31">
        <f t="shared" si="5"/>
        <v>-4.3733858757909152</v>
      </c>
      <c r="V58" s="31">
        <f t="shared" si="6"/>
        <v>9.8208002650018607</v>
      </c>
      <c r="W58" s="31" t="e">
        <f t="shared" ref="W58:W79" si="20">IF(F58="A",-14.3998434/AD58-14.3998434/AN58+14.3998434/$I58,-14.3998434/AE58-14.3998434/AM58+14.3998434/$I58)</f>
        <v>#DIV/0!</v>
      </c>
      <c r="X58" s="31" t="e">
        <f t="shared" ref="X58:X79" si="21">IF(F58="A",-14.3998434/AE58-14.3998434/AM58+14.3998434/$I58,-14.3998434/AD58-14.3998434/AN58+14.3998434/$I58)</f>
        <v>#DIV/0!</v>
      </c>
      <c r="Y58" s="305">
        <f t="shared" si="9"/>
        <v>-1.1823626403960239</v>
      </c>
      <c r="Z58" s="31">
        <f t="shared" ref="Z58:Z75" si="22">(G58*B58+G58*D58+J58-G58*P58)/G58</f>
        <v>-13.241510400000001</v>
      </c>
      <c r="AA58" s="31" t="str">
        <f t="shared" ref="AA58:AA79" si="23">IF(OR(C58&lt;G58,E58&lt;G58),"RĘCZNIE","OK")</f>
        <v>OK</v>
      </c>
      <c r="AB58" s="31"/>
      <c r="AC58" s="31"/>
      <c r="AD58" s="35">
        <v>1.4027357013998041</v>
      </c>
      <c r="AE58" s="35">
        <v>2.3036049180738685</v>
      </c>
      <c r="AF58" s="37">
        <v>2.8416015031279946</v>
      </c>
      <c r="AG58" s="37">
        <v>0.55158716062617863</v>
      </c>
      <c r="AH58" s="37">
        <v>8.6016566637301959E-15</v>
      </c>
      <c r="AI58" s="32">
        <f t="shared" si="17"/>
        <v>162.81177318726489</v>
      </c>
      <c r="AJ58" s="32">
        <f t="shared" si="17"/>
        <v>31.603616337484652</v>
      </c>
      <c r="AK58" s="249">
        <f t="shared" si="17"/>
        <v>4.9283862365232059E-13</v>
      </c>
    </row>
    <row r="59" spans="1:37">
      <c r="A59" s="47" t="s">
        <v>12</v>
      </c>
      <c r="B59" s="35">
        <v>-4.3410000000000002</v>
      </c>
      <c r="C59" s="36">
        <v>1</v>
      </c>
      <c r="D59" s="35">
        <v>-11.814</v>
      </c>
      <c r="E59" s="36">
        <v>2</v>
      </c>
      <c r="F59" s="310" t="str">
        <f t="shared" si="14"/>
        <v>A</v>
      </c>
      <c r="G59" s="358">
        <v>1</v>
      </c>
      <c r="H59" s="358">
        <v>1</v>
      </c>
      <c r="I59" s="322">
        <v>2.8207</v>
      </c>
      <c r="J59" s="37">
        <v>-3.9290947570000001</v>
      </c>
      <c r="K59" s="37">
        <v>10.6</v>
      </c>
      <c r="L59" s="37">
        <f t="shared" ref="L59:L65" si="24">IF(F59="A",P59,Q59)</f>
        <v>-7.85</v>
      </c>
      <c r="M59" s="37">
        <f t="shared" si="19"/>
        <v>-10.327013537705001</v>
      </c>
      <c r="N59" s="29">
        <v>39.098300000000002</v>
      </c>
      <c r="O59" s="414">
        <v>79.903999999999996</v>
      </c>
      <c r="P59" s="37">
        <v>-7.85</v>
      </c>
      <c r="Q59" s="37">
        <f t="shared" si="2"/>
        <v>-10.327013537705001</v>
      </c>
      <c r="R59" s="305">
        <v>-0.70299999999999996</v>
      </c>
      <c r="S59" s="30" t="e">
        <f t="shared" si="3"/>
        <v>#DIV/0!</v>
      </c>
      <c r="T59" s="30" t="e">
        <f t="shared" si="4"/>
        <v>#DIV/0!</v>
      </c>
      <c r="U59" s="31">
        <f t="shared" si="5"/>
        <v>-3.9290947570000001</v>
      </c>
      <c r="V59" s="31">
        <f t="shared" si="6"/>
        <v>10.600000000000003</v>
      </c>
      <c r="W59" s="31" t="e">
        <f t="shared" si="20"/>
        <v>#DIV/0!</v>
      </c>
      <c r="X59" s="31" t="e">
        <f t="shared" si="21"/>
        <v>#DIV/0!</v>
      </c>
      <c r="Y59" s="305">
        <f t="shared" si="9"/>
        <v>-0.94935218839957025</v>
      </c>
      <c r="Z59" s="31">
        <f t="shared" si="22"/>
        <v>-12.234094757000003</v>
      </c>
      <c r="AA59" s="31" t="str">
        <f t="shared" si="23"/>
        <v>OK</v>
      </c>
      <c r="AB59" s="31"/>
      <c r="AC59" s="31"/>
      <c r="AD59" s="35">
        <v>1.5088586089383338</v>
      </c>
      <c r="AE59" s="35">
        <v>2.343712288835893</v>
      </c>
      <c r="AF59" s="37">
        <v>2.6700968290489193</v>
      </c>
      <c r="AG59" s="37">
        <v>0.58190856910916844</v>
      </c>
      <c r="AH59" s="37">
        <v>0.22963976318342802</v>
      </c>
      <c r="AI59" s="38">
        <f t="shared" si="17"/>
        <v>152.98527919576713</v>
      </c>
      <c r="AJ59" s="38">
        <f t="shared" si="17"/>
        <v>33.340905072452145</v>
      </c>
      <c r="AK59" s="250">
        <f t="shared" si="17"/>
        <v>13.157389238794131</v>
      </c>
    </row>
    <row r="60" spans="1:37">
      <c r="A60" s="47" t="s">
        <v>101</v>
      </c>
      <c r="B60" s="27">
        <v>-4.3410000000000002</v>
      </c>
      <c r="C60" s="28">
        <v>1</v>
      </c>
      <c r="D60" s="27">
        <v>-17.422000000000001</v>
      </c>
      <c r="E60" s="28">
        <v>2</v>
      </c>
      <c r="F60" s="309" t="str">
        <f t="shared" si="14"/>
        <v>A</v>
      </c>
      <c r="G60" s="357">
        <v>1</v>
      </c>
      <c r="H60" s="357">
        <v>1</v>
      </c>
      <c r="I60" s="323">
        <v>2.1715</v>
      </c>
      <c r="J60" s="29">
        <v>-5.0702008840000001</v>
      </c>
      <c r="K60" s="29">
        <v>8.56</v>
      </c>
      <c r="L60" s="428">
        <v>-9.9</v>
      </c>
      <c r="M60" s="29">
        <f t="shared" si="19"/>
        <v>-14.50165849946</v>
      </c>
      <c r="N60" s="29">
        <v>39.098300000000002</v>
      </c>
      <c r="O60" s="414">
        <v>18.9984</v>
      </c>
      <c r="P60" s="29">
        <v>-5.07</v>
      </c>
      <c r="Q60" s="29">
        <f t="shared" si="2"/>
        <v>-14.50165849946</v>
      </c>
      <c r="R60" s="305">
        <v>-1.3819999999999999</v>
      </c>
      <c r="S60" s="30" t="e">
        <f t="shared" si="3"/>
        <v>#DIV/0!</v>
      </c>
      <c r="T60" s="30" t="e">
        <f t="shared" si="4"/>
        <v>#DIV/0!</v>
      </c>
      <c r="U60" s="31">
        <f t="shared" si="5"/>
        <v>-5.0702008839999984</v>
      </c>
      <c r="V60" s="31">
        <f t="shared" si="6"/>
        <v>8.5600000000000023</v>
      </c>
      <c r="W60" s="31" t="e">
        <f t="shared" si="20"/>
        <v>#DIV/0!</v>
      </c>
      <c r="X60" s="31" t="e">
        <f t="shared" si="21"/>
        <v>#DIV/0!</v>
      </c>
      <c r="Y60" s="305">
        <f t="shared" si="9"/>
        <v>-2.0670650760965925</v>
      </c>
      <c r="Z60" s="31">
        <f t="shared" si="22"/>
        <v>-21.763200884</v>
      </c>
      <c r="AA60" s="31" t="str">
        <f t="shared" si="23"/>
        <v>OK</v>
      </c>
      <c r="AB60" s="31"/>
      <c r="AC60" s="31"/>
      <c r="AD60" s="35">
        <v>1.902701527470414</v>
      </c>
      <c r="AE60" s="35">
        <v>1.5183846299791564</v>
      </c>
      <c r="AF60" s="37">
        <v>2.0489418058019591</v>
      </c>
      <c r="AG60" s="37">
        <v>0.58633264326391088</v>
      </c>
      <c r="AH60" s="37">
        <v>0.20083139550419912</v>
      </c>
      <c r="AI60" s="32">
        <f t="shared" si="17"/>
        <v>117.39571794036578</v>
      </c>
      <c r="AJ60" s="32">
        <f t="shared" si="17"/>
        <v>33.59438584977179</v>
      </c>
      <c r="AK60" s="249">
        <f t="shared" si="17"/>
        <v>11.506791356113226</v>
      </c>
    </row>
    <row r="61" spans="1:37">
      <c r="A61" s="47" t="s">
        <v>102</v>
      </c>
      <c r="B61" s="35">
        <v>-4.3410000000000002</v>
      </c>
      <c r="C61" s="36">
        <v>1</v>
      </c>
      <c r="D61" s="35">
        <v>-10.451000000000001</v>
      </c>
      <c r="E61" s="36">
        <v>2</v>
      </c>
      <c r="F61" s="310" t="str">
        <f t="shared" si="14"/>
        <v>A</v>
      </c>
      <c r="G61" s="358">
        <v>1</v>
      </c>
      <c r="H61" s="358">
        <v>1</v>
      </c>
      <c r="I61" s="322">
        <v>3.0478000000000001</v>
      </c>
      <c r="J61" s="37">
        <v>-3.3424770750000001</v>
      </c>
      <c r="K61" s="37">
        <v>11.05</v>
      </c>
      <c r="L61" s="37">
        <f t="shared" si="24"/>
        <v>-7.21</v>
      </c>
      <c r="M61" s="37">
        <f t="shared" si="19"/>
        <v>-9.3086795473750001</v>
      </c>
      <c r="N61" s="29">
        <v>39.098300000000002</v>
      </c>
      <c r="O61" s="414">
        <v>126.9045</v>
      </c>
      <c r="P61" s="37">
        <v>-7.21</v>
      </c>
      <c r="Q61" s="37">
        <f t="shared" si="2"/>
        <v>-9.3086795473750001</v>
      </c>
      <c r="R61" s="305">
        <v>-0.61399999999999999</v>
      </c>
      <c r="S61" s="30" t="e">
        <f t="shared" si="3"/>
        <v>#DIV/0!</v>
      </c>
      <c r="T61" s="30" t="e">
        <f t="shared" si="4"/>
        <v>#DIV/0!</v>
      </c>
      <c r="U61" s="31">
        <f t="shared" si="5"/>
        <v>-3.3424770750000006</v>
      </c>
      <c r="V61" s="31">
        <f t="shared" si="6"/>
        <v>11.05</v>
      </c>
      <c r="W61" s="31" t="e">
        <f t="shared" si="20"/>
        <v>#DIV/0!</v>
      </c>
      <c r="X61" s="31" t="e">
        <f t="shared" si="21"/>
        <v>#DIV/0!</v>
      </c>
      <c r="Y61" s="305">
        <f t="shared" si="9"/>
        <v>-0.69174202038884369</v>
      </c>
      <c r="Z61" s="31">
        <f t="shared" si="22"/>
        <v>-10.924477075000002</v>
      </c>
      <c r="AA61" s="31" t="str">
        <f t="shared" si="23"/>
        <v>OK</v>
      </c>
      <c r="AB61" s="31"/>
      <c r="AC61" s="31"/>
      <c r="AD61" s="35">
        <v>1.6561774916216307</v>
      </c>
      <c r="AE61" s="35">
        <v>2.4648952844403058</v>
      </c>
      <c r="AF61" s="37">
        <v>2.4414000104377767</v>
      </c>
      <c r="AG61" s="37">
        <v>0.61471698597237112</v>
      </c>
      <c r="AH61" s="37">
        <v>0.24725869713967299</v>
      </c>
      <c r="AI61" s="38">
        <f t="shared" ref="AI61:AK79" si="25">DEGREES(AF61)</f>
        <v>139.88191670127972</v>
      </c>
      <c r="AJ61" s="38">
        <f t="shared" si="25"/>
        <v>35.220688891219496</v>
      </c>
      <c r="AK61" s="250">
        <f t="shared" si="25"/>
        <v>14.166879794006702</v>
      </c>
    </row>
    <row r="62" spans="1:37">
      <c r="A62" s="401" t="s">
        <v>103</v>
      </c>
      <c r="B62" s="27">
        <v>-6.1079999999999997</v>
      </c>
      <c r="C62" s="28">
        <v>1</v>
      </c>
      <c r="D62" s="27">
        <v>-12.967000000000001</v>
      </c>
      <c r="E62" s="28">
        <v>2</v>
      </c>
      <c r="F62" s="309" t="str">
        <f t="shared" si="14"/>
        <v>A</v>
      </c>
      <c r="G62" s="357">
        <v>1</v>
      </c>
      <c r="H62" s="357">
        <v>1</v>
      </c>
      <c r="I62" s="323">
        <v>2.4849999999999999</v>
      </c>
      <c r="J62" s="29">
        <v>-3.863799856</v>
      </c>
      <c r="K62" s="29">
        <v>4.5430000000000001</v>
      </c>
      <c r="L62" s="29">
        <f t="shared" si="24"/>
        <v>-9.6999999999999993</v>
      </c>
      <c r="M62" s="29">
        <f t="shared" si="19"/>
        <v>-11.699421918639999</v>
      </c>
      <c r="N62" s="413">
        <v>204.38329999999999</v>
      </c>
      <c r="O62" s="414">
        <v>35.453000000000003</v>
      </c>
      <c r="P62" s="29">
        <v>-9.6999999999999993</v>
      </c>
      <c r="Q62" s="29">
        <f t="shared" si="2"/>
        <v>-11.699421918639999</v>
      </c>
      <c r="R62" s="305">
        <v>-1.4330000000000001</v>
      </c>
      <c r="S62" s="30" t="e">
        <f t="shared" si="3"/>
        <v>#DIV/0!</v>
      </c>
      <c r="T62" s="30" t="e">
        <f t="shared" si="4"/>
        <v>#DIV/0!</v>
      </c>
      <c r="U62" s="31">
        <f t="shared" si="5"/>
        <v>-3.863799856</v>
      </c>
      <c r="V62" s="31">
        <f t="shared" si="6"/>
        <v>4.543000000000001</v>
      </c>
      <c r="W62" s="31" t="e">
        <f t="shared" si="20"/>
        <v>#DIV/0!</v>
      </c>
      <c r="X62" s="31" t="e">
        <f t="shared" si="21"/>
        <v>#DIV/0!</v>
      </c>
      <c r="Y62" s="305">
        <f t="shared" si="9"/>
        <v>-1.2028472677384927</v>
      </c>
      <c r="Z62" s="31">
        <f t="shared" si="22"/>
        <v>-13.238799856</v>
      </c>
      <c r="AA62" s="31" t="str">
        <f t="shared" si="23"/>
        <v>OK</v>
      </c>
      <c r="AB62" s="31"/>
      <c r="AC62" s="31"/>
      <c r="AD62" s="35">
        <v>1.290137964793366</v>
      </c>
      <c r="AE62" s="35">
        <v>2.4881198934731641</v>
      </c>
      <c r="AF62" s="37">
        <v>2.0939364668780351</v>
      </c>
      <c r="AG62" s="37">
        <v>0.49986695325789149</v>
      </c>
      <c r="AH62" s="37">
        <v>0.21367239570214266</v>
      </c>
      <c r="AI62" s="32">
        <f t="shared" si="25"/>
        <v>119.97372212064651</v>
      </c>
      <c r="AJ62" s="32">
        <f t="shared" si="25"/>
        <v>28.64026673974038</v>
      </c>
      <c r="AK62" s="249">
        <f t="shared" si="25"/>
        <v>12.242526472182044</v>
      </c>
    </row>
    <row r="63" spans="1:37">
      <c r="A63" s="403" t="s">
        <v>104</v>
      </c>
      <c r="B63" s="27">
        <v>-3.8938999999999999</v>
      </c>
      <c r="C63" s="28">
        <v>1</v>
      </c>
      <c r="D63" s="27">
        <v>-17.422000000000001</v>
      </c>
      <c r="E63" s="28">
        <v>2</v>
      </c>
      <c r="F63" s="309" t="str">
        <f t="shared" si="14"/>
        <v>A</v>
      </c>
      <c r="G63" s="357">
        <v>1</v>
      </c>
      <c r="H63" s="357">
        <v>1</v>
      </c>
      <c r="I63" s="323">
        <v>2.345351</v>
      </c>
      <c r="J63" s="29">
        <v>-5.293336</v>
      </c>
      <c r="K63" s="29">
        <v>7.85</v>
      </c>
      <c r="L63" s="29">
        <f t="shared" si="24"/>
        <v>-8.8000000000000007</v>
      </c>
      <c r="M63" s="29">
        <f t="shared" si="19"/>
        <v>-13.890218339999999</v>
      </c>
      <c r="N63" s="37">
        <v>132.90549999999999</v>
      </c>
      <c r="O63" s="414">
        <v>18.9984</v>
      </c>
      <c r="P63" s="29">
        <v>-8.8000000000000007</v>
      </c>
      <c r="Q63" s="29">
        <f t="shared" si="2"/>
        <v>-13.890218339999999</v>
      </c>
      <c r="R63" s="305">
        <v>-1.2190000000000001</v>
      </c>
      <c r="S63" s="30" t="e">
        <f t="shared" si="3"/>
        <v>#DIV/0!</v>
      </c>
      <c r="T63" s="30" t="e">
        <f t="shared" si="4"/>
        <v>#DIV/0!</v>
      </c>
      <c r="U63" s="31">
        <f t="shared" si="5"/>
        <v>-5.293336</v>
      </c>
      <c r="V63" s="31">
        <f t="shared" si="6"/>
        <v>7.85</v>
      </c>
      <c r="W63" s="31" t="e">
        <f t="shared" si="20"/>
        <v>#DIV/0!</v>
      </c>
      <c r="X63" s="31" t="e">
        <f t="shared" si="21"/>
        <v>#DIV/0!</v>
      </c>
      <c r="Y63" s="305">
        <f t="shared" si="9"/>
        <v>-1.8499603377935105</v>
      </c>
      <c r="Z63" s="31">
        <f t="shared" si="22"/>
        <v>-17.809235999999999</v>
      </c>
      <c r="AA63" s="31" t="str">
        <f t="shared" si="23"/>
        <v>OK</v>
      </c>
      <c r="AB63" s="31"/>
      <c r="AC63" s="31"/>
      <c r="AD63" s="35">
        <v>1.3258680538066689</v>
      </c>
      <c r="AE63" s="35">
        <v>2.0629000166236553</v>
      </c>
      <c r="AF63" s="37">
        <v>2.5620393268315658</v>
      </c>
      <c r="AG63" s="37">
        <v>0.48984041272014944</v>
      </c>
      <c r="AH63" s="37">
        <v>5.7433981319850363E-2</v>
      </c>
      <c r="AI63" s="32">
        <f t="shared" si="25"/>
        <v>146.79404037398726</v>
      </c>
      <c r="AJ63" s="32">
        <f t="shared" si="25"/>
        <v>28.065788283810928</v>
      </c>
      <c r="AK63" s="249">
        <f t="shared" si="25"/>
        <v>3.2907247302606355</v>
      </c>
    </row>
    <row r="64" spans="1:37">
      <c r="A64" s="47" t="s">
        <v>105</v>
      </c>
      <c r="B64" s="27">
        <v>-13.598000000000001</v>
      </c>
      <c r="C64" s="28">
        <v>1</v>
      </c>
      <c r="D64" s="27">
        <v>-8.2980300000000007</v>
      </c>
      <c r="E64" s="28">
        <v>1</v>
      </c>
      <c r="F64" s="309" t="str">
        <f t="shared" si="14"/>
        <v>B</v>
      </c>
      <c r="G64" s="357">
        <v>1</v>
      </c>
      <c r="H64" s="357">
        <v>1</v>
      </c>
      <c r="I64" s="323">
        <v>1.232</v>
      </c>
      <c r="J64" s="29">
        <v>-3.5777460039999998</v>
      </c>
      <c r="K64" s="29">
        <v>1.27</v>
      </c>
      <c r="L64" s="29">
        <f t="shared" si="24"/>
        <v>-13.12258344226</v>
      </c>
      <c r="M64" s="29">
        <f t="shared" si="19"/>
        <v>-9.77</v>
      </c>
      <c r="N64" s="414">
        <v>1.0079</v>
      </c>
      <c r="O64" s="413">
        <v>10.811</v>
      </c>
      <c r="P64" s="29">
        <v>-9.77</v>
      </c>
      <c r="Q64" s="29">
        <f t="shared" si="2"/>
        <v>-13.12258344226</v>
      </c>
      <c r="R64" s="305"/>
      <c r="S64" s="30" t="e">
        <f t="shared" si="3"/>
        <v>#DIV/0!</v>
      </c>
      <c r="T64" s="30" t="e">
        <f t="shared" si="4"/>
        <v>#DIV/0!</v>
      </c>
      <c r="U64" s="31">
        <f t="shared" si="5"/>
        <v>-3.5777460039999993</v>
      </c>
      <c r="V64" s="31">
        <f t="shared" si="6"/>
        <v>1.27</v>
      </c>
      <c r="W64" s="31" t="e">
        <f t="shared" si="20"/>
        <v>#DIV/0!</v>
      </c>
      <c r="X64" s="31" t="e">
        <f t="shared" si="21"/>
        <v>#DIV/0!</v>
      </c>
      <c r="Y64" s="305">
        <f t="shared" si="9"/>
        <v>-4.5314452788712245</v>
      </c>
      <c r="Z64" s="31">
        <f t="shared" si="22"/>
        <v>-15.703776004000002</v>
      </c>
      <c r="AA64" s="31" t="str">
        <f t="shared" si="23"/>
        <v>OK</v>
      </c>
      <c r="AB64" s="31"/>
      <c r="AC64" s="31"/>
      <c r="AD64" s="35">
        <v>1.095916960601224</v>
      </c>
      <c r="AE64" s="35">
        <v>1.283532507624336</v>
      </c>
      <c r="AF64" s="37">
        <v>1.1117011349882882</v>
      </c>
      <c r="AG64" s="37">
        <v>1.1858820472387641</v>
      </c>
      <c r="AH64" s="37">
        <v>0.64673913178266929</v>
      </c>
      <c r="AI64" s="32">
        <f t="shared" si="25"/>
        <v>63.695783114732329</v>
      </c>
      <c r="AJ64" s="32">
        <f t="shared" si="25"/>
        <v>67.946036307114909</v>
      </c>
      <c r="AK64" s="249">
        <f t="shared" si="25"/>
        <v>37.055422697102109</v>
      </c>
    </row>
    <row r="65" spans="1:37">
      <c r="A65" s="47" t="s">
        <v>106</v>
      </c>
      <c r="B65" s="35">
        <v>-13.598000000000001</v>
      </c>
      <c r="C65" s="36">
        <v>1</v>
      </c>
      <c r="D65" s="35">
        <v>-10.36</v>
      </c>
      <c r="E65" s="36">
        <v>1</v>
      </c>
      <c r="F65" s="310" t="str">
        <f t="shared" si="14"/>
        <v>B</v>
      </c>
      <c r="G65" s="358">
        <v>1</v>
      </c>
      <c r="H65" s="358">
        <v>1</v>
      </c>
      <c r="I65" s="322">
        <v>1.341</v>
      </c>
      <c r="J65" s="37">
        <v>-3.6644949438999999</v>
      </c>
      <c r="K65" s="37">
        <v>0.65</v>
      </c>
      <c r="L65" s="37">
        <f t="shared" si="24"/>
        <v>-14.251849643303498</v>
      </c>
      <c r="M65" s="37">
        <f t="shared" si="19"/>
        <v>-10.422000000000001</v>
      </c>
      <c r="N65" s="414">
        <v>1.0079</v>
      </c>
      <c r="O65" s="413">
        <v>32.064999999999998</v>
      </c>
      <c r="P65" s="37">
        <v>-10.422000000000001</v>
      </c>
      <c r="Q65" s="37">
        <f t="shared" si="2"/>
        <v>-14.251849643303498</v>
      </c>
      <c r="R65" s="305"/>
      <c r="S65" s="30" t="e">
        <f t="shared" si="3"/>
        <v>#DIV/0!</v>
      </c>
      <c r="T65" s="30" t="e">
        <f t="shared" si="4"/>
        <v>#DIV/0!</v>
      </c>
      <c r="U65" s="31">
        <f t="shared" si="5"/>
        <v>-3.6644949439000007</v>
      </c>
      <c r="V65" s="31">
        <f t="shared" si="6"/>
        <v>0.65000000000000058</v>
      </c>
      <c r="W65" s="31" t="e">
        <f t="shared" si="20"/>
        <v>#DIV/0!</v>
      </c>
      <c r="X65" s="31" t="e">
        <f t="shared" si="21"/>
        <v>#DIV/0!</v>
      </c>
      <c r="Y65" s="305">
        <f t="shared" si="9"/>
        <v>-3.9174658686186143</v>
      </c>
      <c r="Z65" s="31">
        <f t="shared" si="22"/>
        <v>-17.200494943899997</v>
      </c>
      <c r="AA65" s="31" t="str">
        <f t="shared" si="23"/>
        <v>OK</v>
      </c>
      <c r="AB65" s="31"/>
      <c r="AC65" s="31"/>
      <c r="AD65" s="35">
        <v>1.3483998880231058</v>
      </c>
      <c r="AE65" s="35">
        <v>1.1828468064385866</v>
      </c>
      <c r="AF65" s="37">
        <v>0.76692893804970708</v>
      </c>
      <c r="AG65" s="37">
        <v>1.3710001358111057</v>
      </c>
      <c r="AH65" s="37">
        <v>0.16772329827660001</v>
      </c>
      <c r="AI65" s="38">
        <f t="shared" si="25"/>
        <v>43.941791336698387</v>
      </c>
      <c r="AJ65" s="38">
        <f t="shared" si="25"/>
        <v>78.552521493839038</v>
      </c>
      <c r="AK65" s="250">
        <f t="shared" si="25"/>
        <v>9.6098371172630142</v>
      </c>
    </row>
    <row r="66" spans="1:37">
      <c r="A66" s="536" t="s">
        <v>107</v>
      </c>
      <c r="B66" s="27">
        <v>-14.534000000000001</v>
      </c>
      <c r="C66" s="28">
        <v>3</v>
      </c>
      <c r="D66" s="27">
        <v>-13.618</v>
      </c>
      <c r="E66" s="28">
        <v>4</v>
      </c>
      <c r="F66" s="309" t="str">
        <f t="shared" si="14"/>
        <v>B</v>
      </c>
      <c r="G66" s="357">
        <v>2</v>
      </c>
      <c r="H66" s="357">
        <v>2</v>
      </c>
      <c r="I66" s="323">
        <v>1.151</v>
      </c>
      <c r="J66" s="29">
        <v>-8</v>
      </c>
      <c r="K66" s="29">
        <v>0.153</v>
      </c>
      <c r="L66" s="317">
        <v>-10</v>
      </c>
      <c r="M66" s="29">
        <f t="shared" si="19"/>
        <v>-9.2639999999999993</v>
      </c>
      <c r="N66" s="414">
        <v>14.0067</v>
      </c>
      <c r="O66" s="414">
        <v>15.9994</v>
      </c>
      <c r="P66" s="29">
        <v>-9.2639999999999993</v>
      </c>
      <c r="Q66" s="317">
        <f t="shared" si="2"/>
        <v>-14</v>
      </c>
      <c r="R66" s="305">
        <v>-1.1499999999999999</v>
      </c>
      <c r="S66" s="30" t="e">
        <f t="shared" si="3"/>
        <v>#DIV/0!</v>
      </c>
      <c r="T66" s="30" t="e">
        <f t="shared" si="4"/>
        <v>#DIV/0!</v>
      </c>
      <c r="U66" s="31">
        <f t="shared" si="5"/>
        <v>-7.03</v>
      </c>
      <c r="V66" s="31">
        <f t="shared" si="6"/>
        <v>0.153</v>
      </c>
      <c r="W66" s="31" t="e">
        <f t="shared" si="20"/>
        <v>#DIV/0!</v>
      </c>
      <c r="X66" s="31" t="e">
        <f t="shared" si="21"/>
        <v>#DIV/0!</v>
      </c>
      <c r="Y66" s="305">
        <f t="shared" si="9"/>
        <v>-10.201248522637476</v>
      </c>
      <c r="Z66" s="31">
        <f t="shared" si="22"/>
        <v>-22.888000000000002</v>
      </c>
      <c r="AA66" s="31" t="str">
        <f t="shared" si="23"/>
        <v>OK</v>
      </c>
      <c r="AB66" s="31" t="s">
        <v>35</v>
      </c>
      <c r="AC66" s="31">
        <v>-14</v>
      </c>
      <c r="AD66" s="35">
        <v>1.1123722324982235</v>
      </c>
      <c r="AE66" s="35">
        <v>1.2887916293235002</v>
      </c>
      <c r="AF66" s="37">
        <v>0.97574629150499304</v>
      </c>
      <c r="AG66" s="37">
        <v>1.1760763574495441</v>
      </c>
      <c r="AH66" s="37">
        <v>0.4426871796464536</v>
      </c>
      <c r="AI66" s="32">
        <f t="shared" si="25"/>
        <v>55.906144378777832</v>
      </c>
      <c r="AJ66" s="32">
        <f t="shared" si="25"/>
        <v>67.384211666978075</v>
      </c>
      <c r="AK66" s="249">
        <f t="shared" si="25"/>
        <v>25.364107038291468</v>
      </c>
    </row>
    <row r="67" spans="1:37">
      <c r="A67" s="536"/>
      <c r="B67" s="35">
        <v>-14.534000000000001</v>
      </c>
      <c r="C67" s="36">
        <v>3</v>
      </c>
      <c r="D67" s="35">
        <v>-13.618</v>
      </c>
      <c r="E67" s="36">
        <v>4</v>
      </c>
      <c r="F67" s="310" t="str">
        <f t="shared" si="14"/>
        <v>B</v>
      </c>
      <c r="G67" s="358">
        <v>2</v>
      </c>
      <c r="H67" s="358">
        <v>2</v>
      </c>
      <c r="I67" s="322">
        <v>1.151</v>
      </c>
      <c r="J67" s="37">
        <v>-6.5462802173999997</v>
      </c>
      <c r="K67" s="37">
        <v>0.153</v>
      </c>
      <c r="L67" s="318">
        <v>-10</v>
      </c>
      <c r="M67" s="37">
        <f t="shared" si="19"/>
        <v>-9.2639999999999993</v>
      </c>
      <c r="N67" s="414">
        <v>14.0067</v>
      </c>
      <c r="O67" s="414">
        <v>15.9994</v>
      </c>
      <c r="P67" s="37">
        <v>-9.2639999999999993</v>
      </c>
      <c r="Q67" s="318">
        <f t="shared" ref="Q67:Q82" si="26">IF(AC67&lt;&gt;0,AC67,0.565*(Z67-P67)+P67)</f>
        <v>-14</v>
      </c>
      <c r="R67" s="305">
        <v>-1.1499999999999999</v>
      </c>
      <c r="S67" s="30" t="e">
        <f t="shared" ref="S67:S79" si="27">SUMXMY2(P67:Q67,W67:X67)+SUMXMY2(J67:K67,U67:V67)</f>
        <v>#DIV/0!</v>
      </c>
      <c r="T67" s="30" t="e">
        <f t="shared" ref="T67:T79" si="28">AND(ABS(U67-$J67)&lt;0.0001,ABS(V67-K67)&lt;0.0001,ABS(W67-$P67)&lt;0.0001,IF(AC67&lt;0,TRUE,W67+0.0001&gt;=X67),Q67-0.0001&lt;=W67)</f>
        <v>#DIV/0!</v>
      </c>
      <c r="U67" s="31">
        <f t="shared" ref="U67:U79" si="29">-(14.3998434*AD67*AE67/(I67^3)*(SIN(AF67)*SIN(AG67)*COS(AH67)-2*COS(AF67)*COS(AG67)))*G67</f>
        <v>-6.5462802173999934</v>
      </c>
      <c r="V67" s="31">
        <f t="shared" ref="V67:V79" si="30">4.803*(I67-AD67*COS(AF67)-AE67*COS(AG67))</f>
        <v>0.15299999999999944</v>
      </c>
      <c r="W67" s="31" t="e">
        <f t="shared" si="20"/>
        <v>#DIV/0!</v>
      </c>
      <c r="X67" s="31" t="e">
        <f t="shared" si="21"/>
        <v>#DIV/0!</v>
      </c>
      <c r="Y67" s="305">
        <f t="shared" ref="Y67:Y79" si="31">-2*G67*6*4.803^2*AD67*AE67/I67^5*(SIN(AF67)*SIN(AG67)*COS(AH67)-2*COS(AF67)*COS(AG67))/10</f>
        <v>-9.4993216780259768</v>
      </c>
      <c r="Z67" s="31">
        <f t="shared" si="22"/>
        <v>-22.1611401087</v>
      </c>
      <c r="AA67" s="31" t="str">
        <f t="shared" si="23"/>
        <v>OK</v>
      </c>
      <c r="AB67" s="31" t="s">
        <v>35</v>
      </c>
      <c r="AC67" s="31">
        <v>-14</v>
      </c>
      <c r="AD67" s="35">
        <v>1.106008769797854</v>
      </c>
      <c r="AE67" s="35">
        <v>1.2935648576380105</v>
      </c>
      <c r="AF67" s="37">
        <v>0.9844386839282373</v>
      </c>
      <c r="AG67" s="37">
        <v>1.1679255121105214</v>
      </c>
      <c r="AH67" s="37">
        <v>0.48991034831120961</v>
      </c>
      <c r="AI67" s="38">
        <f t="shared" si="25"/>
        <v>56.404181778501226</v>
      </c>
      <c r="AJ67" s="38">
        <f t="shared" si="25"/>
        <v>66.917202629588189</v>
      </c>
      <c r="AK67" s="250">
        <f t="shared" si="25"/>
        <v>28.06979529801643</v>
      </c>
    </row>
    <row r="68" spans="1:37">
      <c r="A68" s="536" t="s">
        <v>108</v>
      </c>
      <c r="B68" s="27">
        <v>-11.26</v>
      </c>
      <c r="C68" s="28">
        <v>2</v>
      </c>
      <c r="D68" s="27">
        <v>-13.618</v>
      </c>
      <c r="E68" s="28">
        <v>4</v>
      </c>
      <c r="F68" s="309" t="str">
        <f t="shared" si="14"/>
        <v>A</v>
      </c>
      <c r="G68" s="357">
        <v>2</v>
      </c>
      <c r="H68" s="357">
        <v>4</v>
      </c>
      <c r="I68" s="323">
        <v>1.1279999999999999</v>
      </c>
      <c r="J68" s="29">
        <v>-7.7618869999999998</v>
      </c>
      <c r="K68" s="29">
        <v>0.112</v>
      </c>
      <c r="L68" s="29">
        <f>-14.014</f>
        <v>-14.013999999999999</v>
      </c>
      <c r="M68" s="317">
        <f t="shared" si="19"/>
        <v>-17.2</v>
      </c>
      <c r="N68" s="37">
        <v>12.0107</v>
      </c>
      <c r="O68" s="414">
        <v>15.9994</v>
      </c>
      <c r="P68" s="29">
        <v>-14.013</v>
      </c>
      <c r="Q68" s="317">
        <f t="shared" si="26"/>
        <v>-17.2</v>
      </c>
      <c r="R68" s="305">
        <v>-1.1299999999999999</v>
      </c>
      <c r="S68" s="30" t="e">
        <f t="shared" si="27"/>
        <v>#DIV/0!</v>
      </c>
      <c r="T68" s="30" t="e">
        <f t="shared" si="28"/>
        <v>#DIV/0!</v>
      </c>
      <c r="U68" s="31">
        <f t="shared" si="29"/>
        <v>-7.7618869999999962</v>
      </c>
      <c r="V68" s="31">
        <f t="shared" si="30"/>
        <v>0.11199999999999935</v>
      </c>
      <c r="W68" s="31" t="e">
        <f t="shared" si="20"/>
        <v>#DIV/0!</v>
      </c>
      <c r="X68" s="31" t="e">
        <f t="shared" si="21"/>
        <v>#DIV/0!</v>
      </c>
      <c r="Y68" s="305">
        <f t="shared" si="31"/>
        <v>-11.727292753468353</v>
      </c>
      <c r="Z68" s="31">
        <f t="shared" si="22"/>
        <v>-14.745943500000001</v>
      </c>
      <c r="AA68" s="31" t="str">
        <f t="shared" si="23"/>
        <v>OK</v>
      </c>
      <c r="AB68" s="31" t="s">
        <v>35</v>
      </c>
      <c r="AC68" s="31">
        <v>-17.2</v>
      </c>
      <c r="AD68" s="35">
        <v>0.90609023906193475</v>
      </c>
      <c r="AE68" s="35">
        <v>1.2251963691597445</v>
      </c>
      <c r="AF68" s="37">
        <v>1.401808089918595</v>
      </c>
      <c r="AG68" s="37">
        <v>0.68050464097753671</v>
      </c>
      <c r="AH68" s="37">
        <v>0.18281953116422431</v>
      </c>
      <c r="AI68" s="32">
        <f t="shared" si="25"/>
        <v>80.317687239630899</v>
      </c>
      <c r="AJ68" s="32">
        <f t="shared" si="25"/>
        <v>38.990043867078192</v>
      </c>
      <c r="AK68" s="249">
        <f t="shared" si="25"/>
        <v>10.474787548270479</v>
      </c>
    </row>
    <row r="69" spans="1:37">
      <c r="A69" s="536"/>
      <c r="B69" s="35">
        <v>-11.26</v>
      </c>
      <c r="C69" s="36">
        <v>2</v>
      </c>
      <c r="D69" s="35">
        <v>-13.618</v>
      </c>
      <c r="E69" s="36">
        <v>4</v>
      </c>
      <c r="F69" s="310" t="str">
        <f t="shared" ref="F69:F85" si="32">IF(B69&gt;=D69,"A","B")</f>
        <v>A</v>
      </c>
      <c r="G69" s="358">
        <v>2</v>
      </c>
      <c r="H69" s="358">
        <v>4</v>
      </c>
      <c r="I69" s="322">
        <v>1.1279999999999999</v>
      </c>
      <c r="J69" s="37">
        <v>-11.155892942600001</v>
      </c>
      <c r="K69" s="37">
        <v>0.112</v>
      </c>
      <c r="L69" s="37">
        <f t="shared" ref="L69:L79" si="33">IF(F69="A",P69,Q69)</f>
        <v>-14.013</v>
      </c>
      <c r="M69" s="318">
        <f t="shared" si="19"/>
        <v>-17.2</v>
      </c>
      <c r="N69" s="37">
        <v>12.0107</v>
      </c>
      <c r="O69" s="414">
        <v>15.9994</v>
      </c>
      <c r="P69" s="37">
        <v>-14.013</v>
      </c>
      <c r="Q69" s="318">
        <f t="shared" si="26"/>
        <v>-17.2</v>
      </c>
      <c r="R69" s="305">
        <v>-1.1299999999999999</v>
      </c>
      <c r="S69" s="30" t="e">
        <f t="shared" si="27"/>
        <v>#DIV/0!</v>
      </c>
      <c r="T69" s="30" t="e">
        <f t="shared" si="28"/>
        <v>#DIV/0!</v>
      </c>
      <c r="U69" s="31">
        <f t="shared" si="29"/>
        <v>-7.4372619617333307</v>
      </c>
      <c r="V69" s="31">
        <f t="shared" si="30"/>
        <v>0.11200000000000042</v>
      </c>
      <c r="W69" s="31" t="e">
        <f t="shared" si="20"/>
        <v>#DIV/0!</v>
      </c>
      <c r="X69" s="31" t="e">
        <f t="shared" si="21"/>
        <v>#DIV/0!</v>
      </c>
      <c r="Y69" s="305">
        <f t="shared" si="31"/>
        <v>-11.236822735177821</v>
      </c>
      <c r="Z69" s="31">
        <f t="shared" si="22"/>
        <v>-16.442946471300004</v>
      </c>
      <c r="AA69" s="31" t="str">
        <f t="shared" si="23"/>
        <v>OK</v>
      </c>
      <c r="AB69" s="31" t="s">
        <v>35</v>
      </c>
      <c r="AC69" s="31">
        <v>-17.2</v>
      </c>
      <c r="AD69" s="35">
        <v>0.91220418647827473</v>
      </c>
      <c r="AE69" s="35">
        <v>1.2107731047232415</v>
      </c>
      <c r="AF69" s="37">
        <v>1.3807999819372843</v>
      </c>
      <c r="AG69" s="37">
        <v>0.6918110253236055</v>
      </c>
      <c r="AH69" s="37">
        <v>0</v>
      </c>
      <c r="AI69" s="38">
        <f t="shared" si="25"/>
        <v>79.114011316746698</v>
      </c>
      <c r="AJ69" s="38">
        <f t="shared" si="25"/>
        <v>39.637851971660709</v>
      </c>
      <c r="AK69" s="250">
        <f t="shared" si="25"/>
        <v>0</v>
      </c>
    </row>
    <row r="70" spans="1:37">
      <c r="A70" s="536" t="s">
        <v>13</v>
      </c>
      <c r="B70" s="27">
        <v>-11.26</v>
      </c>
      <c r="C70" s="28">
        <v>2</v>
      </c>
      <c r="D70" s="27">
        <v>-10.36</v>
      </c>
      <c r="E70" s="28">
        <v>4</v>
      </c>
      <c r="F70" s="309" t="str">
        <f t="shared" si="32"/>
        <v>B</v>
      </c>
      <c r="G70" s="357">
        <v>2</v>
      </c>
      <c r="H70" s="357">
        <v>4</v>
      </c>
      <c r="I70" s="323">
        <v>1.5349999999999999</v>
      </c>
      <c r="J70" s="29">
        <v>-7.3928337909999993</v>
      </c>
      <c r="K70" s="29">
        <v>1.98</v>
      </c>
      <c r="L70" s="29">
        <f t="shared" si="33"/>
        <v>-12.830875545957499</v>
      </c>
      <c r="M70" s="29">
        <f t="shared" si="19"/>
        <v>-11.33</v>
      </c>
      <c r="N70" s="37">
        <v>12.0107</v>
      </c>
      <c r="O70" s="413">
        <v>32.064999999999998</v>
      </c>
      <c r="P70" s="29">
        <v>-11.33</v>
      </c>
      <c r="Q70" s="29">
        <f t="shared" si="26"/>
        <v>-12.830875545957499</v>
      </c>
      <c r="R70" s="305">
        <v>-1.54</v>
      </c>
      <c r="S70" s="30" t="e">
        <f t="shared" si="27"/>
        <v>#DIV/0!</v>
      </c>
      <c r="T70" s="30" t="e">
        <f t="shared" si="28"/>
        <v>#DIV/0!</v>
      </c>
      <c r="U70" s="31">
        <f t="shared" si="29"/>
        <v>-7.3928337909999966</v>
      </c>
      <c r="V70" s="31">
        <f t="shared" si="30"/>
        <v>1.9799999999999982</v>
      </c>
      <c r="W70" s="31" t="e">
        <f t="shared" si="20"/>
        <v>#DIV/0!</v>
      </c>
      <c r="X70" s="31" t="e">
        <f t="shared" si="21"/>
        <v>#DIV/0!</v>
      </c>
      <c r="Y70" s="305">
        <f t="shared" si="31"/>
        <v>-6.0317430557384615</v>
      </c>
      <c r="Z70" s="31">
        <f t="shared" si="22"/>
        <v>-13.986416895499998</v>
      </c>
      <c r="AA70" s="31" t="str">
        <f t="shared" si="23"/>
        <v>OK</v>
      </c>
      <c r="AB70" s="31"/>
      <c r="AC70" s="31"/>
      <c r="AD70" s="35">
        <v>1.447302557588644</v>
      </c>
      <c r="AE70" s="35">
        <v>1.1306970288687057</v>
      </c>
      <c r="AF70" s="37">
        <v>0.80740945885831661</v>
      </c>
      <c r="AG70" s="37">
        <v>1.4625698651764323</v>
      </c>
      <c r="AH70" s="37">
        <v>6.6228307651208504E-2</v>
      </c>
      <c r="AI70" s="32">
        <f t="shared" si="25"/>
        <v>46.261154331523223</v>
      </c>
      <c r="AJ70" s="32">
        <f t="shared" si="25"/>
        <v>83.799080517627402</v>
      </c>
      <c r="AK70" s="249">
        <f t="shared" si="25"/>
        <v>3.7946025127082255</v>
      </c>
    </row>
    <row r="71" spans="1:37">
      <c r="A71" s="536"/>
      <c r="B71" s="35">
        <v>-11.26</v>
      </c>
      <c r="C71" s="36">
        <v>2</v>
      </c>
      <c r="D71" s="35">
        <v>-10.36</v>
      </c>
      <c r="E71" s="36">
        <v>4</v>
      </c>
      <c r="F71" s="310" t="str">
        <f t="shared" si="32"/>
        <v>B</v>
      </c>
      <c r="G71" s="358">
        <v>2</v>
      </c>
      <c r="H71" s="357">
        <v>4</v>
      </c>
      <c r="I71" s="322">
        <v>1.5349999999999999</v>
      </c>
      <c r="J71" s="37">
        <v>-7.5321568000000001</v>
      </c>
      <c r="K71" s="37">
        <v>1.98</v>
      </c>
      <c r="L71" s="37">
        <f t="shared" si="33"/>
        <v>-12.870234296</v>
      </c>
      <c r="M71" s="37">
        <f t="shared" si="19"/>
        <v>-11.33</v>
      </c>
      <c r="N71" s="37">
        <v>12.0107</v>
      </c>
      <c r="O71" s="413">
        <v>32.064999999999998</v>
      </c>
      <c r="P71" s="37">
        <v>-11.33</v>
      </c>
      <c r="Q71" s="37">
        <f t="shared" si="26"/>
        <v>-12.870234296</v>
      </c>
      <c r="R71" s="305">
        <v>-1.54</v>
      </c>
      <c r="S71" s="30" t="e">
        <f t="shared" si="27"/>
        <v>#DIV/0!</v>
      </c>
      <c r="T71" s="30" t="e">
        <f t="shared" si="28"/>
        <v>#DIV/0!</v>
      </c>
      <c r="U71" s="31">
        <f t="shared" si="29"/>
        <v>-7.5321568000000001</v>
      </c>
      <c r="V71" s="31">
        <f t="shared" si="30"/>
        <v>1.9799999999999998</v>
      </c>
      <c r="W71" s="31" t="e">
        <f t="shared" si="20"/>
        <v>#DIV/0!</v>
      </c>
      <c r="X71" s="31" t="e">
        <f t="shared" si="21"/>
        <v>#DIV/0!</v>
      </c>
      <c r="Y71" s="305">
        <f t="shared" si="31"/>
        <v>-6.1454153789365593</v>
      </c>
      <c r="Z71" s="31">
        <f t="shared" si="22"/>
        <v>-14.056078399999999</v>
      </c>
      <c r="AA71" s="31" t="str">
        <f t="shared" si="23"/>
        <v>OK</v>
      </c>
      <c r="AB71" s="31"/>
      <c r="AC71" s="31"/>
      <c r="AD71" s="35">
        <v>1.4540888985128932</v>
      </c>
      <c r="AE71" s="35">
        <v>1.1273415028280758</v>
      </c>
      <c r="AF71" s="37">
        <v>0.79982243202981607</v>
      </c>
      <c r="AG71" s="37">
        <v>1.4735127054207959</v>
      </c>
      <c r="AH71" s="37">
        <v>6.3262047600489105E-2</v>
      </c>
      <c r="AI71" s="38">
        <f t="shared" si="25"/>
        <v>45.826449715197612</v>
      </c>
      <c r="AJ71" s="38">
        <f t="shared" si="25"/>
        <v>84.42605907951534</v>
      </c>
      <c r="AK71" s="250">
        <f t="shared" si="25"/>
        <v>3.6246483308637423</v>
      </c>
    </row>
    <row r="72" spans="1:37">
      <c r="A72" s="536" t="s">
        <v>109</v>
      </c>
      <c r="B72" s="27">
        <v>-9.3226999999999993</v>
      </c>
      <c r="C72" s="28">
        <v>2</v>
      </c>
      <c r="D72" s="27">
        <v>-13.618</v>
      </c>
      <c r="E72" s="28">
        <v>4</v>
      </c>
      <c r="F72" s="309" t="str">
        <f t="shared" si="32"/>
        <v>A</v>
      </c>
      <c r="G72" s="357">
        <v>2</v>
      </c>
      <c r="H72" s="357">
        <v>2</v>
      </c>
      <c r="I72" s="323">
        <v>1.331</v>
      </c>
      <c r="J72" s="29">
        <v>-4.5291859900000002</v>
      </c>
      <c r="K72" s="29">
        <v>7.3</v>
      </c>
      <c r="L72" s="29">
        <f t="shared" si="33"/>
        <v>-10.1</v>
      </c>
      <c r="M72" s="29">
        <f t="shared" si="19"/>
        <v>-12.927990542174999</v>
      </c>
      <c r="N72" s="37">
        <v>9.0122</v>
      </c>
      <c r="O72" s="414">
        <v>15.9994</v>
      </c>
      <c r="P72" s="29">
        <v>-10.1</v>
      </c>
      <c r="Q72" s="29">
        <f t="shared" si="26"/>
        <v>-12.927990542174999</v>
      </c>
      <c r="R72" s="305">
        <v>-1.33</v>
      </c>
      <c r="S72" s="30" t="e">
        <f t="shared" si="27"/>
        <v>#DIV/0!</v>
      </c>
      <c r="T72" s="30" t="e">
        <f t="shared" si="28"/>
        <v>#DIV/0!</v>
      </c>
      <c r="U72" s="31">
        <f t="shared" si="29"/>
        <v>-4.529185989999597</v>
      </c>
      <c r="V72" s="31">
        <f t="shared" si="30"/>
        <v>7.300000000000054</v>
      </c>
      <c r="W72" s="31" t="e">
        <f t="shared" si="20"/>
        <v>#DIV/0!</v>
      </c>
      <c r="X72" s="31" t="e">
        <f t="shared" si="21"/>
        <v>#DIV/0!</v>
      </c>
      <c r="Y72" s="305">
        <f t="shared" si="31"/>
        <v>-4.91487746272729</v>
      </c>
      <c r="Z72" s="31">
        <f t="shared" si="22"/>
        <v>-15.105292995000001</v>
      </c>
      <c r="AA72" s="31" t="str">
        <f t="shared" si="23"/>
        <v>OK</v>
      </c>
      <c r="AB72" s="31"/>
      <c r="AC72" s="31"/>
      <c r="AD72" s="35">
        <v>1.0965608572502077</v>
      </c>
      <c r="AE72" s="35">
        <v>0.95657323167820074</v>
      </c>
      <c r="AF72" s="37">
        <v>1.7240478941201973</v>
      </c>
      <c r="AG72" s="37">
        <v>1.5932646285766514</v>
      </c>
      <c r="AH72" s="37">
        <v>1.1974360742748085</v>
      </c>
      <c r="AI72" s="32">
        <f t="shared" si="25"/>
        <v>98.78066801150473</v>
      </c>
      <c r="AJ72" s="32">
        <f t="shared" si="25"/>
        <v>91.287338864920827</v>
      </c>
      <c r="AK72" s="249">
        <f t="shared" si="25"/>
        <v>68.608033292660295</v>
      </c>
    </row>
    <row r="73" spans="1:37">
      <c r="A73" s="536"/>
      <c r="B73" s="35">
        <v>-9.3226999999999993</v>
      </c>
      <c r="C73" s="36">
        <v>2</v>
      </c>
      <c r="D73" s="35">
        <v>-13.618</v>
      </c>
      <c r="E73" s="36">
        <v>4</v>
      </c>
      <c r="F73" s="310" t="str">
        <f t="shared" si="32"/>
        <v>A</v>
      </c>
      <c r="G73" s="358">
        <v>2</v>
      </c>
      <c r="H73" s="358">
        <v>2</v>
      </c>
      <c r="I73" s="322">
        <v>1.331</v>
      </c>
      <c r="J73" s="37">
        <v>-4.5291859900000002</v>
      </c>
      <c r="K73" s="37">
        <v>1.4</v>
      </c>
      <c r="L73" s="37">
        <f t="shared" si="33"/>
        <v>-10.1</v>
      </c>
      <c r="M73" s="37">
        <f t="shared" si="19"/>
        <v>-12.927990542174999</v>
      </c>
      <c r="N73" s="37">
        <v>9.0122</v>
      </c>
      <c r="O73" s="414">
        <v>15.9994</v>
      </c>
      <c r="P73" s="37">
        <v>-10.1</v>
      </c>
      <c r="Q73" s="37">
        <f t="shared" si="26"/>
        <v>-12.927990542174999</v>
      </c>
      <c r="R73" s="305">
        <v>-1.33</v>
      </c>
      <c r="S73" s="30" t="e">
        <f t="shared" si="27"/>
        <v>#DIV/0!</v>
      </c>
      <c r="T73" s="30" t="e">
        <f t="shared" si="28"/>
        <v>#DIV/0!</v>
      </c>
      <c r="U73" s="31">
        <f t="shared" si="29"/>
        <v>-4.529185990000963</v>
      </c>
      <c r="V73" s="31">
        <f t="shared" si="30"/>
        <v>1.3999999999998869</v>
      </c>
      <c r="W73" s="31" t="e">
        <f t="shared" si="20"/>
        <v>#DIV/0!</v>
      </c>
      <c r="X73" s="31" t="e">
        <f t="shared" si="21"/>
        <v>#DIV/0!</v>
      </c>
      <c r="Y73" s="305">
        <f t="shared" si="31"/>
        <v>-4.9148774627287741</v>
      </c>
      <c r="Z73" s="31">
        <f t="shared" si="22"/>
        <v>-15.105292995000001</v>
      </c>
      <c r="AA73" s="31" t="str">
        <f t="shared" si="23"/>
        <v>OK</v>
      </c>
      <c r="AB73" s="31"/>
      <c r="AC73" s="31"/>
      <c r="AD73" s="35">
        <v>1.3162025355704676</v>
      </c>
      <c r="AE73" s="35">
        <v>1.1317195369003776</v>
      </c>
      <c r="AF73" s="37">
        <v>1.1530731002948467</v>
      </c>
      <c r="AG73" s="37">
        <v>1.1077043942987397</v>
      </c>
      <c r="AH73" s="37">
        <v>0.72626920198518119</v>
      </c>
      <c r="AI73" s="38">
        <f t="shared" si="25"/>
        <v>66.066222116959793</v>
      </c>
      <c r="AJ73" s="38">
        <f t="shared" si="25"/>
        <v>63.466786741412996</v>
      </c>
      <c r="AK73" s="250">
        <f t="shared" si="25"/>
        <v>41.612160064085195</v>
      </c>
    </row>
    <row r="74" spans="1:37">
      <c r="A74" s="536" t="s">
        <v>110</v>
      </c>
      <c r="B74" s="27">
        <v>-5.2117000000000004</v>
      </c>
      <c r="C74" s="28">
        <v>2</v>
      </c>
      <c r="D74" s="27">
        <v>-13.618</v>
      </c>
      <c r="E74" s="28">
        <v>4</v>
      </c>
      <c r="F74" s="309" t="str">
        <f t="shared" si="32"/>
        <v>A</v>
      </c>
      <c r="G74" s="357">
        <v>2</v>
      </c>
      <c r="H74" s="357">
        <v>2</v>
      </c>
      <c r="I74" s="323">
        <v>1.94</v>
      </c>
      <c r="J74" s="29">
        <v>-4.8250000000000002</v>
      </c>
      <c r="K74" s="29">
        <v>7.9539999999999997</v>
      </c>
      <c r="L74" s="29">
        <f t="shared" si="33"/>
        <v>-6.91</v>
      </c>
      <c r="M74" s="29">
        <f t="shared" si="19"/>
        <v>-11.103543000000002</v>
      </c>
      <c r="N74" s="413">
        <v>137.327</v>
      </c>
      <c r="O74" s="414">
        <v>15.9994</v>
      </c>
      <c r="P74" s="29">
        <v>-6.91</v>
      </c>
      <c r="Q74" s="29">
        <f t="shared" si="26"/>
        <v>-11.103543000000002</v>
      </c>
      <c r="R74" s="305">
        <v>-1.94</v>
      </c>
      <c r="S74" s="30" t="e">
        <f t="shared" si="27"/>
        <v>#DIV/0!</v>
      </c>
      <c r="T74" s="30" t="e">
        <f t="shared" si="28"/>
        <v>#DIV/0!</v>
      </c>
      <c r="U74" s="31">
        <f t="shared" si="29"/>
        <v>-4.8249999999956703</v>
      </c>
      <c r="V74" s="31">
        <f t="shared" si="30"/>
        <v>7.9540000000017361</v>
      </c>
      <c r="W74" s="31" t="e">
        <f t="shared" si="20"/>
        <v>#DIV/0!</v>
      </c>
      <c r="X74" s="31" t="e">
        <f t="shared" si="21"/>
        <v>#DIV/0!</v>
      </c>
      <c r="Y74" s="305">
        <f t="shared" si="31"/>
        <v>-2.4645776628256248</v>
      </c>
      <c r="Z74" s="31">
        <f t="shared" si="22"/>
        <v>-14.332200000000004</v>
      </c>
      <c r="AA74" s="31" t="str">
        <f t="shared" si="23"/>
        <v>OK</v>
      </c>
      <c r="AB74" s="31"/>
      <c r="AC74" s="31"/>
      <c r="AD74" s="35">
        <v>1.6791917103348433</v>
      </c>
      <c r="AE74" s="35">
        <v>1.2271661274700889</v>
      </c>
      <c r="AF74" s="37">
        <v>1.5205536923639347</v>
      </c>
      <c r="AG74" s="37">
        <v>1.4074026605203687</v>
      </c>
      <c r="AH74" s="37">
        <v>0.90335650763243569</v>
      </c>
      <c r="AI74" s="32">
        <f t="shared" si="25"/>
        <v>87.121309095487206</v>
      </c>
      <c r="AJ74" s="32">
        <f t="shared" si="25"/>
        <v>80.638232523300488</v>
      </c>
      <c r="AK74" s="249">
        <f t="shared" si="25"/>
        <v>51.758515283016102</v>
      </c>
    </row>
    <row r="75" spans="1:37">
      <c r="A75" s="536"/>
      <c r="B75" s="35">
        <v>-5.2117000000000004</v>
      </c>
      <c r="C75" s="36">
        <v>2</v>
      </c>
      <c r="D75" s="35">
        <v>-13.618</v>
      </c>
      <c r="E75" s="36">
        <v>4</v>
      </c>
      <c r="F75" s="310" t="str">
        <f t="shared" si="32"/>
        <v>A</v>
      </c>
      <c r="G75" s="358">
        <v>2</v>
      </c>
      <c r="H75" s="358">
        <v>2</v>
      </c>
      <c r="I75" s="322">
        <v>1.94</v>
      </c>
      <c r="J75" s="37">
        <v>-5.6577952000000007</v>
      </c>
      <c r="K75" s="37">
        <v>7.9539999999999997</v>
      </c>
      <c r="L75" s="37">
        <f t="shared" si="33"/>
        <v>-6.91</v>
      </c>
      <c r="M75" s="37">
        <f t="shared" si="19"/>
        <v>-11.338807644000003</v>
      </c>
      <c r="N75" s="414">
        <v>137.327</v>
      </c>
      <c r="O75" s="414">
        <v>15.9994</v>
      </c>
      <c r="P75" s="37">
        <v>-6.91</v>
      </c>
      <c r="Q75" s="37">
        <f t="shared" si="26"/>
        <v>-11.338807644000003</v>
      </c>
      <c r="R75" s="305">
        <v>-1.94</v>
      </c>
      <c r="S75" s="30" t="e">
        <f t="shared" si="27"/>
        <v>#DIV/0!</v>
      </c>
      <c r="T75" s="30" t="e">
        <f t="shared" si="28"/>
        <v>#DIV/0!</v>
      </c>
      <c r="U75" s="31">
        <f t="shared" si="29"/>
        <v>-5.6577951999996863</v>
      </c>
      <c r="V75" s="31">
        <f t="shared" si="30"/>
        <v>7.9540000000001108</v>
      </c>
      <c r="W75" s="31" t="e">
        <f t="shared" si="20"/>
        <v>#DIV/0!</v>
      </c>
      <c r="X75" s="31" t="e">
        <f t="shared" si="21"/>
        <v>#DIV/0!</v>
      </c>
      <c r="Y75" s="305">
        <f t="shared" si="31"/>
        <v>-2.8899638695904213</v>
      </c>
      <c r="Z75" s="31">
        <f t="shared" si="22"/>
        <v>-14.748597600000004</v>
      </c>
      <c r="AA75" s="31" t="str">
        <f t="shared" si="23"/>
        <v>OK</v>
      </c>
      <c r="AB75" s="31"/>
      <c r="AC75" s="31"/>
      <c r="AD75" s="35">
        <v>1.6927649322873792</v>
      </c>
      <c r="AE75" s="35">
        <v>1.1946266303171607</v>
      </c>
      <c r="AF75" s="37">
        <v>1.4915743440924636</v>
      </c>
      <c r="AG75" s="37">
        <v>1.4449121362759989</v>
      </c>
      <c r="AH75" s="37">
        <v>0.74171626694322512</v>
      </c>
      <c r="AI75" s="38">
        <f t="shared" si="25"/>
        <v>85.460914746492179</v>
      </c>
      <c r="AJ75" s="38">
        <f t="shared" si="25"/>
        <v>82.787367175846398</v>
      </c>
      <c r="AK75" s="250">
        <f t="shared" si="25"/>
        <v>42.497211692045539</v>
      </c>
    </row>
    <row r="76" spans="1:37">
      <c r="A76" s="536" t="s">
        <v>14</v>
      </c>
      <c r="B76" s="27">
        <v>-11.26</v>
      </c>
      <c r="C76" s="28">
        <v>2</v>
      </c>
      <c r="D76" s="27">
        <v>-14.534000000000001</v>
      </c>
      <c r="E76" s="28">
        <v>3</v>
      </c>
      <c r="F76" s="309" t="str">
        <f t="shared" si="32"/>
        <v>A</v>
      </c>
      <c r="G76" s="357">
        <v>3</v>
      </c>
      <c r="H76" s="357">
        <v>3</v>
      </c>
      <c r="I76" s="323">
        <v>1.1718</v>
      </c>
      <c r="J76" s="29">
        <v>-7.7732025</v>
      </c>
      <c r="K76" s="29">
        <v>1.45</v>
      </c>
      <c r="L76" s="29">
        <f t="shared" si="33"/>
        <v>-14.1</v>
      </c>
      <c r="M76" s="407">
        <f t="shared" si="19"/>
        <v>-15.208379804166666</v>
      </c>
      <c r="N76" s="37">
        <v>12.0107</v>
      </c>
      <c r="O76" s="414">
        <v>14.0067</v>
      </c>
      <c r="P76" s="29">
        <v>-14.1</v>
      </c>
      <c r="Q76" s="29">
        <f t="shared" si="26"/>
        <v>-15.208379804166666</v>
      </c>
      <c r="R76" s="305">
        <v>-16.331210579667601</v>
      </c>
      <c r="S76" s="30" t="e">
        <f t="shared" si="27"/>
        <v>#DIV/0!</v>
      </c>
      <c r="T76" s="30" t="e">
        <f t="shared" si="28"/>
        <v>#DIV/0!</v>
      </c>
      <c r="U76" s="31">
        <f t="shared" si="29"/>
        <v>-7.7732025000000009</v>
      </c>
      <c r="V76" s="31">
        <f t="shared" si="30"/>
        <v>1.45</v>
      </c>
      <c r="W76" s="31" t="e">
        <f t="shared" si="20"/>
        <v>#DIV/0!</v>
      </c>
      <c r="X76" s="31" t="e">
        <f t="shared" si="21"/>
        <v>#DIV/0!</v>
      </c>
      <c r="Y76" s="305">
        <f t="shared" si="31"/>
        <v>-10.882824973293101</v>
      </c>
      <c r="Z76" s="31">
        <v>-16.061734166666668</v>
      </c>
      <c r="AA76" s="31" t="str">
        <f t="shared" si="23"/>
        <v>RĘCZNIE</v>
      </c>
      <c r="AB76" s="31"/>
      <c r="AC76" s="31"/>
      <c r="AD76" s="35">
        <v>1.0164437958690933</v>
      </c>
      <c r="AE76" s="35">
        <v>0.97039864257823616</v>
      </c>
      <c r="AF76" s="37">
        <v>1.1291990934754619</v>
      </c>
      <c r="AG76" s="37">
        <v>1.1053989487153781</v>
      </c>
      <c r="AH76" s="37">
        <v>0.57697520311105432</v>
      </c>
      <c r="AI76" s="32">
        <f t="shared" si="25"/>
        <v>64.698342286142505</v>
      </c>
      <c r="AJ76" s="32">
        <f t="shared" si="25"/>
        <v>63.334694439589299</v>
      </c>
      <c r="AK76" s="249">
        <f t="shared" si="25"/>
        <v>33.058244021966857</v>
      </c>
    </row>
    <row r="77" spans="1:37">
      <c r="A77" s="536"/>
      <c r="B77" s="35">
        <v>-11.26</v>
      </c>
      <c r="C77" s="36">
        <v>2</v>
      </c>
      <c r="D77" s="35">
        <v>-14.534000000000001</v>
      </c>
      <c r="E77" s="36">
        <v>3</v>
      </c>
      <c r="F77" s="310" t="str">
        <f t="shared" si="32"/>
        <v>A</v>
      </c>
      <c r="G77" s="358">
        <v>3</v>
      </c>
      <c r="H77" s="358">
        <v>3</v>
      </c>
      <c r="I77" s="322">
        <v>1.1718</v>
      </c>
      <c r="J77" s="37">
        <v>-8.1569440000000011</v>
      </c>
      <c r="K77" s="37">
        <v>1.45</v>
      </c>
      <c r="L77" s="37">
        <f t="shared" si="33"/>
        <v>-14.1</v>
      </c>
      <c r="M77" s="408">
        <f t="shared" si="19"/>
        <v>-15.280651120000002</v>
      </c>
      <c r="N77" s="37">
        <v>12.0107</v>
      </c>
      <c r="O77" s="414">
        <v>14.0067</v>
      </c>
      <c r="P77" s="37">
        <v>-14.1</v>
      </c>
      <c r="Q77" s="37">
        <f t="shared" si="26"/>
        <v>-15.280651120000002</v>
      </c>
      <c r="R77" s="305">
        <v>-15.099122207532901</v>
      </c>
      <c r="S77" s="30" t="e">
        <f t="shared" si="27"/>
        <v>#DIV/0!</v>
      </c>
      <c r="T77" s="30" t="e">
        <f t="shared" si="28"/>
        <v>#DIV/0!</v>
      </c>
      <c r="U77" s="31">
        <f t="shared" si="29"/>
        <v>-8.1569440000000029</v>
      </c>
      <c r="V77" s="31">
        <f t="shared" si="30"/>
        <v>1.4499999999999984</v>
      </c>
      <c r="W77" s="31" t="e">
        <f t="shared" si="20"/>
        <v>#DIV/0!</v>
      </c>
      <c r="X77" s="31" t="e">
        <f t="shared" si="21"/>
        <v>#DIV/0!</v>
      </c>
      <c r="Y77" s="305">
        <f t="shared" si="31"/>
        <v>-11.420079930884771</v>
      </c>
      <c r="Z77" s="31">
        <v>-16.189648000000002</v>
      </c>
      <c r="AA77" s="31" t="str">
        <f t="shared" si="23"/>
        <v>RĘCZNIE</v>
      </c>
      <c r="AB77" s="31"/>
      <c r="AC77" s="31"/>
      <c r="AD77" s="35">
        <v>1.0164064103548767</v>
      </c>
      <c r="AE77" s="35">
        <v>0.9675282665382553</v>
      </c>
      <c r="AF77" s="37">
        <v>1.1292719648204241</v>
      </c>
      <c r="AG77" s="37">
        <v>1.1038125395879241</v>
      </c>
      <c r="AH77" s="37">
        <v>0.53693723217896228</v>
      </c>
      <c r="AI77" s="38">
        <f t="shared" si="25"/>
        <v>64.702517506656278</v>
      </c>
      <c r="AJ77" s="38">
        <f t="shared" si="25"/>
        <v>63.243799892005157</v>
      </c>
      <c r="AK77" s="250">
        <f t="shared" si="25"/>
        <v>30.764237267290515</v>
      </c>
    </row>
    <row r="78" spans="1:37">
      <c r="A78" s="536" t="s">
        <v>111</v>
      </c>
      <c r="B78" s="27">
        <v>-8.2980300000000007</v>
      </c>
      <c r="C78" s="28">
        <v>1</v>
      </c>
      <c r="D78" s="27">
        <v>-14.534000000000001</v>
      </c>
      <c r="E78" s="28">
        <v>3</v>
      </c>
      <c r="F78" s="309" t="str">
        <f t="shared" si="32"/>
        <v>A</v>
      </c>
      <c r="G78" s="357">
        <v>3</v>
      </c>
      <c r="H78" s="357">
        <v>3</v>
      </c>
      <c r="I78" s="323">
        <v>1.2809999999999999</v>
      </c>
      <c r="J78" s="29">
        <v>-3.9166576329999998</v>
      </c>
      <c r="K78" s="48">
        <v>1.5</v>
      </c>
      <c r="L78" s="29">
        <f t="shared" si="33"/>
        <v>-9.5</v>
      </c>
      <c r="M78" s="29">
        <f t="shared" si="19"/>
        <v>-14.147442837548333</v>
      </c>
      <c r="N78" s="413">
        <v>10.811</v>
      </c>
      <c r="O78" s="414">
        <v>14.0067</v>
      </c>
      <c r="P78" s="29">
        <v>-9.5</v>
      </c>
      <c r="Q78" s="29">
        <f t="shared" si="26"/>
        <v>-14.147442837548333</v>
      </c>
      <c r="R78" s="305">
        <v>-8.2582376024641597</v>
      </c>
      <c r="S78" s="30" t="e">
        <f t="shared" si="27"/>
        <v>#DIV/0!</v>
      </c>
      <c r="T78" s="30" t="e">
        <f t="shared" si="28"/>
        <v>#DIV/0!</v>
      </c>
      <c r="U78" s="31">
        <f t="shared" si="29"/>
        <v>-3.9166576335938981</v>
      </c>
      <c r="V78" s="31">
        <f t="shared" si="30"/>
        <v>1.4999999999669864</v>
      </c>
      <c r="W78" s="31" t="e">
        <f t="shared" si="20"/>
        <v>#DIV/0!</v>
      </c>
      <c r="X78" s="31" t="e">
        <f t="shared" si="21"/>
        <v>#DIV/0!</v>
      </c>
      <c r="Y78" s="305">
        <f t="shared" si="31"/>
        <v>-4.5884499724690055</v>
      </c>
      <c r="Z78" s="31">
        <v>-17.725562544333332</v>
      </c>
      <c r="AA78" s="31" t="str">
        <f t="shared" si="23"/>
        <v>RĘCZNIE</v>
      </c>
      <c r="AB78" s="31"/>
      <c r="AC78" s="31"/>
      <c r="AD78" s="35">
        <v>1.3175551403635755</v>
      </c>
      <c r="AE78" s="35">
        <v>1.0567247385913372</v>
      </c>
      <c r="AF78" s="37">
        <v>1.2000259874124535</v>
      </c>
      <c r="AG78" s="37">
        <v>1.0872431884838547</v>
      </c>
      <c r="AH78" s="37">
        <v>0.95920033390444137</v>
      </c>
      <c r="AI78" s="32">
        <f t="shared" si="25"/>
        <v>68.756424384752833</v>
      </c>
      <c r="AJ78" s="32">
        <f t="shared" si="25"/>
        <v>62.294446004471546</v>
      </c>
      <c r="AK78" s="249">
        <f t="shared" si="25"/>
        <v>54.958130840263813</v>
      </c>
    </row>
    <row r="79" spans="1:37">
      <c r="A79" s="536"/>
      <c r="B79" s="35">
        <v>-8.2980300000000007</v>
      </c>
      <c r="C79" s="36">
        <v>1</v>
      </c>
      <c r="D79" s="35">
        <v>-14.534000000000001</v>
      </c>
      <c r="E79" s="36">
        <v>3</v>
      </c>
      <c r="F79" s="310" t="str">
        <f t="shared" si="32"/>
        <v>A</v>
      </c>
      <c r="G79" s="358">
        <v>3</v>
      </c>
      <c r="H79" s="358">
        <v>3</v>
      </c>
      <c r="I79" s="322">
        <v>1.2809999999999999</v>
      </c>
      <c r="J79" s="37">
        <v>-3.9166576329999998</v>
      </c>
      <c r="K79" s="48">
        <v>2</v>
      </c>
      <c r="L79" s="37">
        <f t="shared" si="33"/>
        <v>-12.7</v>
      </c>
      <c r="M79" s="37">
        <f t="shared" si="19"/>
        <v>-13.731442837548334</v>
      </c>
      <c r="N79" s="413">
        <v>10.811</v>
      </c>
      <c r="O79" s="414">
        <v>14.0067</v>
      </c>
      <c r="P79" s="37">
        <v>-12.7</v>
      </c>
      <c r="Q79" s="37">
        <f t="shared" si="26"/>
        <v>-13.731442837548334</v>
      </c>
      <c r="R79" s="305">
        <v>-8.2582376024641597</v>
      </c>
      <c r="S79" s="30" t="e">
        <f t="shared" si="27"/>
        <v>#DIV/0!</v>
      </c>
      <c r="T79" s="30" t="e">
        <f t="shared" si="28"/>
        <v>#DIV/0!</v>
      </c>
      <c r="U79" s="31">
        <f t="shared" si="29"/>
        <v>-3.9166576324389997</v>
      </c>
      <c r="V79" s="31">
        <f t="shared" si="30"/>
        <v>2.0000000000759597</v>
      </c>
      <c r="W79" s="31" t="e">
        <f t="shared" si="20"/>
        <v>#DIV/0!</v>
      </c>
      <c r="X79" s="31" t="e">
        <f t="shared" si="21"/>
        <v>#DIV/0!</v>
      </c>
      <c r="Y79" s="305">
        <f t="shared" si="31"/>
        <v>-4.5884499711160167</v>
      </c>
      <c r="Z79" s="31">
        <v>-14.525562544333335</v>
      </c>
      <c r="AA79" s="31" t="str">
        <f t="shared" si="23"/>
        <v>RĘCZNIE</v>
      </c>
      <c r="AB79" s="31"/>
      <c r="AC79" s="31"/>
      <c r="AD79" s="35">
        <v>1.1180586278200204</v>
      </c>
      <c r="AE79" s="35">
        <v>1.0352797480003242</v>
      </c>
      <c r="AF79" s="37">
        <v>1.1399102208877214</v>
      </c>
      <c r="AG79" s="37">
        <v>1.1766092003538782</v>
      </c>
      <c r="AH79" s="37">
        <v>0.95367220345169779</v>
      </c>
      <c r="AI79" s="38">
        <f t="shared" si="25"/>
        <v>65.312044680691855</v>
      </c>
      <c r="AJ79" s="38">
        <f t="shared" si="25"/>
        <v>67.414741316539903</v>
      </c>
      <c r="AK79" s="250">
        <f t="shared" si="25"/>
        <v>54.641392296723865</v>
      </c>
    </row>
    <row r="80" spans="1:37">
      <c r="A80" s="425" t="s">
        <v>572</v>
      </c>
      <c r="B80" s="35"/>
      <c r="C80" s="36"/>
      <c r="D80" s="35"/>
      <c r="E80" s="36"/>
      <c r="F80" s="310"/>
      <c r="G80" s="358">
        <v>3</v>
      </c>
      <c r="H80" s="358">
        <v>3</v>
      </c>
      <c r="I80" s="322">
        <v>1.4910000000000001</v>
      </c>
      <c r="J80" s="37">
        <f>-6.39</f>
        <v>-6.39</v>
      </c>
      <c r="K80" s="48">
        <v>2.7509999999999999</v>
      </c>
      <c r="L80" s="37">
        <v>-11.88</v>
      </c>
      <c r="M80" s="406">
        <v>-13</v>
      </c>
      <c r="N80" s="415">
        <v>30.973800000000001</v>
      </c>
      <c r="O80" s="414">
        <v>14.0067</v>
      </c>
      <c r="P80" s="37">
        <v>-11.88</v>
      </c>
      <c r="Q80" s="37"/>
      <c r="R80" s="305"/>
      <c r="S80" s="30"/>
      <c r="T80" s="30"/>
      <c r="U80" s="31"/>
      <c r="V80" s="31"/>
      <c r="W80" s="31"/>
      <c r="X80" s="31"/>
      <c r="Y80" s="305"/>
      <c r="Z80" s="31"/>
      <c r="AA80" s="31"/>
      <c r="AB80" s="31"/>
      <c r="AC80" s="31"/>
      <c r="AD80" s="35"/>
      <c r="AE80" s="35"/>
      <c r="AF80" s="37"/>
      <c r="AG80" s="37"/>
      <c r="AH80" s="37"/>
      <c r="AI80" s="38"/>
      <c r="AJ80" s="38"/>
      <c r="AK80" s="250"/>
    </row>
    <row r="81" spans="1:37">
      <c r="A81" s="425" t="s">
        <v>112</v>
      </c>
      <c r="B81" s="27">
        <v>-14.534000000000001</v>
      </c>
      <c r="C81" s="28">
        <v>7</v>
      </c>
      <c r="D81" s="27">
        <v>-13.618</v>
      </c>
      <c r="E81" s="28">
        <v>8</v>
      </c>
      <c r="F81" s="309" t="str">
        <f t="shared" si="32"/>
        <v>B</v>
      </c>
      <c r="G81" s="357">
        <v>3</v>
      </c>
      <c r="H81" s="357">
        <v>3</v>
      </c>
      <c r="I81" s="323">
        <v>1.0619000000000001</v>
      </c>
      <c r="J81" s="29">
        <v>-11.7</v>
      </c>
      <c r="K81" s="29">
        <v>0.63500000000000001</v>
      </c>
      <c r="L81" s="29">
        <f>IF(F81="A",P81,Q81)</f>
        <v>-31.28988</v>
      </c>
      <c r="M81" s="29">
        <f>IF(F81="A",Q81,P81)</f>
        <v>-30.3</v>
      </c>
      <c r="N81" s="413"/>
      <c r="O81" s="413"/>
      <c r="P81" s="29">
        <v>-30.3</v>
      </c>
      <c r="Q81" s="37">
        <f t="shared" si="26"/>
        <v>-31.28988</v>
      </c>
      <c r="R81" s="305"/>
      <c r="S81" s="30" t="e">
        <f>SUMXMY2(P81:Q81,W81:X81)+SUMXMY2(J81:K81,U81:V81)</f>
        <v>#DIV/0!</v>
      </c>
      <c r="T81" s="30" t="e">
        <f>AND(ABS(U81-$J81)&lt;0.0001,ABS(V81-K81)&lt;0.0001,ABS(W81-$P81)&lt;0.0001,IF(AC81&lt;0,TRUE,W81+0.0001&gt;=X81),Q81-0.0001&lt;=W81)</f>
        <v>#DIV/0!</v>
      </c>
      <c r="U81" s="31">
        <f>-(14.3998434*AD81*AE81/(I81^3)*(SIN(AF81)*SIN(AG81)*COS(AH81)-2*COS(AF81)*COS(AG81)))*G81</f>
        <v>-11.699999999999996</v>
      </c>
      <c r="V81" s="31">
        <f>4.803*(I81-AD81*COS(AF81)-AE81*COS(AG81))</f>
        <v>0.63500000000000045</v>
      </c>
      <c r="W81" s="31" t="e">
        <f>IF(F81="A",-14.3998434/AD81-14.3998434/AN81+14.3998434/$I81,-14.3998434/AE81-14.3998434/AM81+14.3998434/$I81)</f>
        <v>#DIV/0!</v>
      </c>
      <c r="X81" s="31" t="e">
        <f>IF(F81="A",-14.3998434/AE81-14.3998434/AM81+14.3998434/$I81,-14.3998434/AD81-14.3998434/AN81+14.3998434/$I81)</f>
        <v>#DIV/0!</v>
      </c>
      <c r="Y81" s="305">
        <f>-2*G81*6*4.803^2*AD81*AE81/I81^5*(SIN(AF81)*SIN(AG81)*COS(AH81)-2*COS(AF81)*COS(AG81))/10</f>
        <v>-19.946526134652693</v>
      </c>
      <c r="Z81" s="48">
        <f>(G81*B81+G81*D81+J81-G81*P81*0)/G81</f>
        <v>-32.052</v>
      </c>
      <c r="AA81" s="31" t="str">
        <f>IF(OR(C81&lt;G81,E81&lt;G81),"RĘCZNIE","OK")</f>
        <v>OK</v>
      </c>
      <c r="AB81" s="31"/>
      <c r="AC81" s="31"/>
      <c r="AD81" s="35">
        <v>0.43771855978185081</v>
      </c>
      <c r="AE81" s="35">
        <v>1.0949206019054158</v>
      </c>
      <c r="AF81" s="37">
        <v>1.7134064020870579</v>
      </c>
      <c r="AG81" s="37">
        <v>0.43726582922207891</v>
      </c>
      <c r="AH81" s="37">
        <v>0</v>
      </c>
      <c r="AI81" s="32">
        <f t="shared" ref="AI81:AK85" si="34">DEGREES(AF81)</f>
        <v>98.17095543028374</v>
      </c>
      <c r="AJ81" s="32">
        <f t="shared" si="34"/>
        <v>25.053486539713344</v>
      </c>
      <c r="AK81" s="249">
        <f t="shared" si="34"/>
        <v>0</v>
      </c>
    </row>
    <row r="82" spans="1:37">
      <c r="A82" s="425" t="s">
        <v>113</v>
      </c>
      <c r="B82" s="27">
        <v>-11.26</v>
      </c>
      <c r="C82" s="28">
        <v>6</v>
      </c>
      <c r="D82" s="27">
        <v>-13.618</v>
      </c>
      <c r="E82" s="28">
        <v>8</v>
      </c>
      <c r="F82" s="309" t="str">
        <f t="shared" si="32"/>
        <v>A</v>
      </c>
      <c r="G82" s="357">
        <v>2</v>
      </c>
      <c r="H82" s="357">
        <v>2</v>
      </c>
      <c r="I82" s="323">
        <v>1.1152</v>
      </c>
      <c r="J82" s="29">
        <v>-8.3478999999999992</v>
      </c>
      <c r="K82" s="29">
        <v>1.754</v>
      </c>
      <c r="L82" s="29">
        <f>IF(F82="A",P82,Q82)</f>
        <v>-26.8</v>
      </c>
      <c r="M82" s="29">
        <f>IF(F82="A",Q82,P82)</f>
        <v>-28.072351749999999</v>
      </c>
      <c r="N82" s="413"/>
      <c r="O82" s="413"/>
      <c r="P82" s="29">
        <v>-26.8</v>
      </c>
      <c r="Q82" s="37">
        <f t="shared" si="26"/>
        <v>-28.072351749999999</v>
      </c>
      <c r="R82" s="305"/>
      <c r="S82" s="30" t="e">
        <f>SUMXMY2(P82:Q82,W82:X82)+SUMXMY2(J82:K82,U82:V82)</f>
        <v>#DIV/0!</v>
      </c>
      <c r="T82" s="30" t="e">
        <f>AND(ABS(U82-$J82)&lt;0.0001,ABS(V82-K82)&lt;0.0001,ABS(W82-$P82)&lt;0.0001,IF(AC82&lt;0,TRUE,W82+0.0001&gt;=X82),Q82-0.0001&lt;=W82)</f>
        <v>#DIV/0!</v>
      </c>
      <c r="U82" s="31">
        <f>-(14.3998434*AD82*AE82/(I82^3)*(SIN(AF82)*SIN(AG82)*COS(AH82)-2*COS(AF82)*COS(AG82)))*G82</f>
        <v>-8.3478999999999992</v>
      </c>
      <c r="V82" s="31">
        <f>4.803*(I82-AD82*COS(AF82)-AE82*COS(AG82))</f>
        <v>1.7540000000000002</v>
      </c>
      <c r="W82" s="31" t="e">
        <f>IF(F82="A",-14.3998434/AD82-14.3998434/AN82+14.3998434/$I82,-14.3998434/AE82-14.3998434/AM82+14.3998434/$I82)</f>
        <v>#DIV/0!</v>
      </c>
      <c r="X82" s="31" t="e">
        <f>IF(F82="A",-14.3998434/AE82-14.3998434/AM82+14.3998434/$I82,-14.3998434/AD82-14.3998434/AN82+14.3998434/$I82)</f>
        <v>#DIV/0!</v>
      </c>
      <c r="Y82" s="305">
        <f>-2*G82*6*4.803^2*AD82*AE82/I82^5*(SIN(AF82)*SIN(AG82)*COS(AH82)-2*COS(AF82)*COS(AG82))/10</f>
        <v>-12.903881515905701</v>
      </c>
      <c r="Z82" s="48">
        <f>(G82*B82+G82*D82+J82-G82*P82*0)/G82</f>
        <v>-29.051949999999998</v>
      </c>
      <c r="AA82" s="31" t="str">
        <f>IF(OR(C82&lt;G82,E82&lt;G82),"RĘCZNIE","OK")</f>
        <v>OK</v>
      </c>
      <c r="AB82" s="31"/>
      <c r="AC82" s="31"/>
      <c r="AD82" s="35">
        <v>0.98633695958815459</v>
      </c>
      <c r="AE82" s="35">
        <v>0.48145276766164119</v>
      </c>
      <c r="AF82" s="37">
        <v>0.53925071783167577</v>
      </c>
      <c r="AG82" s="37">
        <v>1.7722970770715145</v>
      </c>
      <c r="AH82" s="37">
        <v>0</v>
      </c>
      <c r="AI82" s="32">
        <f t="shared" si="34"/>
        <v>30.896790231155066</v>
      </c>
      <c r="AJ82" s="32">
        <f t="shared" si="34"/>
        <v>101.54514255956977</v>
      </c>
      <c r="AK82" s="249">
        <f t="shared" si="34"/>
        <v>0</v>
      </c>
    </row>
    <row r="83" spans="1:37">
      <c r="A83" s="425" t="s">
        <v>114</v>
      </c>
      <c r="B83" s="27">
        <v>-13.598000000000001</v>
      </c>
      <c r="C83" s="28">
        <v>1</v>
      </c>
      <c r="D83" s="27">
        <v>-17.422999999999998</v>
      </c>
      <c r="E83" s="28">
        <v>9</v>
      </c>
      <c r="F83" s="309" t="str">
        <f t="shared" si="32"/>
        <v>A</v>
      </c>
      <c r="G83" s="357">
        <v>1</v>
      </c>
      <c r="H83" s="357">
        <v>1</v>
      </c>
      <c r="I83" s="323">
        <v>1.0145</v>
      </c>
      <c r="J83" s="29">
        <v>-3.423</v>
      </c>
      <c r="K83" s="29">
        <v>2.2970000000000002</v>
      </c>
      <c r="L83" s="29">
        <f>IF(F83="A",P83,Q83)</f>
        <v>-33.9</v>
      </c>
      <c r="M83" s="29">
        <f>IF(F83="A",Q83,P83)</f>
        <v>-34.207360000000001</v>
      </c>
      <c r="N83" s="413"/>
      <c r="O83" s="413"/>
      <c r="P83" s="29">
        <v>-33.9</v>
      </c>
      <c r="Q83" s="37">
        <f>IF(AC83&lt;&gt;0,AC83,0.565*(Z83-P83)+P83)</f>
        <v>-34.207360000000001</v>
      </c>
      <c r="R83" s="305"/>
      <c r="S83" s="30" t="e">
        <f>SUMXMY2(P83:Q83,W83:X83)+SUMXMY2(J83:K83,U83:V83)</f>
        <v>#DIV/0!</v>
      </c>
      <c r="T83" s="30" t="e">
        <f>AND(ABS(U83-$J83)&lt;0.0001,ABS(V83-K83)&lt;0.0001,ABS(W83-$P83)&lt;0.0001,IF(AC83&lt;0,TRUE,W83+0.0001&gt;=X83),Q83-0.0001&lt;=W83)</f>
        <v>#DIV/0!</v>
      </c>
      <c r="U83" s="31">
        <f>-(14.3998434*AD83*AE83/(I83^3)*(SIN(AF83)*SIN(AG83)*COS(AH83)-2*COS(AF83)*COS(AG83)))*G83</f>
        <v>-3.4229999995987694</v>
      </c>
      <c r="V83" s="31">
        <f>4.803*(I83-AD83*COS(AF83)-AE83*COS(AG83))</f>
        <v>2.2970000000510846</v>
      </c>
      <c r="W83" s="31" t="e">
        <f>IF(F83="A",-14.3998434/AD83-14.3998434/AN83+14.3998434/$I83,-14.3998434/AE83-14.3998434/AM83+14.3998434/$I83)</f>
        <v>#DIV/0!</v>
      </c>
      <c r="X83" s="31" t="e">
        <f>IF(F83="A",-14.3998434/AE83-14.3998434/AM83+14.3998434/$I83,-14.3998434/AD83-14.3998434/AN83+14.3998434/$I83)</f>
        <v>#DIV/0!</v>
      </c>
      <c r="Y83" s="305">
        <f>-2*G83*6*4.803^2*AD83*AE83/I83^5*(SIN(AF83)*SIN(AG83)*COS(AH83)-2*COS(AF83)*COS(AG83))/10</f>
        <v>-6.3936881010125228</v>
      </c>
      <c r="Z83" s="48">
        <f>(G83*B83+G83*D83+J83-G83*P83*0)/G83</f>
        <v>-34.444000000000003</v>
      </c>
      <c r="AA83" s="31" t="str">
        <f>IF(OR(C83&lt;G83,E83&lt;G83),"RĘCZNIE","OK")</f>
        <v>OK</v>
      </c>
      <c r="AB83" s="31"/>
      <c r="AC83" s="31"/>
      <c r="AD83" s="27">
        <v>0.7164166089500672</v>
      </c>
      <c r="AE83" s="27">
        <v>0.39851482196877014</v>
      </c>
      <c r="AF83" s="29">
        <v>0.49682327256425712</v>
      </c>
      <c r="AG83" s="29">
        <v>1.8077423788638052</v>
      </c>
      <c r="AH83" s="29">
        <v>0.16999690054561589</v>
      </c>
      <c r="AI83" s="32">
        <f t="shared" si="34"/>
        <v>28.465876681809679</v>
      </c>
      <c r="AJ83" s="32">
        <f t="shared" si="34"/>
        <v>103.57600875583552</v>
      </c>
      <c r="AK83" s="249">
        <f t="shared" si="34"/>
        <v>9.7401049315689914</v>
      </c>
    </row>
    <row r="84" spans="1:37">
      <c r="A84" s="49" t="s">
        <v>115</v>
      </c>
      <c r="B84" s="35">
        <v>-14.534000000000001</v>
      </c>
      <c r="C84" s="36">
        <v>7</v>
      </c>
      <c r="D84" s="35">
        <v>-14.534000000000001</v>
      </c>
      <c r="E84" s="36">
        <v>7</v>
      </c>
      <c r="F84" s="310" t="str">
        <f t="shared" si="32"/>
        <v>A</v>
      </c>
      <c r="G84" s="358">
        <v>2</v>
      </c>
      <c r="H84" s="358">
        <v>2</v>
      </c>
      <c r="I84" s="322">
        <v>1.1160000000000001</v>
      </c>
      <c r="J84" s="37">
        <v>-8.7127999999999997</v>
      </c>
      <c r="K84" s="37">
        <v>0</v>
      </c>
      <c r="L84" s="37">
        <f>IF(F84="A",P84,Q84)</f>
        <v>-27.1</v>
      </c>
      <c r="M84" s="37">
        <f>IF(F84="A",Q84,P84)</f>
        <v>-30.673286000000001</v>
      </c>
      <c r="N84" s="414"/>
      <c r="O84" s="414"/>
      <c r="P84" s="37">
        <v>-27.1</v>
      </c>
      <c r="Q84" s="37">
        <f>IF(AC84&lt;&gt;0,AC84,0.565*(Z84-P84)+P84)</f>
        <v>-30.673286000000001</v>
      </c>
      <c r="R84" s="305"/>
      <c r="S84" s="30" t="e">
        <f>SUMXMY2(P84:Q84,W84:X84)+SUMXMY2(J84:K84,U84:V84)</f>
        <v>#DIV/0!</v>
      </c>
      <c r="T84" s="30" t="e">
        <f>AND(ABS(U84-$J84)&lt;0.0001,ABS(V84-K84)&lt;0.0001,ABS(W84-$P84)&lt;0.0001,IF(AC84&lt;0,TRUE,W84+0.0001&gt;=X84),Q84-0.0001&lt;=W84)</f>
        <v>#DIV/0!</v>
      </c>
      <c r="U84" s="31">
        <f>-(14.3998434*AD84*AE84/(I84^3)*(SIN(AF84)*SIN(AG84)*COS(AH84)-2*COS(AF84)*COS(AG84)))*G84</f>
        <v>-8.7127999999999997</v>
      </c>
      <c r="V84" s="31">
        <f>4.803*(I84-AD84*COS(AF84)-AE84*COS(AG84))</f>
        <v>1.3331002968186567E-16</v>
      </c>
      <c r="W84" s="31" t="e">
        <f>IF(F84="A",-14.3998434/AD84-14.3998434/AN84+14.3998434/$I84,-14.3998434/AE84-14.3998434/AM84+14.3998434/$I84)</f>
        <v>#DIV/0!</v>
      </c>
      <c r="X84" s="31" t="e">
        <f>IF(F84="A",-14.3998434/AE84-14.3998434/AM84+14.3998434/$I84,-14.3998434/AD84-14.3998434/AN84+14.3998434/$I84)</f>
        <v>#DIV/0!</v>
      </c>
      <c r="Y84" s="305">
        <f>-2*G84*6*4.803^2*AD84*AE84/I84^5*(SIN(AF84)*SIN(AG84)*COS(AH84)-2*COS(AF84)*COS(AG84))/10</f>
        <v>-13.448628781201464</v>
      </c>
      <c r="Z84" s="48">
        <f>(G84*B84+G84*D84+J84-G84*P84*0)/G84</f>
        <v>-33.424399999999999</v>
      </c>
      <c r="AA84" s="31" t="str">
        <f>IF(OR(C84&lt;G84,E84&lt;G84),"RĘCZNIE","OK")</f>
        <v>OK</v>
      </c>
      <c r="AB84" s="31"/>
      <c r="AC84" s="31"/>
      <c r="AD84" s="35">
        <v>1.2980029688470702</v>
      </c>
      <c r="AE84" s="35">
        <v>0.44559895648060677</v>
      </c>
      <c r="AF84" s="37">
        <v>0.38766423013964646</v>
      </c>
      <c r="AG84" s="37">
        <v>1.7642912052862412</v>
      </c>
      <c r="AH84" s="37">
        <v>0</v>
      </c>
      <c r="AI84" s="38">
        <f t="shared" si="34"/>
        <v>22.211524255189985</v>
      </c>
      <c r="AJ84" s="38">
        <f t="shared" si="34"/>
        <v>101.08643989495073</v>
      </c>
      <c r="AK84" s="250">
        <f t="shared" si="34"/>
        <v>0</v>
      </c>
    </row>
    <row r="85" spans="1:37" ht="15.75" thickBot="1">
      <c r="A85" s="50" t="s">
        <v>116</v>
      </c>
      <c r="B85" s="40">
        <v>-13.618</v>
      </c>
      <c r="C85" s="41">
        <v>8</v>
      </c>
      <c r="D85" s="40">
        <v>-13.618</v>
      </c>
      <c r="E85" s="41">
        <v>8</v>
      </c>
      <c r="F85" s="311" t="str">
        <f t="shared" si="32"/>
        <v>A</v>
      </c>
      <c r="G85" s="359">
        <v>2</v>
      </c>
      <c r="H85" s="359">
        <v>2</v>
      </c>
      <c r="I85" s="324">
        <v>1.123</v>
      </c>
      <c r="J85" s="42">
        <v>-6.6630000000000003</v>
      </c>
      <c r="K85" s="42">
        <v>0</v>
      </c>
      <c r="L85" s="42">
        <f>IF(F85="A",P85,Q85)</f>
        <v>-24.2</v>
      </c>
      <c r="M85" s="42">
        <f>IF(F85="A",Q85,P85)</f>
        <v>-27.7976375</v>
      </c>
      <c r="N85" s="416"/>
      <c r="O85" s="416"/>
      <c r="P85" s="42">
        <v>-24.2</v>
      </c>
      <c r="Q85" s="42">
        <f>IF(AC85&lt;&gt;0,AC85,0.565*(Z85-P85)+P85)</f>
        <v>-27.7976375</v>
      </c>
      <c r="R85" s="306"/>
      <c r="S85" s="43" t="e">
        <f>SUMXMY2(P85:Q85,W85:X85)+SUMXMY2(J85:K85,U85:V85)</f>
        <v>#DIV/0!</v>
      </c>
      <c r="T85" s="43" t="e">
        <f>AND(ABS(U85-$J85)&lt;0.0001,ABS(V85-K85)&lt;0.0001,ABS(W85-$P85)&lt;0.0001,IF(AC85&lt;0,TRUE,W85+0.0001&gt;=X85),Q85-0.0001&lt;=W85)</f>
        <v>#DIV/0!</v>
      </c>
      <c r="U85" s="44">
        <f>-(14.3998434*AD85*AE85/(I85^3)*(SIN(AF85)*SIN(AG85)*COS(AH85)-2*COS(AF85)*COS(AG85)))*G85</f>
        <v>-6.6630000000000011</v>
      </c>
      <c r="V85" s="44">
        <f>4.803*(I85-AD85*COS(AF85)-AE85*COS(AG85))</f>
        <v>5.9989513356839548E-16</v>
      </c>
      <c r="W85" s="44" t="e">
        <f>IF(F85="A",-14.3998434/AD85-14.3998434/AN85+14.3998434/$I85,-14.3998434/AE85-14.3998434/AM85+14.3998434/$I85)</f>
        <v>#DIV/0!</v>
      </c>
      <c r="X85" s="44" t="e">
        <f>IF(F85="A",-14.3998434/AE85-14.3998434/AM85+14.3998434/$I85,-14.3998434/AD85-14.3998434/AN85+14.3998434/$I85)</f>
        <v>#DIV/0!</v>
      </c>
      <c r="Y85" s="306">
        <f>-2*G85*6*4.803^2*AD85*AE85/I85^5*(SIN(AF85)*SIN(AG85)*COS(AH85)-2*COS(AF85)*COS(AG85))/10</f>
        <v>-10.156847948277711</v>
      </c>
      <c r="Z85" s="52">
        <f>(G85*B85+G85*D85+J85-G85*P85*0)/G85</f>
        <v>-30.567500000000003</v>
      </c>
      <c r="AA85" s="44" t="str">
        <f>IF(OR(C85&lt;G85,E85&lt;G85),"RĘCZNIE","OK")</f>
        <v>OK</v>
      </c>
      <c r="AB85" s="44"/>
      <c r="AC85" s="44"/>
      <c r="AD85" s="40">
        <v>1.2745312146312968</v>
      </c>
      <c r="AE85" s="40">
        <v>0.49522107871143489</v>
      </c>
      <c r="AF85" s="42">
        <v>0.45431956886134656</v>
      </c>
      <c r="AG85" s="42">
        <v>1.6157258654610491</v>
      </c>
      <c r="AH85" s="42">
        <v>0</v>
      </c>
      <c r="AI85" s="45">
        <f t="shared" si="34"/>
        <v>26.030593845958332</v>
      </c>
      <c r="AJ85" s="45">
        <f t="shared" si="34"/>
        <v>92.574272941040391</v>
      </c>
      <c r="AK85" s="251">
        <f t="shared" si="34"/>
        <v>0</v>
      </c>
    </row>
  </sheetData>
  <mergeCells count="22">
    <mergeCell ref="A78:A79"/>
    <mergeCell ref="A66:A67"/>
    <mergeCell ref="A68:A69"/>
    <mergeCell ref="A70:A71"/>
    <mergeCell ref="A72:A73"/>
    <mergeCell ref="A74:A75"/>
    <mergeCell ref="A76:A77"/>
    <mergeCell ref="G2:Q2"/>
    <mergeCell ref="S2:AC2"/>
    <mergeCell ref="AD2:AK2"/>
    <mergeCell ref="A51:A52"/>
    <mergeCell ref="A4:A5"/>
    <mergeCell ref="A8:A9"/>
    <mergeCell ref="A12:A15"/>
    <mergeCell ref="A16:A17"/>
    <mergeCell ref="A18:A19"/>
    <mergeCell ref="A21:A22"/>
    <mergeCell ref="A23:A24"/>
    <mergeCell ref="A28:A29"/>
    <mergeCell ref="A31:A32"/>
    <mergeCell ref="A34:A35"/>
    <mergeCell ref="A48:A50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30"/>
  <sheetViews>
    <sheetView zoomScale="145" zoomScaleNormal="145" zoomScalePageLayoutView="85" workbookViewId="0">
      <pane xSplit="6" ySplit="3" topLeftCell="H16" activePane="bottomRight" state="frozen"/>
      <selection pane="topRight" activeCell="G1" sqref="G1"/>
      <selection pane="bottomLeft" activeCell="A4" sqref="A4"/>
      <selection pane="bottomRight" activeCell="O18" sqref="O18"/>
    </sheetView>
  </sheetViews>
  <sheetFormatPr defaultRowHeight="15" outlineLevelCol="1"/>
  <cols>
    <col min="1" max="1" width="9.5703125" style="5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1" customWidth="1" outlineLevel="1"/>
    <col min="7" max="7" width="2.7109375" style="51" hidden="1" customWidth="1"/>
    <col min="8" max="8" width="8.42578125" style="51" bestFit="1" customWidth="1"/>
    <col min="9" max="9" width="6" style="53" customWidth="1" outlineLevel="1"/>
    <col min="10" max="10" width="6.7109375" style="51" bestFit="1" customWidth="1"/>
    <col min="11" max="11" width="7.5703125" style="51" bestFit="1" customWidth="1"/>
    <col min="12" max="12" width="7.5703125" style="352" bestFit="1" customWidth="1"/>
    <col min="13" max="13" width="7.140625" style="352" customWidth="1"/>
    <col min="14" max="14" width="6.5703125" style="51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1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1" customWidth="1" collapsed="1"/>
    <col min="28" max="30" width="7.7109375" style="1" hidden="1" customWidth="1" outlineLevel="1"/>
    <col min="31" max="31" width="7.7109375" style="51" customWidth="1" collapsed="1"/>
    <col min="32" max="33" width="7.7109375" style="51" customWidth="1"/>
    <col min="34" max="34" width="7.7109375" style="53" customWidth="1" collapsed="1"/>
    <col min="35" max="35" width="5.7109375" style="51" hidden="1" customWidth="1" outlineLevel="1"/>
    <col min="36" max="37" width="6" style="51" hidden="1" customWidth="1" outlineLevel="1"/>
    <col min="38" max="39" width="5.85546875" style="51" hidden="1" customWidth="1" outlineLevel="1"/>
    <col min="40" max="40" width="5.7109375" style="51" hidden="1" customWidth="1" outlineLevel="1"/>
    <col min="41" max="42" width="5.85546875" style="51" hidden="1" customWidth="1" outlineLevel="1"/>
    <col min="43" max="43" width="5.7109375" style="51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1" customFormat="1" ht="15.75" customHeight="1" thickBot="1">
      <c r="B1" s="10"/>
      <c r="C1" s="10"/>
      <c r="D1" s="10"/>
      <c r="E1" s="20"/>
      <c r="G1" s="10"/>
      <c r="H1" s="10"/>
      <c r="I1" s="10"/>
      <c r="J1" s="10"/>
      <c r="K1" s="10"/>
      <c r="L1" s="10"/>
      <c r="M1" s="10"/>
      <c r="N1" s="10"/>
      <c r="O1" s="1"/>
      <c r="P1" s="9">
        <f>SUM(P4:P27)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396" t="e">
        <f ca="1">SUMXMY2(BA4:BA27,BB4:BB27)*10000</f>
        <v>#DIV/0!</v>
      </c>
    </row>
    <row r="2" spans="1:58" s="51" customFormat="1" ht="18.75" thickBot="1">
      <c r="A2" s="5" t="s">
        <v>135</v>
      </c>
      <c r="B2" s="18" t="s">
        <v>61</v>
      </c>
      <c r="C2" s="19"/>
      <c r="D2" s="19"/>
      <c r="E2" s="19"/>
      <c r="F2" s="19"/>
      <c r="G2" s="548" t="s">
        <v>72</v>
      </c>
      <c r="H2" s="524"/>
      <c r="I2" s="524"/>
      <c r="J2" s="524"/>
      <c r="K2" s="524"/>
      <c r="L2" s="524"/>
      <c r="M2" s="524"/>
      <c r="N2" s="524"/>
      <c r="O2" s="549"/>
      <c r="P2" s="526" t="s">
        <v>71</v>
      </c>
      <c r="Q2" s="527"/>
      <c r="R2" s="527"/>
      <c r="S2" s="527"/>
      <c r="T2" s="527"/>
      <c r="U2" s="527"/>
      <c r="V2" s="527"/>
      <c r="W2" s="527"/>
      <c r="X2" s="527"/>
      <c r="Y2" s="528"/>
      <c r="Z2" s="546" t="s">
        <v>62</v>
      </c>
      <c r="AA2" s="524"/>
      <c r="AB2" s="524"/>
      <c r="AC2" s="524"/>
      <c r="AD2" s="524"/>
      <c r="AE2" s="524"/>
      <c r="AF2" s="524"/>
      <c r="AG2" s="524"/>
      <c r="AH2" s="547"/>
      <c r="AI2" s="550" t="s">
        <v>70</v>
      </c>
      <c r="AJ2" s="551"/>
      <c r="AK2" s="551"/>
      <c r="AL2" s="552" t="s">
        <v>63</v>
      </c>
      <c r="AM2" s="552"/>
      <c r="AN2" s="552"/>
      <c r="AO2" s="552"/>
      <c r="AP2" s="552"/>
      <c r="AQ2" s="553"/>
      <c r="AR2" s="3"/>
      <c r="AS2" s="3"/>
      <c r="AT2" s="3"/>
      <c r="AU2" s="3"/>
      <c r="AV2" s="3"/>
      <c r="AW2" s="3"/>
      <c r="BC2" s="396"/>
    </row>
    <row r="3" spans="1:58" s="51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07" t="s">
        <v>40</v>
      </c>
      <c r="G3" s="240" t="s">
        <v>524</v>
      </c>
      <c r="H3" s="261" t="s">
        <v>523</v>
      </c>
      <c r="I3" s="4" t="s">
        <v>127</v>
      </c>
      <c r="J3" s="4" t="s">
        <v>522</v>
      </c>
      <c r="K3" s="4" t="s">
        <v>493</v>
      </c>
      <c r="L3" s="4" t="s">
        <v>31</v>
      </c>
      <c r="M3" s="4" t="s">
        <v>513</v>
      </c>
      <c r="N3" s="4" t="s">
        <v>38</v>
      </c>
      <c r="O3" s="4" t="s">
        <v>39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41</v>
      </c>
      <c r="U3" s="11" t="s">
        <v>73</v>
      </c>
      <c r="V3" s="11" t="s">
        <v>44</v>
      </c>
      <c r="W3" s="11" t="s">
        <v>4</v>
      </c>
      <c r="X3" s="17" t="s">
        <v>36</v>
      </c>
      <c r="Y3" s="11" t="s">
        <v>42</v>
      </c>
      <c r="Z3" s="4" t="s">
        <v>517</v>
      </c>
      <c r="AA3" s="4" t="s">
        <v>519</v>
      </c>
      <c r="AB3" s="4" t="s">
        <v>57</v>
      </c>
      <c r="AC3" s="4" t="s">
        <v>58</v>
      </c>
      <c r="AD3" s="4" t="s">
        <v>59</v>
      </c>
      <c r="AE3" s="4" t="s">
        <v>45</v>
      </c>
      <c r="AF3" s="4" t="s">
        <v>46</v>
      </c>
      <c r="AG3" s="4" t="s">
        <v>47</v>
      </c>
      <c r="AH3" s="14" t="s">
        <v>126</v>
      </c>
      <c r="AI3" s="261" t="s">
        <v>43</v>
      </c>
      <c r="AJ3" s="8" t="s">
        <v>55</v>
      </c>
      <c r="AK3" s="8" t="s">
        <v>56</v>
      </c>
      <c r="AL3" s="4" t="s">
        <v>64</v>
      </c>
      <c r="AM3" s="4" t="s">
        <v>65</v>
      </c>
      <c r="AN3" s="4" t="s">
        <v>66</v>
      </c>
      <c r="AO3" s="4" t="s">
        <v>67</v>
      </c>
      <c r="AP3" s="4" t="s">
        <v>68</v>
      </c>
      <c r="AQ3" s="14" t="s">
        <v>69</v>
      </c>
      <c r="AR3" s="3"/>
      <c r="AS3" s="3"/>
      <c r="AT3" s="3"/>
      <c r="AU3" s="3"/>
      <c r="AV3" s="3"/>
      <c r="AW3" s="545"/>
      <c r="AX3" s="545"/>
      <c r="AY3" s="545"/>
      <c r="BA3" s="393" t="s">
        <v>554</v>
      </c>
      <c r="BB3" s="393" t="s">
        <v>555</v>
      </c>
      <c r="BC3" s="397" t="s">
        <v>558</v>
      </c>
    </row>
    <row r="4" spans="1:58" s="51" customFormat="1" ht="15" customHeight="1">
      <c r="A4" s="362" t="s">
        <v>117</v>
      </c>
      <c r="B4" s="54">
        <v>-10.486689999999999</v>
      </c>
      <c r="C4" s="55">
        <v>3</v>
      </c>
      <c r="D4" s="54">
        <v>-13.59844</v>
      </c>
      <c r="E4" s="55">
        <v>1</v>
      </c>
      <c r="F4" s="310" t="str">
        <f t="shared" ref="F4:F12" si="0">IF(B4&gt;=D4,"A","B")</f>
        <v>A</v>
      </c>
      <c r="G4" s="358">
        <v>1</v>
      </c>
      <c r="H4" s="322">
        <v>1.421</v>
      </c>
      <c r="I4" s="35">
        <f t="shared" ref="I4:I14" si="1">RADIANS(AH4)</f>
        <v>1.6283921921107094</v>
      </c>
      <c r="J4" s="37">
        <v>-3.637</v>
      </c>
      <c r="K4" s="37">
        <v>0.57999999999999996</v>
      </c>
      <c r="L4" s="37">
        <f>IF(B4&gt;=D4,N4,O4)</f>
        <v>-9.8689999999999998</v>
      </c>
      <c r="M4" s="318">
        <f>IF(B4&gt;=D4,O4,N4)</f>
        <v>-13.5</v>
      </c>
      <c r="N4" s="37">
        <v>-9.8689999999999998</v>
      </c>
      <c r="O4" s="318">
        <f t="shared" ref="O4:O12" si="2">IF(Y4&lt;&gt;0,Y4,0.565*(V4-N4)+N4)</f>
        <v>-13.5</v>
      </c>
      <c r="P4" s="30">
        <f t="shared" ref="P4:P12" si="3">SUMXMY2(N4:O4,T4:U4)+SUMXMY2(J4:K4,R4:S4)</f>
        <v>7.1120740986331846E-30</v>
      </c>
      <c r="Q4" s="30" t="b">
        <f t="shared" ref="Q4:Q27" si="4">AND(ABS(R4-$J4)&lt;0.0001,ABS(S4-K4)&lt;0.0001,ABS(T4-$N4)&lt;0.0001,IF(Y4&lt;0,TRUE,O4+0.0001&gt;=V4),O4-0.0001&lt;=T4)</f>
        <v>1</v>
      </c>
      <c r="R4" s="31">
        <f t="shared" ref="R4:R27" si="5">-(14.3998434*Z4*AA4/(H4^3)*(SIN(AB4)*SIN(AC4)*COS(AD4)-2*COS(AB4)*COS(AC4)))*G4</f>
        <v>-3.6370000000000009</v>
      </c>
      <c r="S4" s="31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1">
        <f t="shared" ref="T4:T27" si="7">IF(F4="A",-14.3998434/Z4-14.3998434/AK4+14.3998434/$H4,-14.3998434/AA4-14.3998434/AJ4+14.3998434/$H4)</f>
        <v>-9.8690000000000015</v>
      </c>
      <c r="U4" s="31">
        <f t="shared" ref="U4:U27" si="8">IF(F4="A",-14.3998434/AA4-14.3998434/AJ4+14.3998434/$H4,-14.3998434/Z4-14.3998434/AK4+14.3998434/$H4)</f>
        <v>-13.500000000000002</v>
      </c>
      <c r="V4" s="31">
        <f t="shared" ref="V4:V27" si="9">(G4*B4+G4*D4+J4-G4*N4)/G4</f>
        <v>-17.85313</v>
      </c>
      <c r="W4" s="31" t="str">
        <f t="shared" ref="W4:W27" si="10">IF(OR(C4&lt;G4,E4&lt;G4),"RĘCZNIE","OK")</f>
        <v>OK</v>
      </c>
      <c r="X4" s="31" t="s">
        <v>37</v>
      </c>
      <c r="Y4" s="31">
        <v>-13.5</v>
      </c>
      <c r="Z4" s="35">
        <v>1.2382462047001737</v>
      </c>
      <c r="AA4" s="35">
        <v>1.5041421267114206</v>
      </c>
      <c r="AB4" s="37">
        <v>1.4008842637842565</v>
      </c>
      <c r="AC4" s="37">
        <v>0.71323992756191945</v>
      </c>
      <c r="AD4" s="37">
        <v>0</v>
      </c>
      <c r="AE4" s="38">
        <f t="shared" ref="AE4:AG12" si="11">DEGREES(AB4)</f>
        <v>80.264755901129419</v>
      </c>
      <c r="AF4" s="38">
        <f t="shared" si="11"/>
        <v>40.865637629514545</v>
      </c>
      <c r="AG4" s="38">
        <f t="shared" si="11"/>
        <v>0</v>
      </c>
      <c r="AH4" s="250">
        <v>93.3</v>
      </c>
      <c r="AI4" s="322">
        <f t="shared" ref="AI4:AI13" si="12">SUMXMY2(AL4:AN4,AO4:AQ4)^0.5</f>
        <v>2.2058017631942439</v>
      </c>
      <c r="AJ4" s="35">
        <f t="shared" ref="AJ4:AJ13" si="13">SUMSQ(AO4:AQ4)^0.5</f>
        <v>1.0241608011911232</v>
      </c>
      <c r="AK4" s="35">
        <f t="shared" ref="AK4:AK27" si="14">SQRT((H4-AL4)^2+AM4^2+AN4^2)</f>
        <v>1.7197182281042733</v>
      </c>
      <c r="AL4" s="37">
        <f t="shared" ref="AL4:AL13" si="15">Z4*COS(AB4)</f>
        <v>0.20938208282205598</v>
      </c>
      <c r="AM4" s="37">
        <f t="shared" ref="AM4:AM13" si="16">Z4*SIN(AB4)</f>
        <v>1.2204150141847165</v>
      </c>
      <c r="AN4" s="37">
        <v>0</v>
      </c>
      <c r="AO4" s="37">
        <f t="shared" ref="AO4:AO27" si="17">H4-AA4*COS(AC4)</f>
        <v>0.28349852545689247</v>
      </c>
      <c r="AP4" s="37">
        <f t="shared" ref="AP4:AP13" si="18">-AA4*SIN(AC4)*COS(AD4)</f>
        <v>-0.98414121586295289</v>
      </c>
      <c r="AQ4" s="39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394" t="str">
        <f ca="1">Rotation!BA114</f>
        <v>-</v>
      </c>
      <c r="BB4" s="394" t="str">
        <f ca="1">Rotation!BB114</f>
        <v>-</v>
      </c>
      <c r="BC4" s="394">
        <v>0.60595643680310551</v>
      </c>
      <c r="BD4" s="51" t="e">
        <f ca="1">N(ROUND(BA4,3)=ROUND(BB4,3))</f>
        <v>#VALUE!</v>
      </c>
      <c r="BF4" s="394"/>
    </row>
    <row r="5" spans="1:58" s="51" customFormat="1" ht="15" customHeight="1">
      <c r="A5" s="314" t="s">
        <v>118</v>
      </c>
      <c r="B5" s="54">
        <v>-10.486689999999999</v>
      </c>
      <c r="C5" s="55">
        <v>3</v>
      </c>
      <c r="D5" s="54">
        <v>-17.420000000000002</v>
      </c>
      <c r="E5" s="55">
        <v>5</v>
      </c>
      <c r="F5" s="310" t="str">
        <f t="shared" si="0"/>
        <v>A</v>
      </c>
      <c r="G5" s="358">
        <v>1</v>
      </c>
      <c r="H5" s="322">
        <v>1.56</v>
      </c>
      <c r="I5" s="35">
        <f t="shared" si="1"/>
        <v>1.6807520696705394</v>
      </c>
      <c r="J5" s="37">
        <v>-5.69</v>
      </c>
      <c r="K5" s="37">
        <v>1.03</v>
      </c>
      <c r="L5" s="37">
        <f t="shared" ref="L5:L27" si="26">IF(B5&gt;=D5,N5,O5)</f>
        <v>-11.38</v>
      </c>
      <c r="M5" s="37">
        <f t="shared" ref="M5:M27" si="27">IF(B5&gt;=D5,O5,N5)</f>
        <v>-17.502729850000001</v>
      </c>
      <c r="N5" s="37">
        <v>-11.38</v>
      </c>
      <c r="O5" s="37">
        <f t="shared" si="2"/>
        <v>-17.502729850000001</v>
      </c>
      <c r="P5" s="30">
        <f t="shared" si="3"/>
        <v>1.778277328377996E-12</v>
      </c>
      <c r="Q5" s="30" t="b">
        <f t="shared" si="4"/>
        <v>1</v>
      </c>
      <c r="R5" s="31">
        <f t="shared" si="5"/>
        <v>-5.6899990608916609</v>
      </c>
      <c r="S5" s="31">
        <f t="shared" si="6"/>
        <v>1.0300007433885623</v>
      </c>
      <c r="T5" s="31">
        <f t="shared" si="7"/>
        <v>-11.380000510293941</v>
      </c>
      <c r="U5" s="31">
        <f t="shared" si="8"/>
        <v>-17.502730138663118</v>
      </c>
      <c r="V5" s="31">
        <f t="shared" si="9"/>
        <v>-22.21669</v>
      </c>
      <c r="W5" s="31" t="str">
        <f t="shared" si="10"/>
        <v>OK</v>
      </c>
      <c r="X5" s="31"/>
      <c r="Y5" s="31"/>
      <c r="Z5" s="35">
        <v>2.0902876418773548</v>
      </c>
      <c r="AA5" s="35">
        <v>0.72954351639508908</v>
      </c>
      <c r="AB5" s="37">
        <v>0.50689807835154121</v>
      </c>
      <c r="AC5" s="37">
        <v>2.1635971153457882</v>
      </c>
      <c r="AD5" s="37">
        <v>1.5537802684862185</v>
      </c>
      <c r="AE5" s="38">
        <f t="shared" si="11"/>
        <v>29.043120532835033</v>
      </c>
      <c r="AF5" s="38">
        <f t="shared" si="11"/>
        <v>123.96498327599322</v>
      </c>
      <c r="AG5" s="38">
        <f>DEGREES(AD5)</f>
        <v>89.025051674964232</v>
      </c>
      <c r="AH5" s="250">
        <v>96.3</v>
      </c>
      <c r="AI5" s="322">
        <f t="shared" si="12"/>
        <v>1.1984968146184674</v>
      </c>
      <c r="AJ5" s="35">
        <f t="shared" si="13"/>
        <v>2.0585192658620244</v>
      </c>
      <c r="AK5" s="35">
        <f t="shared" si="14"/>
        <v>1.0494181604668233</v>
      </c>
      <c r="AL5" s="37">
        <f t="shared" si="15"/>
        <v>1.8274435738037247</v>
      </c>
      <c r="AM5" s="37">
        <f t="shared" si="16"/>
        <v>1.0147671705118684</v>
      </c>
      <c r="AN5" s="37">
        <v>0</v>
      </c>
      <c r="AO5" s="37">
        <f t="shared" si="17"/>
        <v>1.9675858415419925</v>
      </c>
      <c r="AP5" s="37">
        <f t="shared" si="18"/>
        <v>-1.0295378887734477E-2</v>
      </c>
      <c r="AQ5" s="39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394" t="str">
        <f ca="1">Rotation!BA115</f>
        <v>-</v>
      </c>
      <c r="BB5" s="394" t="str">
        <f ca="1">Rotation!BB115</f>
        <v>-</v>
      </c>
      <c r="BC5" s="394">
        <v>0.73771660950808904</v>
      </c>
      <c r="BD5" s="391" t="e">
        <f t="shared" ref="BD5:BD27" ca="1" si="28">N(ROUND(BA5,3)=ROUND(BB5,3))</f>
        <v>#VALUE!</v>
      </c>
      <c r="BE5" s="391"/>
      <c r="BF5" s="391"/>
    </row>
    <row r="6" spans="1:58" s="51" customFormat="1" ht="15" customHeight="1">
      <c r="A6" s="314" t="s">
        <v>119</v>
      </c>
      <c r="B6" s="54">
        <v>-10.486689999999999</v>
      </c>
      <c r="C6" s="55">
        <v>3</v>
      </c>
      <c r="D6" s="54">
        <v>-12.967639999999999</v>
      </c>
      <c r="E6" s="55">
        <v>5</v>
      </c>
      <c r="F6" s="310" t="str">
        <f>IF(B6&gt;=D6,"A","B")</f>
        <v>A</v>
      </c>
      <c r="G6" s="358">
        <v>1</v>
      </c>
      <c r="H6" s="322">
        <v>2.0430000000000001</v>
      </c>
      <c r="I6" s="35">
        <f t="shared" si="1"/>
        <v>1.7470745812463238</v>
      </c>
      <c r="J6" s="37">
        <v>-3.69</v>
      </c>
      <c r="K6" s="37">
        <v>0.78</v>
      </c>
      <c r="L6" s="37">
        <f t="shared" si="26"/>
        <v>-9.9</v>
      </c>
      <c r="M6" s="37">
        <f t="shared" si="27"/>
        <v>-14.049546449999998</v>
      </c>
      <c r="N6" s="37">
        <v>-9.9</v>
      </c>
      <c r="O6" s="37">
        <f>IF(Y6&lt;&gt;0,Y6,0.565*(V6-N6)+N6)</f>
        <v>-14.049546449999998</v>
      </c>
      <c r="P6" s="30">
        <f t="shared" si="3"/>
        <v>6.368154334920731E-11</v>
      </c>
      <c r="Q6" s="30" t="b">
        <f t="shared" si="4"/>
        <v>1</v>
      </c>
      <c r="R6" s="31">
        <f t="shared" si="5"/>
        <v>-3.6900046018010673</v>
      </c>
      <c r="S6" s="31">
        <f t="shared" si="6"/>
        <v>0.78000651724332215</v>
      </c>
      <c r="T6" s="31">
        <f t="shared" si="7"/>
        <v>-9.9000001081366573</v>
      </c>
      <c r="U6" s="31">
        <f t="shared" si="8"/>
        <v>-14.04954658717226</v>
      </c>
      <c r="V6" s="31">
        <f t="shared" si="9"/>
        <v>-17.244329999999998</v>
      </c>
      <c r="W6" s="31" t="str">
        <f t="shared" si="10"/>
        <v>OK</v>
      </c>
      <c r="X6" s="31"/>
      <c r="Y6" s="31"/>
      <c r="Z6" s="35">
        <v>2.5533464871594971</v>
      </c>
      <c r="AA6" s="35">
        <v>0.93869929721033152</v>
      </c>
      <c r="AB6" s="37">
        <v>0.5164944245161347</v>
      </c>
      <c r="AC6" s="37">
        <v>1.8889520837101619</v>
      </c>
      <c r="AD6" s="37">
        <v>0.6700092062654609</v>
      </c>
      <c r="AE6" s="38">
        <f>DEGREES(AB6)</f>
        <v>29.592950666812794</v>
      </c>
      <c r="AF6" s="38">
        <f>DEGREES(AC6)</f>
        <v>108.22898209903485</v>
      </c>
      <c r="AG6" s="38">
        <f>DEGREES(AD6)</f>
        <v>38.388699753921145</v>
      </c>
      <c r="AH6" s="250">
        <v>100.1</v>
      </c>
      <c r="AI6" s="322">
        <f>SUMXMY2(AL6:AN6,AO6:AQ6)^0.5</f>
        <v>2.0398051985814734</v>
      </c>
      <c r="AJ6" s="35">
        <f>SUMSQ(AO6:AQ6)^0.5</f>
        <v>2.5009631709859477</v>
      </c>
      <c r="AK6" s="35">
        <f t="shared" si="14"/>
        <v>1.2733324587606043</v>
      </c>
      <c r="AL6" s="37">
        <f t="shared" si="15"/>
        <v>2.2202769782076404</v>
      </c>
      <c r="AM6" s="37">
        <f t="shared" si="16"/>
        <v>1.2609315697256904</v>
      </c>
      <c r="AN6" s="37">
        <v>0</v>
      </c>
      <c r="AO6" s="37">
        <f t="shared" si="17"/>
        <v>2.3366396015773168</v>
      </c>
      <c r="AP6" s="37">
        <f t="shared" si="18"/>
        <v>-0.69884220994100066</v>
      </c>
      <c r="AQ6" s="39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394" t="str">
        <f ca="1">Rotation!BA116</f>
        <v>-</v>
      </c>
      <c r="BB6" s="394" t="str">
        <f ca="1">Rotation!BB116</f>
        <v>-</v>
      </c>
      <c r="BC6" s="394">
        <v>0.66667579687402967</v>
      </c>
      <c r="BD6" s="391" t="e">
        <f t="shared" ca="1" si="28"/>
        <v>#VALUE!</v>
      </c>
      <c r="BE6" s="391"/>
      <c r="BF6" s="391"/>
    </row>
    <row r="7" spans="1:58" s="51" customFormat="1" ht="15" customHeight="1">
      <c r="A7" s="314" t="s">
        <v>120</v>
      </c>
      <c r="B7" s="54">
        <v>-10.486689999999999</v>
      </c>
      <c r="C7" s="55">
        <v>3</v>
      </c>
      <c r="D7" s="54">
        <v>-11.81381</v>
      </c>
      <c r="E7" s="55">
        <v>5</v>
      </c>
      <c r="F7" s="310" t="str">
        <f t="shared" si="0"/>
        <v>A</v>
      </c>
      <c r="G7" s="358">
        <v>1</v>
      </c>
      <c r="H7" s="322">
        <v>2.2200000000000002</v>
      </c>
      <c r="I7" s="35">
        <f t="shared" si="1"/>
        <v>1.7627825445142729</v>
      </c>
      <c r="J7" s="37">
        <v>-2.4</v>
      </c>
      <c r="K7" s="37">
        <v>0.61</v>
      </c>
      <c r="L7" s="37">
        <f t="shared" si="26"/>
        <v>-9.35</v>
      </c>
      <c r="M7" s="37">
        <f t="shared" si="27"/>
        <v>-12.740282499999999</v>
      </c>
      <c r="N7" s="37">
        <v>-9.35</v>
      </c>
      <c r="O7" s="37">
        <f t="shared" si="2"/>
        <v>-12.740282499999999</v>
      </c>
      <c r="P7" s="30">
        <f t="shared" si="3"/>
        <v>6.6138257858620102E-12</v>
      </c>
      <c r="Q7" s="30" t="b">
        <f t="shared" si="4"/>
        <v>1</v>
      </c>
      <c r="R7" s="31">
        <f t="shared" si="5"/>
        <v>-2.4000017053978748</v>
      </c>
      <c r="S7" s="31">
        <f t="shared" si="6"/>
        <v>0.6099980981280807</v>
      </c>
      <c r="T7" s="31">
        <f t="shared" si="7"/>
        <v>-9.3499997240900363</v>
      </c>
      <c r="U7" s="31">
        <f t="shared" si="8"/>
        <v>-12.74028261045709</v>
      </c>
      <c r="V7" s="31">
        <f t="shared" si="9"/>
        <v>-15.350499999999998</v>
      </c>
      <c r="W7" s="31" t="str">
        <f t="shared" si="10"/>
        <v>OK</v>
      </c>
      <c r="X7" s="31"/>
      <c r="Y7" s="31"/>
      <c r="Z7" s="35">
        <v>2.7993028456434841</v>
      </c>
      <c r="AA7" s="35">
        <v>1.0533172016918391</v>
      </c>
      <c r="AB7" s="37">
        <v>0.49266980850137637</v>
      </c>
      <c r="AC7" s="37">
        <v>1.7167070724598985</v>
      </c>
      <c r="AD7" s="37">
        <v>0.68550156977412791</v>
      </c>
      <c r="AE7" s="38">
        <f t="shared" si="11"/>
        <v>28.227900720647352</v>
      </c>
      <c r="AF7" s="38">
        <f t="shared" si="11"/>
        <v>98.360069912211387</v>
      </c>
      <c r="AG7" s="38">
        <f t="shared" si="11"/>
        <v>39.276346797650248</v>
      </c>
      <c r="AH7" s="250">
        <v>101</v>
      </c>
      <c r="AI7" s="322">
        <f t="shared" si="12"/>
        <v>2.2324700045080954</v>
      </c>
      <c r="AJ7" s="35">
        <f t="shared" si="13"/>
        <v>2.5918802644240202</v>
      </c>
      <c r="AK7" s="35">
        <f t="shared" si="14"/>
        <v>1.346744672734983</v>
      </c>
      <c r="AL7" s="37">
        <f t="shared" si="15"/>
        <v>2.4663908126323539</v>
      </c>
      <c r="AM7" s="37">
        <f t="shared" si="16"/>
        <v>1.3240138900292644</v>
      </c>
      <c r="AN7" s="37">
        <v>0</v>
      </c>
      <c r="AO7" s="37">
        <f t="shared" si="17"/>
        <v>2.3731455355249556</v>
      </c>
      <c r="AP7" s="37">
        <f t="shared" si="18"/>
        <v>-0.80671030043317693</v>
      </c>
      <c r="AQ7" s="39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394" t="str">
        <f ca="1">Rotation!BA117</f>
        <v>-</v>
      </c>
      <c r="BB7" s="394" t="str">
        <f ca="1">Rotation!BB117</f>
        <v>-</v>
      </c>
      <c r="BC7" s="394">
        <v>0.61746551220424728</v>
      </c>
      <c r="BD7" s="391" t="e">
        <f t="shared" ca="1" si="28"/>
        <v>#VALUE!</v>
      </c>
      <c r="BE7" s="391"/>
      <c r="BF7" s="391"/>
    </row>
    <row r="8" spans="1:58" s="51" customFormat="1" ht="15" customHeight="1">
      <c r="A8" s="314" t="s">
        <v>121</v>
      </c>
      <c r="B8" s="54">
        <v>-9.7886000000000006</v>
      </c>
      <c r="C8" s="55">
        <v>3</v>
      </c>
      <c r="D8" s="54">
        <v>-13.598000000000001</v>
      </c>
      <c r="E8" s="55">
        <v>1</v>
      </c>
      <c r="F8" s="310" t="str">
        <f t="shared" si="0"/>
        <v>A</v>
      </c>
      <c r="G8" s="358">
        <v>1</v>
      </c>
      <c r="H8" s="322">
        <v>1.5189999999999999</v>
      </c>
      <c r="I8" s="35">
        <f t="shared" si="1"/>
        <v>1.6022122533307945</v>
      </c>
      <c r="J8" s="37">
        <v>-3.3079999999999998</v>
      </c>
      <c r="K8" s="37">
        <v>0.2</v>
      </c>
      <c r="L8" s="37">
        <f t="shared" si="26"/>
        <v>-9.89</v>
      </c>
      <c r="M8" s="37">
        <f t="shared" si="27"/>
        <v>-13.796749</v>
      </c>
      <c r="N8" s="37">
        <v>-9.89</v>
      </c>
      <c r="O8" s="37">
        <f t="shared" si="2"/>
        <v>-13.796749</v>
      </c>
      <c r="P8" s="30">
        <f t="shared" si="3"/>
        <v>1.2967311192120149E-13</v>
      </c>
      <c r="Q8" s="30" t="b">
        <f t="shared" si="4"/>
        <v>1</v>
      </c>
      <c r="R8" s="31">
        <f t="shared" si="5"/>
        <v>-3.3079999146576813</v>
      </c>
      <c r="S8" s="31">
        <f t="shared" si="6"/>
        <v>0.20000013168347697</v>
      </c>
      <c r="T8" s="31">
        <f t="shared" si="7"/>
        <v>-9.8899999617085257</v>
      </c>
      <c r="U8" s="31">
        <f t="shared" si="8"/>
        <v>-13.796748678156831</v>
      </c>
      <c r="V8" s="31">
        <f t="shared" si="9"/>
        <v>-16.804600000000001</v>
      </c>
      <c r="W8" s="31" t="str">
        <f t="shared" si="10"/>
        <v>OK</v>
      </c>
      <c r="X8" s="31"/>
      <c r="Y8" s="31"/>
      <c r="Z8" s="35">
        <v>1.8579644404223616</v>
      </c>
      <c r="AA8" s="35">
        <v>0.96875449179322615</v>
      </c>
      <c r="AB8" s="37">
        <v>0.72535641363639736</v>
      </c>
      <c r="AC8" s="37">
        <v>1.4633178085985465</v>
      </c>
      <c r="AD8" s="37">
        <v>0.39860070613104825</v>
      </c>
      <c r="AE8" s="38">
        <f t="shared" si="11"/>
        <v>41.55986114411116</v>
      </c>
      <c r="AF8" s="38">
        <f t="shared" si="11"/>
        <v>83.841934519029124</v>
      </c>
      <c r="AG8" s="38">
        <f t="shared" si="11"/>
        <v>22.838138172243461</v>
      </c>
      <c r="AH8" s="250">
        <v>91.8</v>
      </c>
      <c r="AI8" s="322">
        <f t="shared" si="12"/>
        <v>2.153082273746922</v>
      </c>
      <c r="AJ8" s="35">
        <f t="shared" si="13"/>
        <v>1.7117644253081483</v>
      </c>
      <c r="AK8" s="35">
        <f t="shared" si="14"/>
        <v>1.2392841638950174</v>
      </c>
      <c r="AL8" s="37">
        <f t="shared" si="15"/>
        <v>1.3902460905177774</v>
      </c>
      <c r="AM8" s="37">
        <f t="shared" si="16"/>
        <v>1.2325776525939516</v>
      </c>
      <c r="AN8" s="37">
        <v>0</v>
      </c>
      <c r="AO8" s="37">
        <f t="shared" si="17"/>
        <v>1.4150800468666833</v>
      </c>
      <c r="AP8" s="37">
        <f t="shared" si="18"/>
        <v>-0.88765724786014866</v>
      </c>
      <c r="AQ8" s="39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394" t="str">
        <f ca="1">Rotation!BA118</f>
        <v>-</v>
      </c>
      <c r="BB8" s="394" t="str">
        <f ca="1">Rotation!BB118</f>
        <v>-</v>
      </c>
      <c r="BC8" s="394">
        <v>0.62087609036832347</v>
      </c>
      <c r="BD8" s="391" t="e">
        <f t="shared" ca="1" si="28"/>
        <v>#VALUE!</v>
      </c>
      <c r="BE8" s="391"/>
      <c r="BF8" s="391"/>
    </row>
    <row r="9" spans="1:58" s="51" customFormat="1" ht="15" customHeight="1">
      <c r="A9" s="314" t="s">
        <v>122</v>
      </c>
      <c r="B9" s="54">
        <v>-10.486689999999999</v>
      </c>
      <c r="C9" s="55">
        <v>3</v>
      </c>
      <c r="D9" s="54">
        <v>-10.45126</v>
      </c>
      <c r="E9" s="55">
        <v>5</v>
      </c>
      <c r="F9" s="310" t="str">
        <f t="shared" si="0"/>
        <v>B</v>
      </c>
      <c r="G9" s="358">
        <v>1</v>
      </c>
      <c r="H9" s="322">
        <v>2.4300000000000002</v>
      </c>
      <c r="I9" s="35">
        <f t="shared" si="1"/>
        <v>1.7802358370342162</v>
      </c>
      <c r="J9" s="37">
        <v>-2.2490000000000001</v>
      </c>
      <c r="K9" s="37">
        <v>0</v>
      </c>
      <c r="L9" s="37">
        <f t="shared" si="26"/>
        <v>-11.911126749999999</v>
      </c>
      <c r="M9" s="37">
        <f t="shared" si="27"/>
        <v>-9.15</v>
      </c>
      <c r="N9" s="37">
        <v>-9.15</v>
      </c>
      <c r="O9" s="37">
        <f t="shared" si="2"/>
        <v>-11.911126749999999</v>
      </c>
      <c r="P9" s="30">
        <f t="shared" si="3"/>
        <v>6.5476467683967711E-12</v>
      </c>
      <c r="Q9" s="30" t="b">
        <f t="shared" si="4"/>
        <v>1</v>
      </c>
      <c r="R9" s="31">
        <f t="shared" si="5"/>
        <v>-2.2490000000109971</v>
      </c>
      <c r="S9" s="31">
        <f t="shared" si="6"/>
        <v>2.302917724042164E-6</v>
      </c>
      <c r="T9" s="31">
        <f t="shared" si="7"/>
        <v>-9.1500000000010715</v>
      </c>
      <c r="U9" s="31">
        <f t="shared" si="8"/>
        <v>-11.91112786544463</v>
      </c>
      <c r="V9" s="31">
        <f t="shared" si="9"/>
        <v>-14.036949999999999</v>
      </c>
      <c r="W9" s="31" t="str">
        <f t="shared" si="10"/>
        <v>OK</v>
      </c>
      <c r="X9" s="31"/>
      <c r="Y9" s="31"/>
      <c r="Z9" s="35">
        <v>2.876758434939918</v>
      </c>
      <c r="AA9" s="35">
        <v>1.4019803428543782</v>
      </c>
      <c r="AB9" s="37">
        <v>0.39187066522590158</v>
      </c>
      <c r="AC9" s="37">
        <v>1.7346470135694023</v>
      </c>
      <c r="AD9" s="37">
        <v>0.83052895673528304</v>
      </c>
      <c r="AE9" s="38">
        <f t="shared" si="11"/>
        <v>22.452535232428154</v>
      </c>
      <c r="AF9" s="38">
        <f t="shared" si="11"/>
        <v>99.387952822499201</v>
      </c>
      <c r="AG9" s="38">
        <f t="shared" si="11"/>
        <v>47.585803984335065</v>
      </c>
      <c r="AH9" s="250">
        <v>102</v>
      </c>
      <c r="AI9" s="322">
        <f t="shared" si="12"/>
        <v>2.2738509539917051</v>
      </c>
      <c r="AJ9" s="35">
        <f t="shared" si="13"/>
        <v>2.9969780136608195</v>
      </c>
      <c r="AK9" s="35">
        <f t="shared" si="14"/>
        <v>1.122233932899821</v>
      </c>
      <c r="AL9" s="37">
        <f t="shared" si="15"/>
        <v>2.658689319515672</v>
      </c>
      <c r="AM9" s="37">
        <f t="shared" si="16"/>
        <v>1.0986856671911485</v>
      </c>
      <c r="AN9" s="37">
        <v>0</v>
      </c>
      <c r="AO9" s="37">
        <f t="shared" si="17"/>
        <v>2.6586889573284509</v>
      </c>
      <c r="AP9" s="37">
        <f t="shared" si="18"/>
        <v>-0.93295006221958188</v>
      </c>
      <c r="AQ9" s="39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394" t="str">
        <f ca="1">Rotation!BA119</f>
        <v>-</v>
      </c>
      <c r="BB9" s="394" t="str">
        <f ca="1">Rotation!BB119</f>
        <v>-</v>
      </c>
      <c r="BC9" s="394">
        <v>0.38685067066883666</v>
      </c>
      <c r="BD9" s="391" t="e">
        <f t="shared" ca="1" si="28"/>
        <v>#VALUE!</v>
      </c>
      <c r="BE9" s="391"/>
      <c r="BF9" s="391"/>
    </row>
    <row r="10" spans="1:58" s="51" customFormat="1" ht="15" customHeight="1">
      <c r="A10" s="314" t="s">
        <v>123</v>
      </c>
      <c r="B10" s="54">
        <v>-8.2980300000000007</v>
      </c>
      <c r="C10" s="55">
        <v>1</v>
      </c>
      <c r="D10" s="54">
        <v>-17.420000000000002</v>
      </c>
      <c r="E10" s="55">
        <v>5</v>
      </c>
      <c r="F10" s="310" t="str">
        <f t="shared" si="0"/>
        <v>A</v>
      </c>
      <c r="G10" s="358">
        <v>1</v>
      </c>
      <c r="H10" s="322">
        <v>1.3069999999999999</v>
      </c>
      <c r="I10" s="35">
        <f t="shared" si="1"/>
        <v>2.0943951023931953</v>
      </c>
      <c r="J10" s="37">
        <v>-5.81</v>
      </c>
      <c r="K10" s="37">
        <v>0</v>
      </c>
      <c r="L10" s="37">
        <f t="shared" si="26"/>
        <v>-15.7</v>
      </c>
      <c r="M10" s="37">
        <f>IF(B10&gt;=D10,O10,N10)</f>
        <v>-15.772336950000001</v>
      </c>
      <c r="N10" s="37">
        <v>-15.7</v>
      </c>
      <c r="O10" s="37">
        <f t="shared" si="2"/>
        <v>-15.772336950000001</v>
      </c>
      <c r="P10" s="30">
        <f t="shared" si="3"/>
        <v>7.2741254855962779E-14</v>
      </c>
      <c r="Q10" s="30" t="b">
        <f t="shared" si="4"/>
        <v>1</v>
      </c>
      <c r="R10" s="31">
        <f t="shared" si="5"/>
        <v>-5.8100000507575578</v>
      </c>
      <c r="S10" s="31">
        <f t="shared" si="6"/>
        <v>1.0121565669891203E-7</v>
      </c>
      <c r="T10" s="31">
        <f t="shared" si="7"/>
        <v>-15.69999999999985</v>
      </c>
      <c r="U10" s="31">
        <f t="shared" si="8"/>
        <v>-15.772337194786267</v>
      </c>
      <c r="V10" s="31">
        <f t="shared" si="9"/>
        <v>-15.828030000000002</v>
      </c>
      <c r="W10" s="31" t="str">
        <f t="shared" si="10"/>
        <v>OK</v>
      </c>
      <c r="X10" s="31"/>
      <c r="Y10" s="31"/>
      <c r="Z10" s="35">
        <v>0.7765641084075493</v>
      </c>
      <c r="AA10" s="35">
        <v>1.0001199241385021</v>
      </c>
      <c r="AB10" s="37">
        <v>1.9715007087723158</v>
      </c>
      <c r="AC10" s="37">
        <v>1.0245397767949163</v>
      </c>
      <c r="AD10" s="37">
        <v>0.28697255258305504</v>
      </c>
      <c r="AE10" s="38">
        <f t="shared" si="11"/>
        <v>112.95866991970412</v>
      </c>
      <c r="AF10" s="38">
        <f t="shared" si="11"/>
        <v>58.7018051536241</v>
      </c>
      <c r="AG10" s="38">
        <f t="shared" si="11"/>
        <v>16.442316099105145</v>
      </c>
      <c r="AH10" s="250">
        <v>120</v>
      </c>
      <c r="AI10" s="322">
        <f t="shared" si="12"/>
        <v>1.8980597821226308</v>
      </c>
      <c r="AJ10" s="35">
        <f t="shared" si="13"/>
        <v>1.1620556887260334</v>
      </c>
      <c r="AK10" s="35">
        <f t="shared" si="14"/>
        <v>1.7615654730570791</v>
      </c>
      <c r="AL10" s="37">
        <f t="shared" si="15"/>
        <v>-0.30291205103289931</v>
      </c>
      <c r="AM10" s="37">
        <f t="shared" si="16"/>
        <v>0.71504972121234633</v>
      </c>
      <c r="AN10" s="37">
        <v>0</v>
      </c>
      <c r="AO10" s="37">
        <f t="shared" si="17"/>
        <v>0.78744550919729606</v>
      </c>
      <c r="AP10" s="37">
        <f t="shared" si="18"/>
        <v>-0.81962987680179278</v>
      </c>
      <c r="AQ10" s="39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394" t="str">
        <f ca="1">Rotation!BA120</f>
        <v>-</v>
      </c>
      <c r="BB10" s="394" t="str">
        <f ca="1">Rotation!BB120</f>
        <v>-</v>
      </c>
      <c r="BC10" s="394">
        <v>0.41180376494464443</v>
      </c>
      <c r="BD10" s="391" t="e">
        <f t="shared" ca="1" si="28"/>
        <v>#VALUE!</v>
      </c>
      <c r="BE10" s="391"/>
      <c r="BF10" s="391"/>
    </row>
    <row r="11" spans="1:58" s="51" customFormat="1" ht="15" customHeight="1">
      <c r="A11" s="314" t="s">
        <v>124</v>
      </c>
      <c r="B11" s="54">
        <v>-14.534140000000001</v>
      </c>
      <c r="C11" s="55">
        <v>3</v>
      </c>
      <c r="D11" s="54">
        <v>-17.420000000000002</v>
      </c>
      <c r="E11" s="55">
        <v>5</v>
      </c>
      <c r="F11" s="310" t="str">
        <f t="shared" si="0"/>
        <v>A</v>
      </c>
      <c r="G11" s="358">
        <v>1</v>
      </c>
      <c r="H11" s="322">
        <v>1.37</v>
      </c>
      <c r="I11" s="35">
        <f t="shared" si="1"/>
        <v>1.7889624832941877</v>
      </c>
      <c r="J11" s="37">
        <v>-2.63</v>
      </c>
      <c r="K11" s="37">
        <v>0.23400000000000001</v>
      </c>
      <c r="L11" s="37">
        <f t="shared" si="26"/>
        <v>-12.94</v>
      </c>
      <c r="M11" s="37">
        <f t="shared" si="27"/>
        <v>-17.857839100000003</v>
      </c>
      <c r="N11" s="37">
        <v>-12.94</v>
      </c>
      <c r="O11" s="37">
        <f t="shared" si="2"/>
        <v>-17.857839100000003</v>
      </c>
      <c r="P11" s="30">
        <f t="shared" si="3"/>
        <v>2.1087980845137976E-14</v>
      </c>
      <c r="Q11" s="30" t="b">
        <f t="shared" si="4"/>
        <v>1</v>
      </c>
      <c r="R11" s="31">
        <f t="shared" si="5"/>
        <v>-2.6300000103234882</v>
      </c>
      <c r="S11" s="31">
        <f t="shared" si="6"/>
        <v>0.23399994839212221</v>
      </c>
      <c r="T11" s="31">
        <f t="shared" si="7"/>
        <v>-12.940000023992182</v>
      </c>
      <c r="U11" s="31">
        <f t="shared" si="8"/>
        <v>-17.857839233200636</v>
      </c>
      <c r="V11" s="31">
        <f t="shared" si="9"/>
        <v>-21.644140000000007</v>
      </c>
      <c r="W11" s="31" t="str">
        <f t="shared" si="10"/>
        <v>OK</v>
      </c>
      <c r="X11" s="31"/>
      <c r="Y11" s="31"/>
      <c r="Z11" s="35">
        <v>1.5682678828061611</v>
      </c>
      <c r="AA11" s="35">
        <v>0.77667952002841767</v>
      </c>
      <c r="AB11" s="37">
        <v>0.68859839825214775</v>
      </c>
      <c r="AC11" s="37">
        <v>1.4134155518284084</v>
      </c>
      <c r="AD11" s="37">
        <v>0</v>
      </c>
      <c r="AE11" s="38">
        <f t="shared" si="11"/>
        <v>39.45378199931671</v>
      </c>
      <c r="AF11" s="38">
        <f t="shared" si="11"/>
        <v>80.982745817922066</v>
      </c>
      <c r="AG11" s="38">
        <f t="shared" si="11"/>
        <v>0</v>
      </c>
      <c r="AH11" s="250">
        <v>102.5</v>
      </c>
      <c r="AI11" s="322">
        <f t="shared" si="12"/>
        <v>1.7640407317073852</v>
      </c>
      <c r="AJ11" s="35">
        <f t="shared" si="13"/>
        <v>1.4651244454393271</v>
      </c>
      <c r="AK11" s="35">
        <f t="shared" si="14"/>
        <v>1.0091818102836025</v>
      </c>
      <c r="AL11" s="37">
        <f t="shared" si="15"/>
        <v>1.2109183306693541</v>
      </c>
      <c r="AM11" s="37">
        <f t="shared" si="16"/>
        <v>0.99656457326671222</v>
      </c>
      <c r="AN11" s="37">
        <v>0</v>
      </c>
      <c r="AO11" s="37">
        <f t="shared" si="17"/>
        <v>1.2482695488293147</v>
      </c>
      <c r="AP11" s="37">
        <f t="shared" si="18"/>
        <v>-0.76708068290718578</v>
      </c>
      <c r="AQ11" s="39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394" t="str">
        <f ca="1">Rotation!BA121</f>
        <v>-</v>
      </c>
      <c r="BB11" s="394" t="str">
        <f ca="1">Rotation!BB121</f>
        <v>-</v>
      </c>
      <c r="BC11" s="394">
        <v>0.62794967246702793</v>
      </c>
      <c r="BD11" s="391" t="e">
        <f t="shared" ca="1" si="28"/>
        <v>#VALUE!</v>
      </c>
      <c r="BE11" s="391"/>
      <c r="BF11" s="391"/>
    </row>
    <row r="12" spans="1:58" s="51" customFormat="1" ht="15" customHeight="1">
      <c r="A12" s="537" t="s">
        <v>125</v>
      </c>
      <c r="B12" s="54">
        <v>-14.534140000000001</v>
      </c>
      <c r="C12" s="55">
        <v>3</v>
      </c>
      <c r="D12" s="54">
        <v>-13.598000000000001</v>
      </c>
      <c r="E12" s="55">
        <v>1</v>
      </c>
      <c r="F12" s="309" t="str">
        <f t="shared" si="0"/>
        <v>B</v>
      </c>
      <c r="G12" s="358">
        <v>1</v>
      </c>
      <c r="H12" s="322">
        <v>1.0149999999999999</v>
      </c>
      <c r="I12" s="35">
        <f t="shared" si="1"/>
        <v>1.8605209826259552</v>
      </c>
      <c r="J12" s="37">
        <v>-4.4640000000000004</v>
      </c>
      <c r="K12" s="37">
        <v>1.44</v>
      </c>
      <c r="L12" s="318">
        <f t="shared" si="26"/>
        <v>-15.8</v>
      </c>
      <c r="M12" s="37">
        <f t="shared" si="27"/>
        <v>-10.7</v>
      </c>
      <c r="N12" s="37">
        <v>-10.7</v>
      </c>
      <c r="O12" s="318">
        <f t="shared" si="2"/>
        <v>-15.8</v>
      </c>
      <c r="P12" s="30">
        <f t="shared" si="3"/>
        <v>9.6313240432811909E-13</v>
      </c>
      <c r="Q12" s="30" t="b">
        <f t="shared" si="4"/>
        <v>1</v>
      </c>
      <c r="R12" s="31">
        <f t="shared" si="5"/>
        <v>-4.4639993202520563</v>
      </c>
      <c r="S12" s="31">
        <f t="shared" si="6"/>
        <v>1.4399995390635085</v>
      </c>
      <c r="T12" s="31">
        <f t="shared" si="7"/>
        <v>-10.699999485109537</v>
      </c>
      <c r="U12" s="31">
        <f t="shared" si="8"/>
        <v>-15.800000153298726</v>
      </c>
      <c r="V12" s="31">
        <f t="shared" si="9"/>
        <v>-21.896139999999999</v>
      </c>
      <c r="W12" s="31" t="str">
        <f t="shared" si="10"/>
        <v>OK</v>
      </c>
      <c r="X12" s="31" t="s">
        <v>37</v>
      </c>
      <c r="Y12" s="31">
        <v>-15.8</v>
      </c>
      <c r="Z12" s="35">
        <v>0.88162183767400171</v>
      </c>
      <c r="AA12" s="35">
        <v>1.1153388884593118</v>
      </c>
      <c r="AB12" s="37">
        <v>1.1718526751311691</v>
      </c>
      <c r="AC12" s="37">
        <v>1.1961562211105587</v>
      </c>
      <c r="AD12" s="37">
        <v>0.77282642704992099</v>
      </c>
      <c r="AE12" s="32">
        <f t="shared" si="11"/>
        <v>67.142212496131151</v>
      </c>
      <c r="AF12" s="32">
        <f t="shared" si="11"/>
        <v>68.534703107952325</v>
      </c>
      <c r="AG12" s="32">
        <f t="shared" si="11"/>
        <v>44.279692566135473</v>
      </c>
      <c r="AH12" s="249">
        <v>106.6</v>
      </c>
      <c r="AI12" s="323">
        <f t="shared" si="12"/>
        <v>1.7362900191101742</v>
      </c>
      <c r="AJ12" s="27">
        <f t="shared" si="13"/>
        <v>1.202361253323331</v>
      </c>
      <c r="AK12" s="27">
        <f t="shared" si="14"/>
        <v>1.0546491046287758</v>
      </c>
      <c r="AL12" s="29">
        <f t="shared" si="15"/>
        <v>0.34246173929527363</v>
      </c>
      <c r="AM12" s="29">
        <f t="shared" si="16"/>
        <v>0.81238969822526663</v>
      </c>
      <c r="AN12" s="29">
        <v>0</v>
      </c>
      <c r="AO12" s="29">
        <f t="shared" si="17"/>
        <v>0.60685554058305302</v>
      </c>
      <c r="AP12" s="29">
        <f t="shared" si="18"/>
        <v>-0.74313041684334658</v>
      </c>
      <c r="AQ12" s="33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394" t="str">
        <f ca="1">Rotation!BA122</f>
        <v>-</v>
      </c>
      <c r="BB12" s="394" t="str">
        <f ca="1">Rotation!BB122</f>
        <v>-</v>
      </c>
      <c r="BC12" s="394">
        <v>0.37987166420254331</v>
      </c>
      <c r="BD12" s="391" t="e">
        <f t="shared" ca="1" si="28"/>
        <v>#VALUE!</v>
      </c>
      <c r="BE12" s="391"/>
      <c r="BF12" s="391"/>
    </row>
    <row r="13" spans="1:58" s="51" customFormat="1" ht="15" customHeight="1">
      <c r="A13" s="538"/>
      <c r="B13" s="54">
        <v>-14.534140000000001</v>
      </c>
      <c r="C13" s="55">
        <v>3</v>
      </c>
      <c r="D13" s="54">
        <v>-13.598000000000001</v>
      </c>
      <c r="E13" s="55">
        <v>1</v>
      </c>
      <c r="F13" s="310" t="str">
        <f>IF(B13&gt;=D13,"A","B")</f>
        <v>B</v>
      </c>
      <c r="G13" s="358">
        <v>1</v>
      </c>
      <c r="H13" s="322">
        <v>1.012</v>
      </c>
      <c r="I13" s="35">
        <f t="shared" si="1"/>
        <v>1.8617427131023514</v>
      </c>
      <c r="J13" s="37">
        <v>-4.66</v>
      </c>
      <c r="K13" s="37">
        <v>1.47</v>
      </c>
      <c r="L13" s="318">
        <f t="shared" si="26"/>
        <v>-15.8</v>
      </c>
      <c r="M13" s="37">
        <f t="shared" si="27"/>
        <v>-10.7</v>
      </c>
      <c r="N13" s="37">
        <v>-10.7</v>
      </c>
      <c r="O13" s="318">
        <f>IF(Y13&lt;&gt;0,Y13,0.565*(V13-N13)+N13)</f>
        <v>-15.8</v>
      </c>
      <c r="P13" s="30">
        <f>SUMXMY2(N13:O13,T13:U13)+SUMXMY2(J13:K13,R13:S13)</f>
        <v>1.1817444767923115E-11</v>
      </c>
      <c r="Q13" s="30" t="b">
        <f t="shared" si="4"/>
        <v>1</v>
      </c>
      <c r="R13" s="31">
        <f t="shared" si="5"/>
        <v>-4.6599965677496575</v>
      </c>
      <c r="S13" s="31">
        <f t="shared" si="6"/>
        <v>1.4700000852304151</v>
      </c>
      <c r="T13" s="31">
        <f t="shared" si="7"/>
        <v>-10.699999854596618</v>
      </c>
      <c r="U13" s="31">
        <f t="shared" si="8"/>
        <v>-15.800000093252274</v>
      </c>
      <c r="V13" s="31">
        <f t="shared" si="9"/>
        <v>-22.092140000000004</v>
      </c>
      <c r="W13" s="31" t="str">
        <f t="shared" si="10"/>
        <v>OK</v>
      </c>
      <c r="X13" s="31" t="s">
        <v>37</v>
      </c>
      <c r="Y13" s="31">
        <v>-15.8</v>
      </c>
      <c r="Z13" s="35">
        <v>1.0796384064415174</v>
      </c>
      <c r="AA13" s="35">
        <v>0.98650636423585492</v>
      </c>
      <c r="AB13" s="37">
        <v>0.84798185710741247</v>
      </c>
      <c r="AC13" s="37">
        <v>1.5432419783589162</v>
      </c>
      <c r="AD13" s="37">
        <v>1.0829832418587089</v>
      </c>
      <c r="AE13" s="38">
        <f t="shared" ref="AE13:AG14" si="29">DEGREES(AB13)</f>
        <v>48.585781515920388</v>
      </c>
      <c r="AF13" s="38">
        <f t="shared" si="29"/>
        <v>88.421252127385429</v>
      </c>
      <c r="AG13" s="38">
        <f t="shared" si="29"/>
        <v>62.050369041899692</v>
      </c>
      <c r="AH13" s="250">
        <v>106.67</v>
      </c>
      <c r="AI13" s="241">
        <f t="shared" si="12"/>
        <v>1.5651594079146527</v>
      </c>
      <c r="AJ13" s="35">
        <f t="shared" si="13"/>
        <v>1.3936743906635123</v>
      </c>
      <c r="AK13" s="35">
        <f t="shared" si="14"/>
        <v>0.86270825043231891</v>
      </c>
      <c r="AL13" s="37">
        <f t="shared" si="15"/>
        <v>0.71417863799386694</v>
      </c>
      <c r="AM13" s="37">
        <f t="shared" si="16"/>
        <v>0.80967151468778031</v>
      </c>
      <c r="AN13" s="37">
        <v>0</v>
      </c>
      <c r="AO13" s="37">
        <f t="shared" si="17"/>
        <v>0.98482089946317541</v>
      </c>
      <c r="AP13" s="37">
        <f t="shared" si="18"/>
        <v>-0.46219526069808659</v>
      </c>
      <c r="AQ13" s="39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0">(AB13)*1000</f>
        <v>847.98185710741245</v>
      </c>
      <c r="AX13" s="16">
        <f t="shared" si="30"/>
        <v>1543.2419783589162</v>
      </c>
      <c r="AY13" s="16">
        <f t="shared" si="30"/>
        <v>1082.9832418587089</v>
      </c>
      <c r="BA13" s="394" t="str">
        <f ca="1">Rotation!BA123</f>
        <v>-</v>
      </c>
      <c r="BB13" s="394" t="str">
        <f ca="1">Rotation!BB123</f>
        <v>-</v>
      </c>
      <c r="BC13" s="394">
        <v>0.40267876542301556</v>
      </c>
      <c r="BD13" s="391" t="e">
        <f t="shared" ca="1" si="28"/>
        <v>#VALUE!</v>
      </c>
      <c r="BE13" s="391"/>
      <c r="BF13" s="391"/>
    </row>
    <row r="14" spans="1:58" s="352" customFormat="1" ht="15" customHeight="1">
      <c r="A14" s="539"/>
      <c r="B14" s="54">
        <v>-14.534140000000001</v>
      </c>
      <c r="C14" s="55">
        <v>3</v>
      </c>
      <c r="D14" s="54">
        <v>-13.598000000000001</v>
      </c>
      <c r="E14" s="55">
        <v>1</v>
      </c>
      <c r="F14" s="309" t="str">
        <f>IF(B14&gt;=D14,"A","B")</f>
        <v>B</v>
      </c>
      <c r="G14" s="358">
        <v>1</v>
      </c>
      <c r="H14" s="322">
        <v>1.0149999999999999</v>
      </c>
      <c r="I14" s="35">
        <f t="shared" si="1"/>
        <v>1.8605209826259552</v>
      </c>
      <c r="J14" s="37">
        <v>-4.4640000000000004</v>
      </c>
      <c r="K14" s="37">
        <v>1.44</v>
      </c>
      <c r="L14" s="318">
        <f t="shared" si="26"/>
        <v>-15.8</v>
      </c>
      <c r="M14" s="37">
        <f t="shared" si="27"/>
        <v>-10.7</v>
      </c>
      <c r="N14" s="37">
        <v>-10.7</v>
      </c>
      <c r="O14" s="318">
        <f>IF(Y14&lt;&gt;0,Y14,0.565*(V14-N14)+N14)</f>
        <v>-15.8</v>
      </c>
      <c r="P14" s="30">
        <f t="shared" ref="P14:P27" si="31">SUMXMY2(N14:O14,T14:U14)+SUMXMY2(J14:K14,R14:S14)</f>
        <v>9.4331913159987636E-13</v>
      </c>
      <c r="Q14" s="30" t="b">
        <f t="shared" si="4"/>
        <v>1</v>
      </c>
      <c r="R14" s="31">
        <f t="shared" si="5"/>
        <v>-4.4639993199752119</v>
      </c>
      <c r="S14" s="31">
        <f t="shared" si="6"/>
        <v>1.4399995390467362</v>
      </c>
      <c r="T14" s="31">
        <f t="shared" si="7"/>
        <v>-10.699999485006877</v>
      </c>
      <c r="U14" s="31">
        <f t="shared" si="8"/>
        <v>-15.80000005647647</v>
      </c>
      <c r="V14" s="31">
        <f t="shared" si="9"/>
        <v>-21.896139999999999</v>
      </c>
      <c r="W14" s="31" t="str">
        <f t="shared" si="10"/>
        <v>OK</v>
      </c>
      <c r="X14" s="31" t="s">
        <v>37</v>
      </c>
      <c r="Y14" s="31">
        <v>-15.8</v>
      </c>
      <c r="Z14" s="35">
        <v>0.88162189139324265</v>
      </c>
      <c r="AA14" s="35">
        <v>1.1153388404889677</v>
      </c>
      <c r="AB14" s="37">
        <v>1.1718525546231917</v>
      </c>
      <c r="AC14" s="37">
        <v>1.196156318616636</v>
      </c>
      <c r="AD14" s="37">
        <v>0.77282640618152332</v>
      </c>
      <c r="AE14" s="32">
        <f t="shared" si="29"/>
        <v>67.142205591532658</v>
      </c>
      <c r="AF14" s="32">
        <f t="shared" si="29"/>
        <v>68.534708694639022</v>
      </c>
      <c r="AG14" s="32">
        <f t="shared" si="29"/>
        <v>44.279691370464363</v>
      </c>
      <c r="AH14" s="249">
        <v>106.6</v>
      </c>
      <c r="AI14" s="323">
        <f>SUMXMY2(AL14:AN14,AO14:AQ14)^0.5</f>
        <v>1.7362900290390828</v>
      </c>
      <c r="AJ14" s="27">
        <f>SUMSQ(AO14:AQ14)^0.5</f>
        <v>1.2023613090816163</v>
      </c>
      <c r="AK14" s="27">
        <f t="shared" si="14"/>
        <v>1.054649035233312</v>
      </c>
      <c r="AL14" s="29">
        <f>Z14*COS(AB14)</f>
        <v>0.34246185806169582</v>
      </c>
      <c r="AM14" s="29">
        <f>Z14*SIN(AB14)</f>
        <v>0.81238970645665454</v>
      </c>
      <c r="AN14" s="29">
        <v>0</v>
      </c>
      <c r="AO14" s="29">
        <f t="shared" si="17"/>
        <v>0.60685565934639574</v>
      </c>
      <c r="AP14" s="29">
        <f>-AA14*SIN(AC14)*COS(AD14)</f>
        <v>-0.74313042849635713</v>
      </c>
      <c r="AQ14" s="33">
        <f>-AA14*SIN(AC14)*SIN(AD14)</f>
        <v>-0.72467654338920762</v>
      </c>
      <c r="AR14" s="3"/>
      <c r="AS14" s="16">
        <f>H14*1000</f>
        <v>1014.9999999999999</v>
      </c>
      <c r="AT14" s="16">
        <f>(Z14)*1000</f>
        <v>881.62189139324266</v>
      </c>
      <c r="AU14" s="16">
        <f>(AA14)*1000</f>
        <v>1115.3388404889677</v>
      </c>
      <c r="AV14" s="16"/>
      <c r="AW14" s="16">
        <f t="shared" si="30"/>
        <v>1171.8525546231917</v>
      </c>
      <c r="AX14" s="16">
        <f t="shared" si="30"/>
        <v>1196.1563186166359</v>
      </c>
      <c r="AY14" s="16">
        <f t="shared" si="30"/>
        <v>772.82640618152334</v>
      </c>
      <c r="BA14" s="394" t="str">
        <f ca="1">Rotation!BA124</f>
        <v>-</v>
      </c>
      <c r="BB14" s="394" t="str">
        <f ca="1">Rotation!BB124</f>
        <v>-</v>
      </c>
      <c r="BC14" s="394">
        <v>0.37987167117672682</v>
      </c>
      <c r="BD14" s="391" t="e">
        <f t="shared" ca="1" si="28"/>
        <v>#VALUE!</v>
      </c>
      <c r="BE14" s="391"/>
      <c r="BF14" s="391"/>
    </row>
    <row r="15" spans="1:58" s="53" customFormat="1" ht="15" customHeight="1">
      <c r="A15" s="543" t="s">
        <v>128</v>
      </c>
      <c r="B15" s="58">
        <v>-11.260300000000001</v>
      </c>
      <c r="C15" s="59">
        <v>2</v>
      </c>
      <c r="D15" s="58">
        <v>-13.59844</v>
      </c>
      <c r="E15" s="59">
        <v>1</v>
      </c>
      <c r="F15" s="320" t="str">
        <f t="shared" ref="F15:F27" si="32">IF(B15&gt;=D15,"A","B")</f>
        <v>A</v>
      </c>
      <c r="G15" s="360">
        <v>1</v>
      </c>
      <c r="H15" s="328">
        <v>1.087</v>
      </c>
      <c r="I15" s="60" t="s">
        <v>133</v>
      </c>
      <c r="J15" s="61">
        <v>-4.55</v>
      </c>
      <c r="K15" s="61">
        <v>0</v>
      </c>
      <c r="L15" s="61">
        <f t="shared" si="26"/>
        <v>-12.61</v>
      </c>
      <c r="M15" s="332">
        <f t="shared" si="27"/>
        <v>-22.9</v>
      </c>
      <c r="N15" s="61">
        <v>-12.61</v>
      </c>
      <c r="O15" s="332">
        <f t="shared" ref="O15:O27" si="33">IF(Y15&lt;&gt;0,Y15,0.565*(V15-N15)+N15)</f>
        <v>-22.9</v>
      </c>
      <c r="P15" s="12">
        <f t="shared" si="31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37</v>
      </c>
      <c r="Y15" s="13">
        <v>-22.9</v>
      </c>
      <c r="Z15" s="35">
        <v>1.1337951582024102</v>
      </c>
      <c r="AA15" s="35">
        <v>0.56821198485084301</v>
      </c>
      <c r="AB15" s="37">
        <v>1.029902430103071</v>
      </c>
      <c r="AC15" s="37">
        <v>1.7925388556627144</v>
      </c>
      <c r="AD15" s="37">
        <v>1.067348166411318</v>
      </c>
      <c r="AE15" s="62">
        <f t="shared" ref="AE15:AE27" si="34">DEGREES(AB15)</f>
        <v>59.009062555173237</v>
      </c>
      <c r="AF15" s="62">
        <f t="shared" ref="AF15:AF27" si="35">DEGREES(AC15)</f>
        <v>102.70491104268379</v>
      </c>
      <c r="AG15" s="62">
        <f t="shared" ref="AG15:AG27" si="36">DEGREES(AD15)</f>
        <v>61.154545206395575</v>
      </c>
      <c r="AH15" s="325" t="s">
        <v>133</v>
      </c>
      <c r="AI15" s="328">
        <f t="shared" ref="AI15:AI27" si="37">SUMXMY2(AL15:AN15,AO15:AQ15)^0.5</f>
        <v>1.4718567991718163</v>
      </c>
      <c r="AJ15" s="60">
        <f t="shared" ref="AJ15:AJ27" si="38">SUMSQ(AO15:AQ15)^0.5</f>
        <v>1.3327083684964787</v>
      </c>
      <c r="AK15" s="60">
        <f t="shared" si="14"/>
        <v>1.0944827159267865</v>
      </c>
      <c r="AL15" s="61">
        <f t="shared" ref="AL15:AL27" si="39">Z15*COS(AB15)</f>
        <v>0.58379394908038351</v>
      </c>
      <c r="AM15" s="61">
        <f t="shared" ref="AM15:AM27" si="40">Z15*SIN(AB15)</f>
        <v>0.97194448698490954</v>
      </c>
      <c r="AN15" s="61">
        <v>0</v>
      </c>
      <c r="AO15" s="61">
        <f t="shared" si="17"/>
        <v>1.2119667597665187</v>
      </c>
      <c r="AP15" s="61">
        <f t="shared" ref="AP15:AP27" si="41">-AA15*SIN(AC15)*COS(AD15)</f>
        <v>-0.26742119003814341</v>
      </c>
      <c r="AQ15" s="329">
        <f t="shared" ref="AQ15:AQ27" si="42">-AA15*SIN(AC15)*SIN(AD15)</f>
        <v>-0.48552453676428647</v>
      </c>
      <c r="AR15" s="3"/>
      <c r="AS15" s="16">
        <f t="shared" ref="AS15:AS27" si="43">H15*1000</f>
        <v>1087</v>
      </c>
      <c r="AT15" s="16">
        <f t="shared" ref="AT15:AU27" si="44">(Z15)*1000</f>
        <v>1133.7951582024102</v>
      </c>
      <c r="AU15" s="16">
        <f t="shared" si="44"/>
        <v>568.21198485084301</v>
      </c>
      <c r="AV15" s="16"/>
      <c r="AW15" s="16">
        <f t="shared" ref="AW15:AY24" si="45">(AB15)*1000</f>
        <v>1029.9024301030711</v>
      </c>
      <c r="AX15" s="16">
        <f t="shared" si="45"/>
        <v>1792.5388556627145</v>
      </c>
      <c r="AY15" s="16">
        <f t="shared" si="45"/>
        <v>1067.3481664113181</v>
      </c>
      <c r="BA15" s="394" t="str">
        <f ca="1">Rotation!BA125</f>
        <v>-</v>
      </c>
      <c r="BB15" s="394" t="str">
        <f ca="1">Rotation!BB125</f>
        <v>-</v>
      </c>
      <c r="BC15" s="394">
        <v>0.75457465295333559</v>
      </c>
      <c r="BD15" s="391" t="e">
        <f t="shared" ca="1" si="28"/>
        <v>#VALUE!</v>
      </c>
      <c r="BE15" s="391"/>
      <c r="BF15" s="391"/>
    </row>
    <row r="16" spans="1:58" s="53" customFormat="1" ht="15" customHeight="1">
      <c r="A16" s="544"/>
      <c r="B16" s="54">
        <v>-11.260300000000001</v>
      </c>
      <c r="C16" s="55">
        <v>2</v>
      </c>
      <c r="D16" s="54">
        <v>-13.59844</v>
      </c>
      <c r="E16" s="55">
        <v>1</v>
      </c>
      <c r="F16" s="310" t="str">
        <f t="shared" si="32"/>
        <v>A</v>
      </c>
      <c r="G16" s="358">
        <v>1</v>
      </c>
      <c r="H16" s="322">
        <v>1.087</v>
      </c>
      <c r="I16" s="35" t="s">
        <v>133</v>
      </c>
      <c r="J16" s="37">
        <v>-4.1139999999999999</v>
      </c>
      <c r="K16" s="37">
        <v>0</v>
      </c>
      <c r="L16" s="37">
        <f t="shared" si="26"/>
        <v>-12.61</v>
      </c>
      <c r="M16" s="318">
        <f t="shared" si="27"/>
        <v>-22.9</v>
      </c>
      <c r="N16" s="37">
        <v>-12.61</v>
      </c>
      <c r="O16" s="318">
        <f t="shared" si="33"/>
        <v>-22.9</v>
      </c>
      <c r="P16" s="12">
        <f t="shared" si="31"/>
        <v>7.3923226886219805E-13</v>
      </c>
      <c r="Q16" s="30" t="b">
        <f t="shared" si="4"/>
        <v>1</v>
      </c>
      <c r="R16" s="31">
        <f t="shared" si="5"/>
        <v>-4.1139994086386835</v>
      </c>
      <c r="S16" s="31">
        <v>0</v>
      </c>
      <c r="T16" s="31">
        <f t="shared" si="7"/>
        <v>-12.609999387936904</v>
      </c>
      <c r="U16" s="31">
        <f t="shared" si="8"/>
        <v>-22.900000122077145</v>
      </c>
      <c r="V16" s="31">
        <f t="shared" si="9"/>
        <v>-16.362740000000002</v>
      </c>
      <c r="W16" s="31" t="str">
        <f t="shared" si="10"/>
        <v>OK</v>
      </c>
      <c r="X16" s="31" t="s">
        <v>37</v>
      </c>
      <c r="Y16" s="31">
        <v>-22.9</v>
      </c>
      <c r="Z16" s="35">
        <v>1.6888983432698284</v>
      </c>
      <c r="AA16" s="35">
        <v>0.58776254827085928</v>
      </c>
      <c r="AB16" s="37">
        <v>0.42593621902971629</v>
      </c>
      <c r="AC16" s="37">
        <v>1.5718187376698409</v>
      </c>
      <c r="AD16" s="37">
        <v>0.47311801792452673</v>
      </c>
      <c r="AE16" s="38">
        <f t="shared" si="34"/>
        <v>24.404347692162563</v>
      </c>
      <c r="AF16" s="38">
        <f t="shared" si="35"/>
        <v>90.058579828062591</v>
      </c>
      <c r="AG16" s="38">
        <f t="shared" si="36"/>
        <v>27.107665638670213</v>
      </c>
      <c r="AH16" s="250" t="s">
        <v>133</v>
      </c>
      <c r="AI16" s="322">
        <f t="shared" si="37"/>
        <v>1.3286994668085021</v>
      </c>
      <c r="AJ16" s="35">
        <f t="shared" si="38"/>
        <v>1.2362605895294148</v>
      </c>
      <c r="AK16" s="35">
        <f t="shared" si="14"/>
        <v>0.83086484902026136</v>
      </c>
      <c r="AL16" s="37">
        <f t="shared" si="39"/>
        <v>1.5379991796513843</v>
      </c>
      <c r="AM16" s="37">
        <f t="shared" si="40"/>
        <v>0.69780809488801443</v>
      </c>
      <c r="AN16" s="37">
        <v>0</v>
      </c>
      <c r="AO16" s="37">
        <f t="shared" si="17"/>
        <v>1.0876009347165418</v>
      </c>
      <c r="AP16" s="37">
        <f t="shared" si="41"/>
        <v>-0.52319764566175708</v>
      </c>
      <c r="AQ16" s="39">
        <f t="shared" si="42"/>
        <v>-0.26782209692502057</v>
      </c>
      <c r="AR16" s="3"/>
      <c r="AS16" s="16">
        <f t="shared" si="43"/>
        <v>1087</v>
      </c>
      <c r="AT16" s="16">
        <f t="shared" si="44"/>
        <v>1688.8983432698283</v>
      </c>
      <c r="AU16" s="16">
        <f t="shared" si="44"/>
        <v>587.76254827085927</v>
      </c>
      <c r="AV16" s="16"/>
      <c r="AW16" s="16">
        <f t="shared" si="45"/>
        <v>425.93621902971631</v>
      </c>
      <c r="AX16" s="16">
        <f t="shared" si="45"/>
        <v>1571.8187376698409</v>
      </c>
      <c r="AY16" s="16">
        <f t="shared" si="45"/>
        <v>473.11801792452673</v>
      </c>
      <c r="BA16" s="394" t="str">
        <f ca="1">Rotation!BA126</f>
        <v>-</v>
      </c>
      <c r="BB16" s="394" t="str">
        <f ca="1">Rotation!BB126</f>
        <v>-</v>
      </c>
      <c r="BC16" s="394">
        <v>0.58497301004834634</v>
      </c>
      <c r="BD16" s="391" t="e">
        <f t="shared" ca="1" si="28"/>
        <v>#VALUE!</v>
      </c>
      <c r="BE16" s="391"/>
      <c r="BF16" s="391"/>
    </row>
    <row r="17" spans="1:58" s="53" customFormat="1" ht="15" customHeight="1">
      <c r="A17" s="544" t="s">
        <v>129</v>
      </c>
      <c r="B17" s="54">
        <v>-8.1516900000000003</v>
      </c>
      <c r="C17" s="55">
        <v>2</v>
      </c>
      <c r="D17" s="54">
        <v>-13.59844</v>
      </c>
      <c r="E17" s="55">
        <v>1</v>
      </c>
      <c r="F17" s="310" t="str">
        <f t="shared" si="32"/>
        <v>A</v>
      </c>
      <c r="G17" s="358">
        <v>1</v>
      </c>
      <c r="H17" s="322">
        <v>1.48</v>
      </c>
      <c r="I17" s="35" t="s">
        <v>133</v>
      </c>
      <c r="J17" s="37">
        <v>-3.47</v>
      </c>
      <c r="K17" s="37">
        <v>0</v>
      </c>
      <c r="L17" s="37">
        <f t="shared" si="26"/>
        <v>-11</v>
      </c>
      <c r="M17" s="318">
        <f t="shared" si="27"/>
        <v>-18.2</v>
      </c>
      <c r="N17" s="37">
        <v>-11</v>
      </c>
      <c r="O17" s="318">
        <f t="shared" si="33"/>
        <v>-18.2</v>
      </c>
      <c r="P17" s="30">
        <f t="shared" si="31"/>
        <v>1.3781558550763732E-12</v>
      </c>
      <c r="Q17" s="30" t="b">
        <f t="shared" si="4"/>
        <v>1</v>
      </c>
      <c r="R17" s="31">
        <f t="shared" si="5"/>
        <v>-3.4700011731785128</v>
      </c>
      <c r="S17" s="31">
        <v>0</v>
      </c>
      <c r="T17" s="31">
        <f t="shared" si="7"/>
        <v>-11.000000020314237</v>
      </c>
      <c r="U17" s="31">
        <f t="shared" si="8"/>
        <v>-18.200000037354577</v>
      </c>
      <c r="V17" s="31">
        <f t="shared" si="9"/>
        <v>-14.220129999999997</v>
      </c>
      <c r="W17" s="31" t="str">
        <f t="shared" si="10"/>
        <v>OK</v>
      </c>
      <c r="X17" s="31" t="s">
        <v>37</v>
      </c>
      <c r="Y17" s="31">
        <v>-18.2</v>
      </c>
      <c r="Z17" s="35">
        <v>1.5048357342183236</v>
      </c>
      <c r="AA17" s="35">
        <v>0.72966304616774214</v>
      </c>
      <c r="AB17" s="37">
        <v>0.8938630092780574</v>
      </c>
      <c r="AC17" s="37">
        <v>1.7406045733739799</v>
      </c>
      <c r="AD17" s="37">
        <v>0.86261351143648868</v>
      </c>
      <c r="AE17" s="38">
        <f t="shared" si="34"/>
        <v>51.214577894495832</v>
      </c>
      <c r="AF17" s="38">
        <f t="shared" si="35"/>
        <v>99.729295855498279</v>
      </c>
      <c r="AG17" s="38">
        <f t="shared" si="36"/>
        <v>49.424113556270775</v>
      </c>
      <c r="AH17" s="250" t="s">
        <v>133</v>
      </c>
      <c r="AI17" s="322">
        <f t="shared" si="37"/>
        <v>1.851241743285275</v>
      </c>
      <c r="AJ17" s="35">
        <f t="shared" si="38"/>
        <v>1.7572138330198801</v>
      </c>
      <c r="AK17" s="35">
        <f t="shared" si="14"/>
        <v>1.2902418107172695</v>
      </c>
      <c r="AL17" s="37">
        <f t="shared" si="39"/>
        <v>0.94263738407345354</v>
      </c>
      <c r="AM17" s="37">
        <f t="shared" si="40"/>
        <v>1.1730154939844391</v>
      </c>
      <c r="AN17" s="37">
        <v>0</v>
      </c>
      <c r="AO17" s="37">
        <f t="shared" si="17"/>
        <v>1.6033082074370373</v>
      </c>
      <c r="AP17" s="37">
        <f t="shared" si="41"/>
        <v>-0.46778642942781795</v>
      </c>
      <c r="AQ17" s="39">
        <f t="shared" si="42"/>
        <v>-0.54624088401054927</v>
      </c>
      <c r="AR17" s="3"/>
      <c r="AS17" s="16">
        <f t="shared" si="43"/>
        <v>1480</v>
      </c>
      <c r="AT17" s="16">
        <f t="shared" si="44"/>
        <v>1504.8357342183235</v>
      </c>
      <c r="AU17" s="16">
        <f t="shared" si="44"/>
        <v>729.6630461677421</v>
      </c>
      <c r="AV17" s="16"/>
      <c r="AW17" s="16">
        <f t="shared" si="45"/>
        <v>893.86300927805735</v>
      </c>
      <c r="AX17" s="16">
        <f t="shared" si="45"/>
        <v>1740.60457337398</v>
      </c>
      <c r="AY17" s="16">
        <f t="shared" si="45"/>
        <v>862.61351143648869</v>
      </c>
      <c r="BA17" s="394" t="str">
        <f ca="1">Rotation!BA127</f>
        <v>-</v>
      </c>
      <c r="BB17" s="394" t="str">
        <f ca="1">Rotation!BB127</f>
        <v>-</v>
      </c>
      <c r="BC17" s="394">
        <v>0.72680184204941933</v>
      </c>
      <c r="BD17" s="391" t="e">
        <f t="shared" ca="1" si="28"/>
        <v>#VALUE!</v>
      </c>
      <c r="BE17" s="391"/>
      <c r="BF17" s="391"/>
    </row>
    <row r="18" spans="1:58" s="53" customFormat="1" ht="15" customHeight="1">
      <c r="A18" s="544"/>
      <c r="B18" s="54">
        <v>-8.1516900000000003</v>
      </c>
      <c r="C18" s="55">
        <v>2</v>
      </c>
      <c r="D18" s="54">
        <v>-13.59844</v>
      </c>
      <c r="E18" s="55">
        <v>1</v>
      </c>
      <c r="F18" s="310" t="str">
        <f t="shared" si="32"/>
        <v>A</v>
      </c>
      <c r="G18" s="358">
        <v>1</v>
      </c>
      <c r="H18" s="322">
        <v>1.48</v>
      </c>
      <c r="I18" s="35" t="s">
        <v>133</v>
      </c>
      <c r="J18" s="37">
        <v>-3.98</v>
      </c>
      <c r="K18" s="37">
        <v>0</v>
      </c>
      <c r="L18" s="37">
        <f t="shared" si="26"/>
        <v>-11</v>
      </c>
      <c r="M18" s="318">
        <f t="shared" si="27"/>
        <v>-18.2</v>
      </c>
      <c r="N18" s="37">
        <v>-11</v>
      </c>
      <c r="O18" s="318">
        <f t="shared" si="33"/>
        <v>-18.2</v>
      </c>
      <c r="P18" s="30">
        <f t="shared" si="31"/>
        <v>1.9175971989748036E-11</v>
      </c>
      <c r="Q18" s="30" t="b">
        <f t="shared" si="4"/>
        <v>1</v>
      </c>
      <c r="R18" s="31">
        <f t="shared" si="5"/>
        <v>-3.9799972992754236</v>
      </c>
      <c r="S18" s="31">
        <v>0</v>
      </c>
      <c r="T18" s="31">
        <f t="shared" si="7"/>
        <v>-11.000003445163967</v>
      </c>
      <c r="U18" s="31">
        <f t="shared" si="8"/>
        <v>-18.200000113595728</v>
      </c>
      <c r="V18" s="31">
        <f t="shared" si="9"/>
        <v>-14.730129999999999</v>
      </c>
      <c r="W18" s="31" t="str">
        <f t="shared" si="10"/>
        <v>OK</v>
      </c>
      <c r="X18" s="31" t="s">
        <v>37</v>
      </c>
      <c r="Y18" s="31">
        <v>-18.2</v>
      </c>
      <c r="Z18" s="35">
        <v>1.4166269276316887</v>
      </c>
      <c r="AA18" s="35">
        <v>0.73713073893120451</v>
      </c>
      <c r="AB18" s="37">
        <v>0.97893052478469267</v>
      </c>
      <c r="AC18" s="37">
        <v>1.666597518895474</v>
      </c>
      <c r="AD18" s="37">
        <v>0.4287819742315867</v>
      </c>
      <c r="AE18" s="38">
        <f t="shared" si="34"/>
        <v>56.08858750668972</v>
      </c>
      <c r="AF18" s="38">
        <f t="shared" si="35"/>
        <v>95.489003979685137</v>
      </c>
      <c r="AG18" s="38">
        <f t="shared" si="36"/>
        <v>24.567397454757138</v>
      </c>
      <c r="AH18" s="250" t="s">
        <v>133</v>
      </c>
      <c r="AI18" s="322">
        <f t="shared" si="37"/>
        <v>2.0168062255662558</v>
      </c>
      <c r="AJ18" s="35">
        <f t="shared" si="38"/>
        <v>1.7153633500947751</v>
      </c>
      <c r="AK18" s="35">
        <f t="shared" si="14"/>
        <v>1.3630088400627554</v>
      </c>
      <c r="AL18" s="37">
        <f t="shared" si="39"/>
        <v>0.7903509304060744</v>
      </c>
      <c r="AM18" s="37">
        <f t="shared" si="40"/>
        <v>1.1756603501426126</v>
      </c>
      <c r="AN18" s="37">
        <v>0</v>
      </c>
      <c r="AO18" s="37">
        <f t="shared" si="17"/>
        <v>1.550510032625374</v>
      </c>
      <c r="AP18" s="37">
        <f t="shared" si="41"/>
        <v>-0.66732631160510503</v>
      </c>
      <c r="AQ18" s="39">
        <f t="shared" si="42"/>
        <v>-0.30506664094253</v>
      </c>
      <c r="AR18" s="3"/>
      <c r="AS18" s="16">
        <f t="shared" si="43"/>
        <v>1480</v>
      </c>
      <c r="AT18" s="16">
        <f t="shared" si="44"/>
        <v>1416.6269276316887</v>
      </c>
      <c r="AU18" s="16">
        <f t="shared" si="44"/>
        <v>737.13073893120452</v>
      </c>
      <c r="AV18" s="16"/>
      <c r="AW18" s="16">
        <f t="shared" si="45"/>
        <v>978.93052478469269</v>
      </c>
      <c r="AX18" s="16">
        <f t="shared" si="45"/>
        <v>1666.597518895474</v>
      </c>
      <c r="AY18" s="16">
        <f t="shared" si="45"/>
        <v>428.78197423158673</v>
      </c>
      <c r="BA18" s="394" t="str">
        <f ca="1">Rotation!BA128</f>
        <v>-</v>
      </c>
      <c r="BB18" s="394" t="str">
        <f ca="1">Rotation!BB128</f>
        <v>-</v>
      </c>
      <c r="BC18" s="394">
        <v>0.71966766900307255</v>
      </c>
      <c r="BD18" s="391" t="e">
        <f t="shared" ca="1" si="28"/>
        <v>#VALUE!</v>
      </c>
      <c r="BE18" s="391"/>
      <c r="BF18" s="391"/>
    </row>
    <row r="19" spans="1:58" s="53" customFormat="1" ht="15" customHeight="1">
      <c r="A19" s="544" t="s">
        <v>130</v>
      </c>
      <c r="B19" s="54">
        <v>-11.260300000000001</v>
      </c>
      <c r="C19" s="55">
        <v>2</v>
      </c>
      <c r="D19" s="54">
        <v>-17.420000000000002</v>
      </c>
      <c r="E19" s="55">
        <v>5</v>
      </c>
      <c r="F19" s="310" t="str">
        <f t="shared" si="32"/>
        <v>A</v>
      </c>
      <c r="G19" s="358">
        <v>1</v>
      </c>
      <c r="H19" s="322">
        <v>1.3149999999999999</v>
      </c>
      <c r="I19" s="35" t="s">
        <v>133</v>
      </c>
      <c r="J19" s="37">
        <v>-5.6660000000000004</v>
      </c>
      <c r="K19" s="37">
        <v>0</v>
      </c>
      <c r="L19" s="37">
        <f t="shared" si="26"/>
        <v>-16.100000000000001</v>
      </c>
      <c r="M19" s="318">
        <f t="shared" si="27"/>
        <v>-17.399999999999999</v>
      </c>
      <c r="N19" s="37">
        <v>-16.100000000000001</v>
      </c>
      <c r="O19" s="318">
        <f t="shared" si="33"/>
        <v>-17.399999999999999</v>
      </c>
      <c r="P19" s="30">
        <f t="shared" si="31"/>
        <v>5.2573435653083565E-12</v>
      </c>
      <c r="Q19" s="30" t="b">
        <f t="shared" si="4"/>
        <v>1</v>
      </c>
      <c r="R19" s="31">
        <f t="shared" si="5"/>
        <v>-5.666002278677932</v>
      </c>
      <c r="S19" s="31">
        <v>0</v>
      </c>
      <c r="T19" s="31">
        <f t="shared" si="7"/>
        <v>-16.099999747393525</v>
      </c>
      <c r="U19" s="31">
        <f t="shared" si="8"/>
        <v>-17.400000034064895</v>
      </c>
      <c r="V19" s="31">
        <f t="shared" si="9"/>
        <v>-18.246299999999998</v>
      </c>
      <c r="W19" s="31" t="str">
        <f t="shared" si="10"/>
        <v>OK</v>
      </c>
      <c r="X19" s="31" t="s">
        <v>35</v>
      </c>
      <c r="Y19" s="31">
        <v>-17.399999999999999</v>
      </c>
      <c r="Z19" s="35">
        <v>0.7723508022924076</v>
      </c>
      <c r="AA19" s="35">
        <v>1.0440162685486893</v>
      </c>
      <c r="AB19" s="37">
        <v>1.8750707743827326</v>
      </c>
      <c r="AC19" s="37">
        <v>0.83604527044308297</v>
      </c>
      <c r="AD19" s="37">
        <v>0</v>
      </c>
      <c r="AE19" s="38">
        <f t="shared" si="34"/>
        <v>107.43364166045758</v>
      </c>
      <c r="AF19" s="38">
        <f t="shared" si="35"/>
        <v>47.90186547826216</v>
      </c>
      <c r="AG19" s="38">
        <f t="shared" si="36"/>
        <v>0</v>
      </c>
      <c r="AH19" s="250" t="s">
        <v>133</v>
      </c>
      <c r="AI19" s="322">
        <f t="shared" si="37"/>
        <v>1.7324150979813897</v>
      </c>
      <c r="AJ19" s="35">
        <f t="shared" si="38"/>
        <v>0.98915561984907152</v>
      </c>
      <c r="AK19" s="35">
        <f t="shared" si="14"/>
        <v>1.7129871933377703</v>
      </c>
      <c r="AL19" s="37">
        <f t="shared" si="39"/>
        <v>-0.23139709609790332</v>
      </c>
      <c r="AM19" s="37">
        <f t="shared" si="40"/>
        <v>0.73687254374089928</v>
      </c>
      <c r="AN19" s="37">
        <v>0</v>
      </c>
      <c r="AO19" s="37">
        <f t="shared" si="17"/>
        <v>0.61508892444284102</v>
      </c>
      <c r="AP19" s="37">
        <f t="shared" si="41"/>
        <v>-0.7746576374804226</v>
      </c>
      <c r="AQ19" s="39">
        <f t="shared" si="42"/>
        <v>0</v>
      </c>
      <c r="AR19" s="3"/>
      <c r="AS19" s="16">
        <f t="shared" si="43"/>
        <v>1315</v>
      </c>
      <c r="AT19" s="16">
        <f t="shared" si="44"/>
        <v>772.35080229240759</v>
      </c>
      <c r="AU19" s="16">
        <f t="shared" si="44"/>
        <v>1044.0162685486894</v>
      </c>
      <c r="AV19" s="16"/>
      <c r="AW19" s="16">
        <f t="shared" si="45"/>
        <v>1875.0707743827327</v>
      </c>
      <c r="AX19" s="16">
        <f t="shared" si="45"/>
        <v>836.04527044308293</v>
      </c>
      <c r="AY19" s="16">
        <f t="shared" si="45"/>
        <v>0</v>
      </c>
      <c r="BA19" s="394" t="str">
        <f ca="1">Rotation!BA129</f>
        <v>-</v>
      </c>
      <c r="BB19" s="394" t="str">
        <f ca="1">Rotation!BB129</f>
        <v>-</v>
      </c>
      <c r="BC19" s="394">
        <v>0.47501645716242308</v>
      </c>
      <c r="BD19" s="391" t="e">
        <f t="shared" ca="1" si="28"/>
        <v>#VALUE!</v>
      </c>
      <c r="BE19" s="391"/>
      <c r="BF19" s="391"/>
    </row>
    <row r="20" spans="1:58" s="53" customFormat="1" ht="15" customHeight="1">
      <c r="A20" s="544"/>
      <c r="B20" s="54">
        <v>-11.260300000000001</v>
      </c>
      <c r="C20" s="55">
        <v>2</v>
      </c>
      <c r="D20" s="54">
        <v>-17.420000000000002</v>
      </c>
      <c r="E20" s="55">
        <v>5</v>
      </c>
      <c r="F20" s="310" t="str">
        <f t="shared" si="32"/>
        <v>A</v>
      </c>
      <c r="G20" s="358">
        <v>1</v>
      </c>
      <c r="H20" s="322">
        <v>1.3149999999999999</v>
      </c>
      <c r="I20" s="35" t="s">
        <v>133</v>
      </c>
      <c r="J20" s="37">
        <v>-5.6660000000000004</v>
      </c>
      <c r="K20" s="37">
        <v>0</v>
      </c>
      <c r="L20" s="37">
        <f t="shared" si="26"/>
        <v>-14.7</v>
      </c>
      <c r="M20" s="318">
        <f t="shared" si="27"/>
        <v>-17.399999999999999</v>
      </c>
      <c r="N20" s="37">
        <v>-14.7</v>
      </c>
      <c r="O20" s="318">
        <f t="shared" si="33"/>
        <v>-17.399999999999999</v>
      </c>
      <c r="P20" s="30">
        <f t="shared" si="31"/>
        <v>3.47790767407387E-10</v>
      </c>
      <c r="Q20" s="30" t="b">
        <f t="shared" si="4"/>
        <v>1</v>
      </c>
      <c r="R20" s="31">
        <f t="shared" si="5"/>
        <v>-5.6659936155786808</v>
      </c>
      <c r="S20" s="31">
        <v>0</v>
      </c>
      <c r="T20" s="31">
        <f t="shared" si="7"/>
        <v>-14.700009770876672</v>
      </c>
      <c r="U20" s="31">
        <f t="shared" si="8"/>
        <v>-17.400014545098859</v>
      </c>
      <c r="V20" s="31">
        <f t="shared" si="9"/>
        <v>-19.6463</v>
      </c>
      <c r="W20" s="31" t="str">
        <f t="shared" si="10"/>
        <v>OK</v>
      </c>
      <c r="X20" s="31" t="s">
        <v>35</v>
      </c>
      <c r="Y20" s="31">
        <v>-17.399999999999999</v>
      </c>
      <c r="Z20" s="35">
        <v>1.1634390406269031</v>
      </c>
      <c r="AA20" s="35">
        <v>0.73447579204865243</v>
      </c>
      <c r="AB20" s="37">
        <v>0.89838387085214955</v>
      </c>
      <c r="AC20" s="37">
        <v>1.8020961951360979</v>
      </c>
      <c r="AD20" s="37">
        <v>0</v>
      </c>
      <c r="AE20" s="38">
        <f t="shared" si="34"/>
        <v>51.473604182454189</v>
      </c>
      <c r="AF20" s="38">
        <f t="shared" si="35"/>
        <v>103.25250625788244</v>
      </c>
      <c r="AG20" s="38">
        <f t="shared" si="36"/>
        <v>0</v>
      </c>
      <c r="AH20" s="250" t="s">
        <v>133</v>
      </c>
      <c r="AI20" s="322">
        <f t="shared" si="37"/>
        <v>1.7934791656805174</v>
      </c>
      <c r="AJ20" s="35">
        <f t="shared" si="38"/>
        <v>1.6466638272739524</v>
      </c>
      <c r="AK20" s="35">
        <f t="shared" si="14"/>
        <v>1.084856811387928</v>
      </c>
      <c r="AL20" s="37">
        <f t="shared" si="39"/>
        <v>0.72467722434983506</v>
      </c>
      <c r="AM20" s="37">
        <f t="shared" si="40"/>
        <v>0.9101831254003051</v>
      </c>
      <c r="AN20" s="37">
        <v>0</v>
      </c>
      <c r="AO20" s="37">
        <f t="shared" si="17"/>
        <v>1.483373411006466</v>
      </c>
      <c r="AP20" s="37">
        <f t="shared" si="41"/>
        <v>-0.71491613743959026</v>
      </c>
      <c r="AQ20" s="39">
        <f t="shared" si="42"/>
        <v>0</v>
      </c>
      <c r="AR20" s="3"/>
      <c r="AS20" s="16">
        <f t="shared" si="43"/>
        <v>1315</v>
      </c>
      <c r="AT20" s="16">
        <f t="shared" si="44"/>
        <v>1163.4390406269031</v>
      </c>
      <c r="AU20" s="16">
        <f t="shared" si="44"/>
        <v>734.47579204865247</v>
      </c>
      <c r="AV20" s="16"/>
      <c r="AW20" s="16">
        <f t="shared" si="45"/>
        <v>898.38387085214958</v>
      </c>
      <c r="AX20" s="16">
        <f t="shared" si="45"/>
        <v>1802.0961951360978</v>
      </c>
      <c r="AY20" s="16">
        <f t="shared" si="45"/>
        <v>0</v>
      </c>
      <c r="BA20" s="394" t="str">
        <f ca="1">Rotation!BA130</f>
        <v>-</v>
      </c>
      <c r="BB20" s="394" t="str">
        <f ca="1">Rotation!BB130</f>
        <v>-</v>
      </c>
      <c r="BC20" s="394">
        <v>0.61844480838958249</v>
      </c>
      <c r="BD20" s="391" t="e">
        <f t="shared" ca="1" si="28"/>
        <v>#VALUE!</v>
      </c>
      <c r="BE20" s="391"/>
      <c r="BF20" s="391"/>
    </row>
    <row r="21" spans="1:58" s="53" customFormat="1" ht="15" customHeight="1">
      <c r="A21" s="57" t="s">
        <v>131</v>
      </c>
      <c r="B21" s="54">
        <v>-7.8994</v>
      </c>
      <c r="C21" s="55">
        <v>2</v>
      </c>
      <c r="D21" s="54">
        <v>-17.420000000000002</v>
      </c>
      <c r="E21" s="55">
        <v>5</v>
      </c>
      <c r="F21" s="309" t="str">
        <f t="shared" si="32"/>
        <v>A</v>
      </c>
      <c r="G21" s="358">
        <v>1</v>
      </c>
      <c r="H21" s="322">
        <v>1.5249999999999999</v>
      </c>
      <c r="I21" s="35" t="s">
        <v>133</v>
      </c>
      <c r="J21" s="37">
        <v>-3.617</v>
      </c>
      <c r="K21" s="37">
        <v>0</v>
      </c>
      <c r="L21" s="37">
        <f t="shared" si="26"/>
        <v>-10.53</v>
      </c>
      <c r="M21" s="37">
        <f t="shared" si="27"/>
        <v>-14.980166000000002</v>
      </c>
      <c r="N21" s="37">
        <v>-10.53</v>
      </c>
      <c r="O21" s="37">
        <f t="shared" si="33"/>
        <v>-14.980166000000002</v>
      </c>
      <c r="P21" s="30">
        <f t="shared" si="31"/>
        <v>3.1132448225362251E-13</v>
      </c>
      <c r="Q21" s="30" t="b">
        <f t="shared" si="4"/>
        <v>1</v>
      </c>
      <c r="R21" s="31">
        <f t="shared" si="5"/>
        <v>-3.6169995502132135</v>
      </c>
      <c r="S21" s="31">
        <v>0</v>
      </c>
      <c r="T21" s="31">
        <f t="shared" si="7"/>
        <v>-10.530000330122347</v>
      </c>
      <c r="U21" s="31">
        <f t="shared" si="8"/>
        <v>-14.980166005963627</v>
      </c>
      <c r="V21" s="31">
        <f t="shared" si="9"/>
        <v>-18.406400000000005</v>
      </c>
      <c r="W21" s="31" t="str">
        <f t="shared" si="10"/>
        <v>OK</v>
      </c>
      <c r="X21" s="31"/>
      <c r="Y21" s="31"/>
      <c r="Z21" s="27">
        <v>1.474491943001919</v>
      </c>
      <c r="AA21" s="27">
        <v>0.85372142677928808</v>
      </c>
      <c r="AB21" s="29">
        <v>0.97886678474267963</v>
      </c>
      <c r="AC21" s="29">
        <v>1.794583740684111</v>
      </c>
      <c r="AD21" s="29">
        <v>0.96608145703278725</v>
      </c>
      <c r="AE21" s="32">
        <f t="shared" si="34"/>
        <v>56.08493547129639</v>
      </c>
      <c r="AF21" s="32">
        <f t="shared" si="35"/>
        <v>102.82207432399933</v>
      </c>
      <c r="AG21" s="32">
        <f t="shared" si="36"/>
        <v>55.352390153827891</v>
      </c>
      <c r="AH21" s="249" t="s">
        <v>133</v>
      </c>
      <c r="AI21" s="323">
        <f t="shared" si="37"/>
        <v>2.0355895216561057</v>
      </c>
      <c r="AJ21" s="27">
        <f t="shared" si="38"/>
        <v>1.9058653204867009</v>
      </c>
      <c r="AK21" s="27">
        <f t="shared" si="14"/>
        <v>1.4108432244953013</v>
      </c>
      <c r="AL21" s="29">
        <f t="shared" si="39"/>
        <v>0.82271242159779512</v>
      </c>
      <c r="AM21" s="29">
        <f t="shared" si="40"/>
        <v>1.223630157084348</v>
      </c>
      <c r="AN21" s="29">
        <v>0</v>
      </c>
      <c r="AO21" s="29">
        <f t="shared" si="17"/>
        <v>1.7144614246858398</v>
      </c>
      <c r="AP21" s="29">
        <f t="shared" si="41"/>
        <v>-0.47326106055730055</v>
      </c>
      <c r="AQ21" s="33">
        <f t="shared" si="42"/>
        <v>-0.68481282965366119</v>
      </c>
      <c r="AR21" s="3"/>
      <c r="AS21" s="16">
        <f t="shared" si="43"/>
        <v>1525</v>
      </c>
      <c r="AT21" s="16">
        <f t="shared" si="44"/>
        <v>1474.491943001919</v>
      </c>
      <c r="AU21" s="16">
        <f t="shared" si="44"/>
        <v>853.72142677928809</v>
      </c>
      <c r="AV21" s="16"/>
      <c r="AW21" s="16">
        <f t="shared" si="45"/>
        <v>978.86678474267967</v>
      </c>
      <c r="AX21" s="16">
        <f t="shared" si="45"/>
        <v>1794.583740684111</v>
      </c>
      <c r="AY21" s="16">
        <f t="shared" si="45"/>
        <v>966.08145703278728</v>
      </c>
      <c r="BA21" s="394" t="str">
        <f ca="1">Rotation!BA131</f>
        <v>-</v>
      </c>
      <c r="BB21" s="394" t="str">
        <f ca="1">Rotation!BB131</f>
        <v>-</v>
      </c>
      <c r="BC21" s="394">
        <v>0.68361531617442484</v>
      </c>
      <c r="BD21" s="391" t="e">
        <f t="shared" ca="1" si="28"/>
        <v>#VALUE!</v>
      </c>
      <c r="BE21" s="391"/>
      <c r="BF21" s="391"/>
    </row>
    <row r="22" spans="1:58" s="56" customFormat="1" ht="15" customHeight="1">
      <c r="A22" s="57" t="s">
        <v>132</v>
      </c>
      <c r="B22" s="54">
        <v>-11.260300000000001</v>
      </c>
      <c r="C22" s="55">
        <v>2</v>
      </c>
      <c r="D22" s="54">
        <v>-12.967639999999999</v>
      </c>
      <c r="E22" s="55">
        <v>5</v>
      </c>
      <c r="F22" s="310" t="str">
        <f>IF(B22&gt;=D22,"A","B")</f>
        <v>A</v>
      </c>
      <c r="G22" s="358">
        <v>1</v>
      </c>
      <c r="H22" s="322">
        <v>1.7669999999999999</v>
      </c>
      <c r="I22" s="35" t="s">
        <v>133</v>
      </c>
      <c r="J22" s="37">
        <v>-3.0739999999999998</v>
      </c>
      <c r="K22" s="37">
        <v>0</v>
      </c>
      <c r="L22" s="37">
        <f t="shared" si="26"/>
        <v>-11.47</v>
      </c>
      <c r="M22" s="37">
        <f>IF(B22&gt;=D22,O22,N22)</f>
        <v>-13.9344961</v>
      </c>
      <c r="N22" s="37">
        <v>-11.47</v>
      </c>
      <c r="O22" s="37">
        <f>IF(Y22&lt;&gt;0,Y22,0.565*(V22-N22)+N22)</f>
        <v>-13.9344961</v>
      </c>
      <c r="P22" s="30">
        <f t="shared" si="31"/>
        <v>7.5141048109229017E-16</v>
      </c>
      <c r="Q22" s="30" t="b">
        <f t="shared" si="4"/>
        <v>1</v>
      </c>
      <c r="R22" s="31">
        <f>-(14.3998434*Z22*AA22/(H22^3)*(SIN(AB22)*SIN(AC22)*COS(AD22)-2*COS(AB22)*COS(AC22)))*G22</f>
        <v>-3.073999991849695</v>
      </c>
      <c r="S22" s="31">
        <v>0</v>
      </c>
      <c r="T22" s="31">
        <f t="shared" si="7"/>
        <v>-11.469999991570466</v>
      </c>
      <c r="U22" s="31">
        <f t="shared" si="8"/>
        <v>-13.934496075222471</v>
      </c>
      <c r="V22" s="31">
        <f t="shared" si="9"/>
        <v>-15.831940000000001</v>
      </c>
      <c r="W22" s="31" t="str">
        <f t="shared" si="10"/>
        <v>OK</v>
      </c>
      <c r="X22" s="31"/>
      <c r="Y22" s="31"/>
      <c r="Z22" s="35">
        <v>1.2531229287101093</v>
      </c>
      <c r="AA22" s="35">
        <v>0.93219066001243278</v>
      </c>
      <c r="AB22" s="37">
        <v>1.2122494576931724</v>
      </c>
      <c r="AC22" s="37">
        <v>1.790117470708608</v>
      </c>
      <c r="AD22" s="37">
        <v>0.35955744626893055</v>
      </c>
      <c r="AE22" s="38">
        <f t="shared" ref="AE22:AG26" si="46">DEGREES(AB22)</f>
        <v>69.456777642841615</v>
      </c>
      <c r="AF22" s="38">
        <f t="shared" si="46"/>
        <v>102.56617590423701</v>
      </c>
      <c r="AG22" s="38">
        <f t="shared" si="46"/>
        <v>20.601124163711589</v>
      </c>
      <c r="AH22" s="250" t="s">
        <v>133</v>
      </c>
      <c r="AI22" s="241">
        <f>SUMXMY2(AL22:AN22,AO22:AQ22)^0.5</f>
        <v>2.5582609539743726</v>
      </c>
      <c r="AJ22" s="35">
        <f>SUMSQ(AO22:AQ22)^0.5</f>
        <v>2.1697956352437151</v>
      </c>
      <c r="AK22" s="35">
        <f t="shared" si="14"/>
        <v>1.7716013004078939</v>
      </c>
      <c r="AL22" s="37">
        <f>Z22*COS(AB22)</f>
        <v>0.43973823057500311</v>
      </c>
      <c r="AM22" s="37">
        <f>Z22*SIN(AB22)</f>
        <v>1.1734340045480902</v>
      </c>
      <c r="AN22" s="37">
        <v>0</v>
      </c>
      <c r="AO22" s="37">
        <f t="shared" si="17"/>
        <v>1.9698139988987724</v>
      </c>
      <c r="AP22" s="37">
        <f>-AA22*SIN(AC22)*COS(AD22)</f>
        <v>-0.85167720237201849</v>
      </c>
      <c r="AQ22" s="39">
        <f>-AA22*SIN(AC22)*SIN(AD22)</f>
        <v>-0.32014348568239759</v>
      </c>
      <c r="AR22" s="3"/>
      <c r="AS22" s="16">
        <f>H22*1000</f>
        <v>1767</v>
      </c>
      <c r="AT22" s="16">
        <f t="shared" ref="AT22:AU26" si="47">(Z22)*1000</f>
        <v>1253.1229287101094</v>
      </c>
      <c r="AU22" s="16">
        <f t="shared" si="47"/>
        <v>932.19066001243277</v>
      </c>
      <c r="AV22" s="16"/>
      <c r="AW22" s="16">
        <f t="shared" si="45"/>
        <v>1212.2494576931724</v>
      </c>
      <c r="AX22" s="16">
        <f t="shared" si="45"/>
        <v>1790.1174707086082</v>
      </c>
      <c r="AY22" s="16">
        <f t="shared" si="45"/>
        <v>359.55744626893056</v>
      </c>
      <c r="BA22" s="394" t="str">
        <f ca="1">Rotation!BA132</f>
        <v>-</v>
      </c>
      <c r="BB22" s="394" t="str">
        <f ca="1">Rotation!BB132</f>
        <v>-</v>
      </c>
      <c r="BC22" s="394">
        <v>0.62452252727282109</v>
      </c>
      <c r="BD22" s="391" t="e">
        <f t="shared" ca="1" si="28"/>
        <v>#VALUE!</v>
      </c>
      <c r="BE22" s="391"/>
      <c r="BF22" s="391"/>
    </row>
    <row r="23" spans="1:58" s="421" customFormat="1" ht="15" customHeight="1">
      <c r="A23" s="422" t="s">
        <v>575</v>
      </c>
      <c r="B23" s="54"/>
      <c r="C23" s="55"/>
      <c r="D23" s="54"/>
      <c r="E23" s="55"/>
      <c r="F23" s="310"/>
      <c r="G23" s="358"/>
      <c r="H23" s="322">
        <v>1.4175</v>
      </c>
      <c r="I23" s="35">
        <f>RADIANS(AH23)</f>
        <v>2.0943951023931953</v>
      </c>
      <c r="J23" s="37">
        <v>-3.6070000000000002</v>
      </c>
      <c r="K23" s="37">
        <v>0</v>
      </c>
      <c r="L23" s="37">
        <v>-12.8</v>
      </c>
      <c r="M23" s="37">
        <v>-12.8</v>
      </c>
      <c r="N23" s="37">
        <v>-12.8</v>
      </c>
      <c r="O23" s="37">
        <v>-12.8</v>
      </c>
      <c r="P23" s="30"/>
      <c r="Q23" s="30"/>
      <c r="R23" s="31"/>
      <c r="S23" s="31"/>
      <c r="T23" s="31"/>
      <c r="U23" s="31"/>
      <c r="V23" s="31"/>
      <c r="W23" s="31"/>
      <c r="X23" s="31"/>
      <c r="Y23" s="31"/>
      <c r="Z23" s="35"/>
      <c r="AA23" s="35"/>
      <c r="AB23" s="37"/>
      <c r="AC23" s="37"/>
      <c r="AD23" s="37"/>
      <c r="AE23" s="38"/>
      <c r="AF23" s="38"/>
      <c r="AG23" s="38"/>
      <c r="AH23" s="250">
        <v>120</v>
      </c>
      <c r="AI23" s="328"/>
      <c r="AJ23" s="60"/>
      <c r="AK23" s="60"/>
      <c r="AL23" s="61"/>
      <c r="AM23" s="61"/>
      <c r="AN23" s="61"/>
      <c r="AO23" s="61"/>
      <c r="AP23" s="61"/>
      <c r="AQ23" s="329"/>
      <c r="AR23" s="3"/>
      <c r="AS23" s="16">
        <f>H23*1000</f>
        <v>1417.5</v>
      </c>
      <c r="AT23" s="16"/>
      <c r="AU23" s="16"/>
      <c r="AV23" s="16"/>
      <c r="AW23" s="16"/>
      <c r="AX23" s="16"/>
      <c r="AY23" s="16"/>
      <c r="BA23" s="394"/>
      <c r="BB23" s="394"/>
      <c r="BC23" s="394"/>
    </row>
    <row r="24" spans="1:58" s="56" customFormat="1" ht="15" customHeight="1">
      <c r="A24" s="540" t="s">
        <v>134</v>
      </c>
      <c r="B24" s="54">
        <v>-10.36</v>
      </c>
      <c r="C24" s="55">
        <v>4</v>
      </c>
      <c r="D24" s="54">
        <v>-17.422999999999998</v>
      </c>
      <c r="E24" s="55">
        <v>2</v>
      </c>
      <c r="F24" s="309" t="str">
        <f>IF(B24&gt;=D24,"A","B")</f>
        <v>A</v>
      </c>
      <c r="G24" s="358">
        <v>1</v>
      </c>
      <c r="H24" s="322">
        <v>1.5653999999999999</v>
      </c>
      <c r="I24" s="35" t="s">
        <v>133</v>
      </c>
      <c r="J24" s="37">
        <v>-4.0579999999999998</v>
      </c>
      <c r="K24" s="37">
        <v>0</v>
      </c>
      <c r="L24" s="37">
        <f t="shared" si="26"/>
        <v>-15.32</v>
      </c>
      <c r="M24" s="318">
        <f t="shared" si="27"/>
        <v>-17.3</v>
      </c>
      <c r="N24" s="37">
        <v>-15.32</v>
      </c>
      <c r="O24" s="318">
        <f>IF(Y24&lt;&gt;0,Y24,0.565*(V24-N24)+N24)</f>
        <v>-17.3</v>
      </c>
      <c r="P24" s="30">
        <f t="shared" si="31"/>
        <v>1.3287850190796176E-13</v>
      </c>
      <c r="Q24" s="30" t="b">
        <f t="shared" si="4"/>
        <v>1</v>
      </c>
      <c r="R24" s="31">
        <f t="shared" si="5"/>
        <v>-4.0579999877960509</v>
      </c>
      <c r="S24" s="31">
        <v>0</v>
      </c>
      <c r="T24" s="31">
        <f t="shared" si="7"/>
        <v>-15.319999640921418</v>
      </c>
      <c r="U24" s="31">
        <f t="shared" si="8"/>
        <v>-17.299999938419667</v>
      </c>
      <c r="V24" s="31">
        <f t="shared" si="9"/>
        <v>-16.520999999999997</v>
      </c>
      <c r="W24" s="31" t="str">
        <f t="shared" si="10"/>
        <v>OK</v>
      </c>
      <c r="X24" s="31" t="s">
        <v>35</v>
      </c>
      <c r="Y24" s="31">
        <v>-17.3</v>
      </c>
      <c r="Z24" s="27">
        <v>1.1631595023996495</v>
      </c>
      <c r="AA24" s="27">
        <v>0.74573803263684624</v>
      </c>
      <c r="AB24" s="29">
        <v>0.85262747333887057</v>
      </c>
      <c r="AC24" s="29">
        <v>2.0158930694102581</v>
      </c>
      <c r="AD24" s="29">
        <v>0</v>
      </c>
      <c r="AE24" s="32">
        <f t="shared" si="46"/>
        <v>48.851955719220406</v>
      </c>
      <c r="AF24" s="32">
        <f t="shared" si="46"/>
        <v>115.50216482688091</v>
      </c>
      <c r="AG24" s="32">
        <f t="shared" si="46"/>
        <v>0</v>
      </c>
      <c r="AH24" s="249" t="s">
        <v>133</v>
      </c>
      <c r="AI24" s="327">
        <f>SUMXMY2(AL24:AN24,AO24:AQ24)^0.5</f>
        <v>1.9121025478895326</v>
      </c>
      <c r="AJ24" s="233">
        <f>SUMSQ(AO24:AQ24)^0.5</f>
        <v>2.0029529781762578</v>
      </c>
      <c r="AK24" s="233">
        <f t="shared" si="14"/>
        <v>1.1862572441265908</v>
      </c>
      <c r="AL24" s="235">
        <f>Z24*COS(AB24)</f>
        <v>0.76536697929595809</v>
      </c>
      <c r="AM24" s="235">
        <f>Z24*SIN(AB24)</f>
        <v>0.87587294456786402</v>
      </c>
      <c r="AN24" s="235">
        <v>0</v>
      </c>
      <c r="AO24" s="235">
        <f t="shared" si="17"/>
        <v>1.8864739298147648</v>
      </c>
      <c r="AP24" s="235">
        <f>-AA24*SIN(AC24)*COS(AD24)</f>
        <v>-0.67308004346762307</v>
      </c>
      <c r="AQ24" s="237">
        <f>-AA24*SIN(AC24)*SIN(AD24)</f>
        <v>0</v>
      </c>
      <c r="AR24" s="3"/>
      <c r="AS24" s="16">
        <f>H24*1000</f>
        <v>1565.3999999999999</v>
      </c>
      <c r="AT24" s="16">
        <f t="shared" si="47"/>
        <v>1163.1595023996495</v>
      </c>
      <c r="AU24" s="16">
        <f t="shared" si="47"/>
        <v>745.73803263684624</v>
      </c>
      <c r="AV24" s="16"/>
      <c r="AW24" s="16">
        <f t="shared" si="45"/>
        <v>852.62747333887057</v>
      </c>
      <c r="AX24" s="16">
        <f t="shared" si="45"/>
        <v>2015.8930694102582</v>
      </c>
      <c r="AY24" s="16">
        <f t="shared" si="45"/>
        <v>0</v>
      </c>
      <c r="BA24" s="394" t="str">
        <f ca="1">Rotation!BA133</f>
        <v>-</v>
      </c>
      <c r="BB24" s="394" t="str">
        <f ca="1">Rotation!BB133</f>
        <v>-</v>
      </c>
      <c r="BC24" s="394">
        <v>0.62871450372959825</v>
      </c>
      <c r="BD24" s="391" t="e">
        <f t="shared" ca="1" si="28"/>
        <v>#VALUE!</v>
      </c>
      <c r="BE24" s="391"/>
      <c r="BF24" s="391"/>
    </row>
    <row r="25" spans="1:58" s="56" customFormat="1" ht="15" customHeight="1">
      <c r="A25" s="541"/>
      <c r="B25" s="54">
        <v>-10.36</v>
      </c>
      <c r="C25" s="55">
        <v>4</v>
      </c>
      <c r="D25" s="54">
        <v>-17.422999999999998</v>
      </c>
      <c r="E25" s="55">
        <v>2</v>
      </c>
      <c r="F25" s="309" t="str">
        <f>IF(B25&gt;=D25,"A","B")</f>
        <v>A</v>
      </c>
      <c r="G25" s="358">
        <v>1</v>
      </c>
      <c r="H25" s="322">
        <v>1.5653999999999999</v>
      </c>
      <c r="I25" s="35" t="s">
        <v>133</v>
      </c>
      <c r="J25" s="37">
        <v>-4.0579999999999998</v>
      </c>
      <c r="K25" s="37">
        <v>0</v>
      </c>
      <c r="L25" s="37">
        <f t="shared" si="26"/>
        <v>-15.69</v>
      </c>
      <c r="M25" s="318">
        <f t="shared" si="27"/>
        <v>-17.3</v>
      </c>
      <c r="N25" s="37">
        <v>-15.69</v>
      </c>
      <c r="O25" s="318">
        <f>IF(Y25&lt;&gt;0,Y25,0.565*(V25-N25)+N25)</f>
        <v>-17.3</v>
      </c>
      <c r="P25" s="30">
        <f t="shared" si="31"/>
        <v>5.0891726404102659E-12</v>
      </c>
      <c r="Q25" s="30" t="b">
        <f t="shared" si="4"/>
        <v>1</v>
      </c>
      <c r="R25" s="31">
        <f t="shared" si="5"/>
        <v>-4.0580010663077459</v>
      </c>
      <c r="S25" s="31">
        <v>0</v>
      </c>
      <c r="T25" s="31">
        <f t="shared" si="7"/>
        <v>-15.68999801216283</v>
      </c>
      <c r="U25" s="31">
        <f t="shared" si="8"/>
        <v>-17.300000025764675</v>
      </c>
      <c r="V25" s="31">
        <f t="shared" si="9"/>
        <v>-16.150999999999996</v>
      </c>
      <c r="W25" s="31" t="str">
        <f t="shared" si="10"/>
        <v>OK</v>
      </c>
      <c r="X25" s="31" t="s">
        <v>35</v>
      </c>
      <c r="Y25" s="31">
        <v>-17.3</v>
      </c>
      <c r="Z25" s="27">
        <v>1.0971342767117664</v>
      </c>
      <c r="AA25" s="27">
        <v>0.73795649505396244</v>
      </c>
      <c r="AB25" s="29">
        <v>0.89230166444693515</v>
      </c>
      <c r="AC25" s="29">
        <v>2.1445412896345952</v>
      </c>
      <c r="AD25" s="29">
        <v>0</v>
      </c>
      <c r="AE25" s="32">
        <f t="shared" si="46"/>
        <v>51.125119425307965</v>
      </c>
      <c r="AF25" s="32">
        <f t="shared" si="46"/>
        <v>122.87316488760499</v>
      </c>
      <c r="AG25" s="32">
        <f t="shared" si="46"/>
        <v>0</v>
      </c>
      <c r="AH25" s="249" t="s">
        <v>133</v>
      </c>
      <c r="AI25" s="323">
        <f>SUMXMY2(AL25:AN25,AO25:AQ25)^0.5</f>
        <v>1.9504170139092534</v>
      </c>
      <c r="AJ25" s="27">
        <f>SUMSQ(AO25:AQ25)^0.5</f>
        <v>2.0613333925667012</v>
      </c>
      <c r="AK25" s="27">
        <f t="shared" si="14"/>
        <v>1.2240741949314966</v>
      </c>
      <c r="AL25" s="29">
        <f>Z25*COS(AB25)</f>
        <v>0.68858539237212824</v>
      </c>
      <c r="AM25" s="29">
        <f>Z25*SIN(AB25)</f>
        <v>0.8541392032611389</v>
      </c>
      <c r="AN25" s="29">
        <v>0</v>
      </c>
      <c r="AO25" s="29">
        <f t="shared" si="17"/>
        <v>1.9659488714444286</v>
      </c>
      <c r="AP25" s="29">
        <f>-AA25*SIN(AC25)*COS(AD25)</f>
        <v>-0.6197906018785081</v>
      </c>
      <c r="AQ25" s="33">
        <f>-AA25*SIN(AC25)*SIN(AD25)</f>
        <v>0</v>
      </c>
      <c r="AR25" s="3"/>
      <c r="AS25" s="16">
        <f>H25*1000</f>
        <v>1565.3999999999999</v>
      </c>
      <c r="AT25" s="16">
        <f t="shared" si="47"/>
        <v>1097.1342767117665</v>
      </c>
      <c r="AU25" s="16">
        <f t="shared" si="47"/>
        <v>737.95649505396239</v>
      </c>
      <c r="AV25" s="16"/>
      <c r="AW25" s="16">
        <f t="shared" ref="AW25:AY27" si="48">(AB25)*1000</f>
        <v>892.30166444693521</v>
      </c>
      <c r="AX25" s="16">
        <f t="shared" si="48"/>
        <v>2144.5412896345952</v>
      </c>
      <c r="AY25" s="16">
        <f t="shared" si="48"/>
        <v>0</v>
      </c>
      <c r="BA25" s="394" t="str">
        <f ca="1">Rotation!BA134</f>
        <v>-</v>
      </c>
      <c r="BB25" s="394" t="str">
        <f ca="1">Rotation!BB134</f>
        <v>-</v>
      </c>
      <c r="BC25" s="394">
        <v>0.65507388813683731</v>
      </c>
      <c r="BD25" s="391" t="e">
        <f t="shared" ca="1" si="28"/>
        <v>#VALUE!</v>
      </c>
      <c r="BE25" s="391"/>
      <c r="BF25" s="391"/>
    </row>
    <row r="26" spans="1:58" s="56" customFormat="1" ht="15" customHeight="1">
      <c r="A26" s="541"/>
      <c r="B26" s="54">
        <v>-10.36</v>
      </c>
      <c r="C26" s="55">
        <v>4</v>
      </c>
      <c r="D26" s="54">
        <v>-17.422999999999998</v>
      </c>
      <c r="E26" s="55">
        <v>2</v>
      </c>
      <c r="F26" s="310" t="str">
        <f>IF(B26&gt;=D26,"A","B")</f>
        <v>A</v>
      </c>
      <c r="G26" s="358">
        <v>1</v>
      </c>
      <c r="H26" s="322">
        <v>1.5653999999999999</v>
      </c>
      <c r="I26" s="35" t="s">
        <v>133</v>
      </c>
      <c r="J26" s="37">
        <v>-3.4380000000000002</v>
      </c>
      <c r="K26" s="37">
        <v>0</v>
      </c>
      <c r="L26" s="37">
        <f t="shared" si="26"/>
        <v>-15.32</v>
      </c>
      <c r="M26" s="318">
        <f t="shared" si="27"/>
        <v>-17.3</v>
      </c>
      <c r="N26" s="37">
        <v>-15.32</v>
      </c>
      <c r="O26" s="318">
        <f>IF(Y26&lt;&gt;0,Y26,0.565*(V26-N26)+N26)</f>
        <v>-17.3</v>
      </c>
      <c r="P26" s="30">
        <f t="shared" si="31"/>
        <v>3.0176200822475714E-12</v>
      </c>
      <c r="Q26" s="30" t="b">
        <f t="shared" si="4"/>
        <v>1</v>
      </c>
      <c r="R26" s="31">
        <f t="shared" si="5"/>
        <v>-3.4380001354901366</v>
      </c>
      <c r="S26" s="31">
        <v>0</v>
      </c>
      <c r="T26" s="31">
        <f t="shared" si="7"/>
        <v>-15.319998268280406</v>
      </c>
      <c r="U26" s="31">
        <f t="shared" si="8"/>
        <v>-17.299999979757679</v>
      </c>
      <c r="V26" s="31">
        <f t="shared" si="9"/>
        <v>-15.900999999999996</v>
      </c>
      <c r="W26" s="31" t="str">
        <f t="shared" si="10"/>
        <v>OK</v>
      </c>
      <c r="X26" s="31" t="s">
        <v>35</v>
      </c>
      <c r="Y26" s="31">
        <v>-17.3</v>
      </c>
      <c r="Z26" s="35">
        <v>1.0865606038201994</v>
      </c>
      <c r="AA26" s="35">
        <v>0.75713379851149698</v>
      </c>
      <c r="AB26" s="37">
        <v>0.94324498600342976</v>
      </c>
      <c r="AC26" s="37">
        <v>1.862804760137116</v>
      </c>
      <c r="AD26" s="37">
        <v>0</v>
      </c>
      <c r="AE26" s="38">
        <f t="shared" si="46"/>
        <v>54.043956744872936</v>
      </c>
      <c r="AF26" s="38">
        <f t="shared" si="46"/>
        <v>106.73085081273641</v>
      </c>
      <c r="AG26" s="38">
        <f t="shared" si="46"/>
        <v>0</v>
      </c>
      <c r="AH26" s="250" t="s">
        <v>133</v>
      </c>
      <c r="AI26" s="241">
        <f>SUMXMY2(AL26:AN26,AO26:AQ26)^0.5</f>
        <v>1.9714651018681748</v>
      </c>
      <c r="AJ26" s="35">
        <f>SUMSQ(AO26:AQ26)^0.5</f>
        <v>1.9251286871263125</v>
      </c>
      <c r="AK26" s="35">
        <f t="shared" si="14"/>
        <v>1.2781521444624901</v>
      </c>
      <c r="AL26" s="37">
        <f>Z26*COS(AB26)</f>
        <v>0.63798971552959427</v>
      </c>
      <c r="AM26" s="37">
        <f>Z26*SIN(AB26)</f>
        <v>0.87953571198251157</v>
      </c>
      <c r="AN26" s="37">
        <v>0</v>
      </c>
      <c r="AO26" s="37">
        <f t="shared" si="17"/>
        <v>1.78336081293862</v>
      </c>
      <c r="AP26" s="37">
        <f>-AA26*SIN(AC26)*COS(AD26)</f>
        <v>-0.72508252831769704</v>
      </c>
      <c r="AQ26" s="39">
        <f>-AA26*SIN(AC26)*SIN(AD26)</f>
        <v>0</v>
      </c>
      <c r="AR26" s="3"/>
      <c r="AS26" s="16">
        <f>H26*1000</f>
        <v>1565.3999999999999</v>
      </c>
      <c r="AT26" s="16">
        <f t="shared" si="47"/>
        <v>1086.5606038201993</v>
      </c>
      <c r="AU26" s="16">
        <f t="shared" si="47"/>
        <v>757.13379851149693</v>
      </c>
      <c r="AV26" s="16"/>
      <c r="AW26" s="16">
        <f t="shared" si="48"/>
        <v>943.24498600342974</v>
      </c>
      <c r="AX26" s="16">
        <f t="shared" si="48"/>
        <v>1862.8047601371161</v>
      </c>
      <c r="AY26" s="16">
        <f t="shared" si="48"/>
        <v>0</v>
      </c>
      <c r="BA26" s="394" t="str">
        <f ca="1">Rotation!BA135</f>
        <v>-</v>
      </c>
      <c r="BB26" s="394" t="str">
        <f ca="1">Rotation!BB135</f>
        <v>-</v>
      </c>
      <c r="BC26" s="394">
        <v>0.59537064200058187</v>
      </c>
      <c r="BD26" s="391" t="e">
        <f t="shared" ca="1" si="28"/>
        <v>#VALUE!</v>
      </c>
      <c r="BE26" s="391"/>
      <c r="BF26" s="391"/>
    </row>
    <row r="27" spans="1:58" s="53" customFormat="1" ht="15" customHeight="1" thickBot="1">
      <c r="A27" s="542"/>
      <c r="B27" s="63">
        <v>-10.36</v>
      </c>
      <c r="C27" s="64">
        <v>4</v>
      </c>
      <c r="D27" s="63">
        <v>-17.422999999999998</v>
      </c>
      <c r="E27" s="64">
        <v>2</v>
      </c>
      <c r="F27" s="321" t="str">
        <f t="shared" si="32"/>
        <v>A</v>
      </c>
      <c r="G27" s="361">
        <v>1</v>
      </c>
      <c r="H27" s="330">
        <v>1.5653999999999999</v>
      </c>
      <c r="I27" s="65" t="s">
        <v>133</v>
      </c>
      <c r="J27" s="66">
        <v>-3.4380000000000002</v>
      </c>
      <c r="K27" s="66">
        <v>0</v>
      </c>
      <c r="L27" s="66">
        <f t="shared" si="26"/>
        <v>-15.69</v>
      </c>
      <c r="M27" s="333">
        <f t="shared" si="27"/>
        <v>-17.3</v>
      </c>
      <c r="N27" s="66">
        <v>-15.69</v>
      </c>
      <c r="O27" s="333">
        <f t="shared" si="33"/>
        <v>-17.3</v>
      </c>
      <c r="P27" s="67">
        <f t="shared" si="31"/>
        <v>4.0672205248433794E-13</v>
      </c>
      <c r="Q27" s="67" t="b">
        <f t="shared" si="4"/>
        <v>1</v>
      </c>
      <c r="R27" s="68">
        <f t="shared" si="5"/>
        <v>-3.4379998365918398</v>
      </c>
      <c r="S27" s="68">
        <v>0</v>
      </c>
      <c r="T27" s="68">
        <f t="shared" si="7"/>
        <v>-15.69000061645748</v>
      </c>
      <c r="U27" s="68">
        <f t="shared" si="8"/>
        <v>-17.299999999985502</v>
      </c>
      <c r="V27" s="68">
        <f t="shared" si="9"/>
        <v>-15.530999999999997</v>
      </c>
      <c r="W27" s="68" t="str">
        <f t="shared" si="10"/>
        <v>OK</v>
      </c>
      <c r="X27" s="68" t="s">
        <v>35</v>
      </c>
      <c r="Y27" s="68">
        <v>-17.3</v>
      </c>
      <c r="Z27" s="65">
        <v>1.0753333691419411</v>
      </c>
      <c r="AA27" s="65">
        <v>0.75568455599474327</v>
      </c>
      <c r="AB27" s="66">
        <v>0.92047757886608284</v>
      </c>
      <c r="AC27" s="66">
        <v>1.8804665528593896</v>
      </c>
      <c r="AD27" s="66">
        <v>0</v>
      </c>
      <c r="AE27" s="69">
        <f t="shared" si="34"/>
        <v>52.739480405446926</v>
      </c>
      <c r="AF27" s="69">
        <f t="shared" si="35"/>
        <v>107.74279699435755</v>
      </c>
      <c r="AG27" s="69">
        <f t="shared" si="36"/>
        <v>0</v>
      </c>
      <c r="AH27" s="326" t="s">
        <v>133</v>
      </c>
      <c r="AI27" s="330">
        <f t="shared" si="37"/>
        <v>1.9474802437367109</v>
      </c>
      <c r="AJ27" s="65">
        <f t="shared" si="38"/>
        <v>1.9345621271488027</v>
      </c>
      <c r="AK27" s="65">
        <f t="shared" si="14"/>
        <v>1.2524023995226041</v>
      </c>
      <c r="AL27" s="66">
        <f t="shared" si="39"/>
        <v>0.65104996948389593</v>
      </c>
      <c r="AM27" s="66">
        <f t="shared" si="40"/>
        <v>0.85584799586443872</v>
      </c>
      <c r="AN27" s="66">
        <v>0</v>
      </c>
      <c r="AO27" s="66">
        <f t="shared" si="17"/>
        <v>1.7956907613483863</v>
      </c>
      <c r="AP27" s="66">
        <f t="shared" si="41"/>
        <v>-0.71973975394343259</v>
      </c>
      <c r="AQ27" s="331">
        <f t="shared" si="42"/>
        <v>0</v>
      </c>
      <c r="AR27" s="3"/>
      <c r="AS27" s="16">
        <f t="shared" si="43"/>
        <v>1565.3999999999999</v>
      </c>
      <c r="AT27" s="16">
        <f t="shared" si="44"/>
        <v>1075.3333691419411</v>
      </c>
      <c r="AU27" s="16">
        <f t="shared" si="44"/>
        <v>755.68455599474328</v>
      </c>
      <c r="AV27" s="16"/>
      <c r="AW27" s="16">
        <f t="shared" si="48"/>
        <v>920.47757886608281</v>
      </c>
      <c r="AX27" s="16">
        <f t="shared" si="48"/>
        <v>1880.4665528593896</v>
      </c>
      <c r="AY27" s="16">
        <f t="shared" si="48"/>
        <v>0</v>
      </c>
      <c r="BA27" s="394" t="str">
        <f ca="1">Rotation!BA136</f>
        <v>-</v>
      </c>
      <c r="BB27" s="394" t="str">
        <f ca="1">Rotation!BB136</f>
        <v>-</v>
      </c>
      <c r="BC27" s="394">
        <v>0.58574437796940926</v>
      </c>
      <c r="BD27" s="391" t="e">
        <f t="shared" ca="1" si="28"/>
        <v>#VALUE!</v>
      </c>
      <c r="BE27" s="391"/>
      <c r="BF27" s="391"/>
    </row>
    <row r="28" spans="1:58" s="51" customFormat="1">
      <c r="B28" s="1"/>
      <c r="C28" s="2"/>
      <c r="D28" s="1"/>
      <c r="E28" s="2"/>
      <c r="I28" s="53"/>
      <c r="L28" s="352"/>
      <c r="M28" s="352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3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396"/>
    </row>
    <row r="29" spans="1:58" s="51" customFormat="1">
      <c r="B29" s="1"/>
      <c r="C29" s="2"/>
      <c r="D29" s="1"/>
      <c r="E29" s="2"/>
      <c r="I29" s="53"/>
      <c r="L29" s="352"/>
      <c r="M29" s="352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3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396"/>
    </row>
    <row r="30" spans="1:58" s="51" customFormat="1">
      <c r="B30" s="1"/>
      <c r="C30" s="2"/>
      <c r="D30" s="1"/>
      <c r="E30" s="2"/>
      <c r="I30" s="53"/>
      <c r="L30" s="352"/>
      <c r="M30" s="352"/>
      <c r="O30" s="1"/>
      <c r="P30" s="1"/>
      <c r="Q30" s="1"/>
      <c r="R30" s="1"/>
      <c r="T30" s="1"/>
      <c r="U30" s="1"/>
      <c r="V30" s="1"/>
      <c r="W30" s="1"/>
      <c r="X30" s="1"/>
      <c r="Y30" s="1"/>
      <c r="AB30" s="1"/>
      <c r="AC30" s="1"/>
      <c r="AD30" s="1"/>
      <c r="AH30" s="53"/>
      <c r="AR30" s="2"/>
      <c r="AS30" s="2"/>
      <c r="AT30" s="2"/>
      <c r="AU30" s="2"/>
      <c r="AV30" s="2"/>
      <c r="AW30" s="2"/>
      <c r="AX30" s="1"/>
      <c r="AY30" s="1"/>
      <c r="AZ30" s="1"/>
      <c r="BA30" s="1"/>
      <c r="BC30" s="396"/>
    </row>
  </sheetData>
  <mergeCells count="11">
    <mergeCell ref="AW3:AY3"/>
    <mergeCell ref="Z2:AH2"/>
    <mergeCell ref="G2:O2"/>
    <mergeCell ref="P2:Y2"/>
    <mergeCell ref="AI2:AK2"/>
    <mergeCell ref="AL2:AQ2"/>
    <mergeCell ref="A12:A14"/>
    <mergeCell ref="A24:A27"/>
    <mergeCell ref="A15:A16"/>
    <mergeCell ref="A17:A18"/>
    <mergeCell ref="A19:A20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DA50"/>
  <sheetViews>
    <sheetView zoomScale="130" zoomScaleNormal="130" zoomScalePageLayoutView="85" workbookViewId="0">
      <selection activeCell="K13" sqref="K13"/>
    </sheetView>
  </sheetViews>
  <sheetFormatPr defaultRowHeight="15" outlineLevelCol="1"/>
  <cols>
    <col min="1" max="1" width="9.42578125" style="56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409" hidden="1" customWidth="1" outlineLevel="1"/>
    <col min="9" max="9" width="3.7109375" style="409" customWidth="1"/>
    <col min="10" max="10" width="3.5703125" style="409" customWidth="1"/>
    <col min="11" max="11" width="8.28515625" style="409" customWidth="1" collapsed="1"/>
    <col min="12" max="12" width="6.28515625" style="409" bestFit="1" customWidth="1"/>
    <col min="13" max="13" width="10.140625" style="409" customWidth="1" outlineLevel="1"/>
    <col min="14" max="14" width="8.28515625" style="409" customWidth="1"/>
    <col min="15" max="15" width="8.140625" style="409" customWidth="1"/>
    <col min="16" max="16" width="7.5703125" style="409" customWidth="1"/>
    <col min="17" max="19" width="7.85546875" style="409" customWidth="1"/>
    <col min="20" max="23" width="7.7109375" style="409" customWidth="1"/>
    <col min="24" max="24" width="7.28515625" style="409" customWidth="1" outlineLevel="1"/>
    <col min="25" max="26" width="7.140625" style="409" customWidth="1" outlineLevel="1"/>
    <col min="27" max="27" width="7.5703125" style="1" customWidth="1" outlineLevel="1"/>
    <col min="28" max="28" width="11.5703125" style="1" customWidth="1" outlineLevel="1"/>
    <col min="29" max="29" width="9" style="1" customWidth="1" outlineLevel="1"/>
    <col min="30" max="31" width="9.140625" style="1" customWidth="1" outlineLevel="1"/>
    <col min="32" max="32" width="9.140625" style="56" customWidth="1" outlineLevel="1"/>
    <col min="33" max="35" width="9.140625" style="1" customWidth="1" outlineLevel="1"/>
    <col min="36" max="36" width="9.140625" style="1" customWidth="1" outlineLevel="1" collapsed="1"/>
    <col min="37" max="41" width="9.140625" style="1" customWidth="1" outlineLevel="1"/>
    <col min="42" max="43" width="9.7109375" style="1" customWidth="1" outlineLevel="1"/>
    <col min="44" max="44" width="28.7109375" style="1" customWidth="1" outlineLevel="1"/>
    <col min="45" max="46" width="7.7109375" style="56" customWidth="1" collapsed="1"/>
    <col min="47" max="49" width="7.7109375" style="1" hidden="1" customWidth="1" outlineLevel="1"/>
    <col min="50" max="50" width="7.7109375" style="56" customWidth="1"/>
    <col min="51" max="51" width="7.7109375" style="56" customWidth="1" collapsed="1"/>
    <col min="52" max="54" width="7.7109375" style="1" hidden="1" customWidth="1" outlineLevel="1"/>
    <col min="55" max="55" width="7.28515625" style="56" customWidth="1" collapsed="1"/>
    <col min="56" max="60" width="7.28515625" style="56" customWidth="1"/>
    <col min="61" max="61" width="9.7109375" style="313" customWidth="1"/>
    <col min="62" max="62" width="5.7109375" style="56" customWidth="1" outlineLevel="1"/>
    <col min="63" max="64" width="6" style="56" customWidth="1" outlineLevel="1"/>
    <col min="65" max="66" width="5.85546875" style="56" customWidth="1" outlineLevel="1"/>
    <col min="67" max="67" width="5.7109375" style="56" customWidth="1" outlineLevel="1"/>
    <col min="68" max="69" width="5.85546875" style="56" customWidth="1" outlineLevel="1"/>
    <col min="70" max="71" width="5.7109375" style="56" customWidth="1" outlineLevel="1"/>
    <col min="72" max="73" width="6" style="56" customWidth="1" outlineLevel="1"/>
    <col min="74" max="75" width="5.85546875" style="56" customWidth="1" outlineLevel="1"/>
    <col min="76" max="76" width="5.7109375" style="56" customWidth="1" outlineLevel="1"/>
    <col min="77" max="78" width="5.85546875" style="56" customWidth="1" outlineLevel="1"/>
    <col min="79" max="79" width="6.7109375" style="56" customWidth="1" outlineLevel="1"/>
    <col min="80" max="80" width="9.140625" style="1" collapsed="1"/>
    <col min="81" max="95" width="5.7109375" style="1" hidden="1" customWidth="1" outlineLevel="1"/>
    <col min="96" max="96" width="9.140625" style="1" customWidth="1"/>
    <col min="97" max="16384" width="9.140625" style="1"/>
  </cols>
  <sheetData>
    <row r="1" spans="1:105" s="56" customFormat="1" ht="15.75" customHeight="1" thickBot="1">
      <c r="B1" s="10"/>
      <c r="C1" s="10"/>
      <c r="D1" s="10"/>
      <c r="E1" s="20"/>
      <c r="F1" s="20"/>
      <c r="G1" s="20"/>
      <c r="H1" s="2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"/>
      <c r="AB1" s="9">
        <f>SUM(AB4:AB33)</f>
        <v>9.025021603551852E-3</v>
      </c>
      <c r="AC1" s="9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M1" s="1"/>
      <c r="BN1" s="1"/>
      <c r="BO1" s="1"/>
      <c r="BR1" s="1"/>
      <c r="BV1" s="1"/>
      <c r="BW1" s="1"/>
      <c r="BX1" s="1"/>
      <c r="CA1" s="1"/>
      <c r="CT1" s="400" t="e">
        <f ca="1">SUMXMY2(CT4:CT33,CU4:CU33)+SUMXMY2(CX4:CX33,CY4:CY33)</f>
        <v>#DIV/0!</v>
      </c>
    </row>
    <row r="2" spans="1:105" s="56" customFormat="1" ht="15" customHeight="1" thickBot="1">
      <c r="A2" s="5" t="s">
        <v>356</v>
      </c>
      <c r="B2" s="546" t="s">
        <v>61</v>
      </c>
      <c r="C2" s="524"/>
      <c r="D2" s="524"/>
      <c r="E2" s="524"/>
      <c r="F2" s="524"/>
      <c r="G2" s="524"/>
      <c r="H2" s="548" t="s">
        <v>72</v>
      </c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47"/>
      <c r="AB2" s="527" t="s">
        <v>71</v>
      </c>
      <c r="AC2" s="527"/>
      <c r="AD2" s="527"/>
      <c r="AE2" s="527"/>
      <c r="AF2" s="527"/>
      <c r="AG2" s="527"/>
      <c r="AH2" s="527"/>
      <c r="AI2" s="527"/>
      <c r="AJ2" s="527"/>
      <c r="AK2" s="527"/>
      <c r="AL2" s="527"/>
      <c r="AM2" s="527"/>
      <c r="AN2" s="527"/>
      <c r="AO2" s="527"/>
      <c r="AP2" s="527"/>
      <c r="AQ2" s="527"/>
      <c r="AR2" s="527"/>
      <c r="AS2" s="548" t="s">
        <v>62</v>
      </c>
      <c r="AT2" s="524"/>
      <c r="AU2" s="524"/>
      <c r="AV2" s="524"/>
      <c r="AW2" s="524"/>
      <c r="AX2" s="524"/>
      <c r="AY2" s="524"/>
      <c r="AZ2" s="524"/>
      <c r="BA2" s="524"/>
      <c r="BB2" s="524"/>
      <c r="BC2" s="524"/>
      <c r="BD2" s="524"/>
      <c r="BE2" s="524"/>
      <c r="BF2" s="524"/>
      <c r="BG2" s="524"/>
      <c r="BH2" s="524"/>
      <c r="BI2" s="547"/>
      <c r="BJ2" s="555" t="s">
        <v>423</v>
      </c>
      <c r="BK2" s="556"/>
      <c r="BL2" s="556"/>
      <c r="BM2" s="556"/>
      <c r="BN2" s="556"/>
      <c r="BO2" s="556"/>
      <c r="BP2" s="556"/>
      <c r="BQ2" s="556"/>
      <c r="BR2" s="557"/>
      <c r="BS2" s="555" t="s">
        <v>424</v>
      </c>
      <c r="BT2" s="556"/>
      <c r="BU2" s="556"/>
      <c r="BV2" s="556"/>
      <c r="BW2" s="556"/>
      <c r="BX2" s="556"/>
      <c r="BY2" s="556"/>
      <c r="BZ2" s="556"/>
      <c r="CA2" s="557"/>
      <c r="CC2" s="554" t="s">
        <v>512</v>
      </c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</row>
    <row r="3" spans="1:105" s="56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357</v>
      </c>
      <c r="G3" s="256" t="s">
        <v>358</v>
      </c>
      <c r="H3" s="240" t="s">
        <v>40</v>
      </c>
      <c r="I3" s="261" t="s">
        <v>364</v>
      </c>
      <c r="J3" s="4" t="s">
        <v>366</v>
      </c>
      <c r="K3" s="4" t="s">
        <v>363</v>
      </c>
      <c r="L3" s="4" t="s">
        <v>365</v>
      </c>
      <c r="M3" s="4" t="s">
        <v>127</v>
      </c>
      <c r="N3" s="4" t="s">
        <v>359</v>
      </c>
      <c r="O3" s="4" t="s">
        <v>360</v>
      </c>
      <c r="P3" s="4" t="s">
        <v>493</v>
      </c>
      <c r="Q3" s="4" t="s">
        <v>31</v>
      </c>
      <c r="R3" s="4" t="s">
        <v>456</v>
      </c>
      <c r="S3" s="4" t="s">
        <v>514</v>
      </c>
      <c r="T3" s="4" t="s">
        <v>357</v>
      </c>
      <c r="U3" s="4"/>
      <c r="V3" s="4"/>
      <c r="W3" s="4"/>
      <c r="X3" s="4" t="s">
        <v>38</v>
      </c>
      <c r="Y3" s="4" t="s">
        <v>397</v>
      </c>
      <c r="Z3" s="4" t="s">
        <v>396</v>
      </c>
      <c r="AA3" s="14" t="s">
        <v>398</v>
      </c>
      <c r="AB3" s="252" t="s">
        <v>5</v>
      </c>
      <c r="AC3" s="11" t="s">
        <v>4</v>
      </c>
      <c r="AD3" s="11" t="s">
        <v>394</v>
      </c>
      <c r="AE3" s="11" t="s">
        <v>395</v>
      </c>
      <c r="AF3" s="11" t="s">
        <v>30</v>
      </c>
      <c r="AG3" s="11" t="s">
        <v>41</v>
      </c>
      <c r="AH3" s="11" t="s">
        <v>400</v>
      </c>
      <c r="AI3" s="11" t="s">
        <v>401</v>
      </c>
      <c r="AJ3" s="11" t="s">
        <v>402</v>
      </c>
      <c r="AK3" s="4" t="s">
        <v>399</v>
      </c>
      <c r="AL3" s="4" t="s">
        <v>39</v>
      </c>
      <c r="AM3" s="4" t="s">
        <v>361</v>
      </c>
      <c r="AN3" s="4" t="s">
        <v>362</v>
      </c>
      <c r="AO3" s="17" t="s">
        <v>36</v>
      </c>
      <c r="AP3" s="11" t="s">
        <v>42</v>
      </c>
      <c r="AQ3" s="11" t="s">
        <v>385</v>
      </c>
      <c r="AR3" s="245" t="s">
        <v>386</v>
      </c>
      <c r="AS3" s="240" t="s">
        <v>458</v>
      </c>
      <c r="AT3" s="4" t="s">
        <v>457</v>
      </c>
      <c r="AU3" s="261" t="s">
        <v>420</v>
      </c>
      <c r="AV3" s="4" t="s">
        <v>421</v>
      </c>
      <c r="AW3" s="4" t="s">
        <v>422</v>
      </c>
      <c r="AX3" s="4" t="s">
        <v>520</v>
      </c>
      <c r="AY3" s="4" t="s">
        <v>521</v>
      </c>
      <c r="AZ3" s="4" t="s">
        <v>417</v>
      </c>
      <c r="BA3" s="4" t="s">
        <v>418</v>
      </c>
      <c r="BB3" s="4" t="s">
        <v>419</v>
      </c>
      <c r="BC3" s="261" t="s">
        <v>411</v>
      </c>
      <c r="BD3" s="4" t="s">
        <v>412</v>
      </c>
      <c r="BE3" s="4" t="s">
        <v>413</v>
      </c>
      <c r="BF3" s="4" t="s">
        <v>414</v>
      </c>
      <c r="BG3" s="4" t="s">
        <v>415</v>
      </c>
      <c r="BH3" s="4" t="s">
        <v>416</v>
      </c>
      <c r="BI3" s="338" t="s">
        <v>509</v>
      </c>
      <c r="BJ3" s="240" t="s">
        <v>43</v>
      </c>
      <c r="BK3" s="8" t="s">
        <v>55</v>
      </c>
      <c r="BL3" s="8" t="s">
        <v>56</v>
      </c>
      <c r="BM3" s="4" t="s">
        <v>64</v>
      </c>
      <c r="BN3" s="4" t="s">
        <v>65</v>
      </c>
      <c r="BO3" s="4" t="s">
        <v>66</v>
      </c>
      <c r="BP3" s="4" t="s">
        <v>67</v>
      </c>
      <c r="BQ3" s="4" t="s">
        <v>68</v>
      </c>
      <c r="BR3" s="14" t="s">
        <v>69</v>
      </c>
      <c r="BS3" s="4" t="s">
        <v>43</v>
      </c>
      <c r="BT3" s="8" t="s">
        <v>55</v>
      </c>
      <c r="BU3" s="8" t="s">
        <v>56</v>
      </c>
      <c r="BV3" s="4" t="s">
        <v>67</v>
      </c>
      <c r="BW3" s="4" t="s">
        <v>68</v>
      </c>
      <c r="BX3" s="4" t="s">
        <v>69</v>
      </c>
      <c r="BY3" s="4" t="s">
        <v>391</v>
      </c>
      <c r="BZ3" s="4" t="s">
        <v>392</v>
      </c>
      <c r="CA3" s="14" t="s">
        <v>393</v>
      </c>
      <c r="CC3" s="302" t="s">
        <v>495</v>
      </c>
      <c r="CD3" s="302" t="s">
        <v>496</v>
      </c>
      <c r="CE3" s="302" t="s">
        <v>497</v>
      </c>
      <c r="CF3" s="302" t="s">
        <v>498</v>
      </c>
      <c r="CG3" s="302" t="s">
        <v>127</v>
      </c>
      <c r="CH3" s="302" t="s">
        <v>499</v>
      </c>
      <c r="CI3" s="302" t="s">
        <v>500</v>
      </c>
      <c r="CJ3" s="302" t="s">
        <v>501</v>
      </c>
      <c r="CK3" s="302" t="s">
        <v>502</v>
      </c>
      <c r="CL3" s="302" t="s">
        <v>503</v>
      </c>
      <c r="CM3" s="302" t="s">
        <v>504</v>
      </c>
      <c r="CN3" s="302" t="s">
        <v>505</v>
      </c>
      <c r="CO3" s="302" t="s">
        <v>506</v>
      </c>
      <c r="CP3" s="302" t="s">
        <v>507</v>
      </c>
      <c r="CQ3" s="302" t="s">
        <v>508</v>
      </c>
      <c r="CT3" s="393" t="s">
        <v>554</v>
      </c>
      <c r="CU3" s="399" t="s">
        <v>560</v>
      </c>
      <c r="CV3" s="397" t="s">
        <v>558</v>
      </c>
      <c r="CW3" s="398"/>
      <c r="CX3" s="399" t="s">
        <v>561</v>
      </c>
      <c r="CY3" s="399" t="s">
        <v>562</v>
      </c>
      <c r="CZ3" s="399" t="s">
        <v>563</v>
      </c>
      <c r="DA3" s="398"/>
    </row>
    <row r="4" spans="1:105" s="56" customFormat="1" ht="15" customHeight="1">
      <c r="A4" s="536" t="s">
        <v>370</v>
      </c>
      <c r="B4" s="35">
        <v>-13.59844</v>
      </c>
      <c r="C4" s="36">
        <v>1</v>
      </c>
      <c r="D4" s="35">
        <v>-13.61806</v>
      </c>
      <c r="E4" s="36">
        <v>4</v>
      </c>
      <c r="F4" s="36">
        <v>-13.59844</v>
      </c>
      <c r="G4" s="257">
        <v>1</v>
      </c>
      <c r="H4" s="241" t="s">
        <v>209</v>
      </c>
      <c r="I4" s="262">
        <v>1</v>
      </c>
      <c r="J4" s="36">
        <v>1</v>
      </c>
      <c r="K4" s="37">
        <v>0.95840000000000003</v>
      </c>
      <c r="L4" s="37">
        <v>0.95840000000000003</v>
      </c>
      <c r="M4" s="37">
        <v>1.8229964037080773</v>
      </c>
      <c r="N4" s="37">
        <v>-5.1719999999999997</v>
      </c>
      <c r="O4" s="37">
        <v>-5.1719999999999997</v>
      </c>
      <c r="P4" s="35">
        <v>1.855</v>
      </c>
      <c r="Q4" s="318">
        <f>AK4</f>
        <v>-14.699999998261431</v>
      </c>
      <c r="R4" s="37">
        <f>AL4</f>
        <v>-12.617999976620444</v>
      </c>
      <c r="S4" s="37">
        <f>AM4</f>
        <v>-12.617999976620444</v>
      </c>
      <c r="T4" s="318">
        <f>AN4</f>
        <v>-14.699999998261434</v>
      </c>
      <c r="U4" s="412">
        <v>1.00782503224</v>
      </c>
      <c r="V4" s="414">
        <v>15.9994</v>
      </c>
      <c r="W4" s="412">
        <v>1.00782503224</v>
      </c>
      <c r="X4" s="37">
        <v>-12.618</v>
      </c>
      <c r="Y4" s="318">
        <f t="shared" ref="Y4:Y33" si="0">IF(AP4&lt;0,AP4,LARGE($AK4:$AN4,MID(Y$3,3,1)))</f>
        <v>-12.618</v>
      </c>
      <c r="Z4" s="318">
        <f t="shared" ref="Z4:Z33" si="1">IF(AQ4&lt;0,AQ4,LARGE($AK4:$AN4,MID(Z$3,3,1)))</f>
        <v>-14.7</v>
      </c>
      <c r="AA4" s="334">
        <f t="shared" ref="AA4:AA33" si="2">IF(AR4&lt;0,AR4,LARGE($AK4:$AN4,MID(AA$3,3,1)))</f>
        <v>-14.7</v>
      </c>
      <c r="AB4" s="253">
        <f t="shared" ref="AB4:AB33" si="3">SUMXMY2(X4:AA4,AG4:AJ4)+SUMXMY2(N4:P4,AD4:AF4)</f>
        <v>9.0250016805423043E-3</v>
      </c>
      <c r="AC4" s="30" t="b">
        <f t="shared" ref="AC4:AC33" si="4">AND(ABS(AD4-$N4)&lt;0.0001,ABS(O4-$AE4)&lt;0.0001,ABS(AF4-P4)&lt;0.0001,ABS(AG4-$X4)&lt;0.0001,MAX(AK4:AN4)=AG4)</f>
        <v>0</v>
      </c>
      <c r="AD4" s="31">
        <f t="shared" ref="AD4:AD33" si="5">-(14.3998434*AS4*AT4/(K4^3)*(SIN(AU4)*SIN(AV4)*COS(AW4)-2*COS(AU4)*COS(AV4)))*I4</f>
        <v>-5.1719969142786608</v>
      </c>
      <c r="AE4" s="31">
        <f t="shared" ref="AE4:AE33" si="6">-(14.3998434*AX4*AY4/(L4^3)*(SIN(AZ4)*SIN(BA4)*COS(BB4)-2*COS(AZ4)*COS(BA4)))*J4</f>
        <v>-5.1719969142786599</v>
      </c>
      <c r="AF4" s="31">
        <f t="shared" ref="AF4:AF33" si="7">4.803*SQRT((K4-AS4*COS(AU4)-AT4*COS(AV4))^2+(L4-AX4*COS(AZ4)-AY4*COS(BA4))^2+2*(L4-AX4*COS(AZ4)-AY4*COS(BA4))*(K4-AS4*COS(AU4)-AT4*COS(AV4))*COS(M4))</f>
        <v>1.9500000087447251</v>
      </c>
      <c r="AG4" s="31">
        <f t="shared" ref="AG4:AG22" si="8">MAX($AK4:$AN4)</f>
        <v>-12.617999976620444</v>
      </c>
      <c r="AH4" s="31">
        <f t="shared" ref="AH4:AH33" si="9">LARGE($AK4:$AN4,MID(Y$3,3,1))</f>
        <v>-12.617999976620444</v>
      </c>
      <c r="AI4" s="31">
        <f t="shared" ref="AI4:AI33" si="10">LARGE($AK4:$AN4,MID(Z$3,3,1))</f>
        <v>-14.699999998261431</v>
      </c>
      <c r="AJ4" s="31">
        <f t="shared" ref="AJ4:AJ33" si="11">LARGE($AK4:$AN4,MID(AA$3,3,1))</f>
        <v>-14.699999998261434</v>
      </c>
      <c r="AK4" s="31">
        <f t="shared" ref="AK4:AK33" si="12">-14.3998434/AS4-14.3998434/BL4+14.3998434/K4</f>
        <v>-14.699999998261431</v>
      </c>
      <c r="AL4" s="31">
        <f t="shared" ref="AL4:AL33" si="13">-14.3998434/AT4-14.3998434/BK4+14.3998434/$K4</f>
        <v>-12.617999976620444</v>
      </c>
      <c r="AM4" s="31">
        <f t="shared" ref="AM4:AM33" si="14">-14.3998434/AX4-14.3998434/BU4+14.3998434/L4</f>
        <v>-12.617999976620444</v>
      </c>
      <c r="AN4" s="31">
        <f t="shared" ref="AN4:AN33" si="15">-14.3998434/AY4-14.3998434/BT4+14.3998434/L4</f>
        <v>-14.699999998261434</v>
      </c>
      <c r="AO4" s="30" t="s">
        <v>35</v>
      </c>
      <c r="AP4" s="30">
        <v>-12.618</v>
      </c>
      <c r="AQ4" s="30">
        <v>-14.7</v>
      </c>
      <c r="AR4" s="246">
        <v>-14.7</v>
      </c>
      <c r="AS4" s="241">
        <v>0.89965021590839522</v>
      </c>
      <c r="AT4" s="35">
        <v>0.96646046917784834</v>
      </c>
      <c r="AU4" s="37">
        <v>1.1991985681618891</v>
      </c>
      <c r="AV4" s="37">
        <v>1.2547997139103448</v>
      </c>
      <c r="AW4" s="37">
        <v>0.8427046510322227</v>
      </c>
      <c r="AX4" s="35">
        <f>AT4</f>
        <v>0.96646046917784834</v>
      </c>
      <c r="AY4" s="35">
        <f>AS4</f>
        <v>0.89965021590839522</v>
      </c>
      <c r="AZ4" s="37">
        <f>AV4</f>
        <v>1.2547997139103448</v>
      </c>
      <c r="BA4" s="37">
        <f>AU4</f>
        <v>1.1991985681618891</v>
      </c>
      <c r="BB4" s="37">
        <f>AW4</f>
        <v>0.8427046510322227</v>
      </c>
      <c r="BC4" s="38">
        <f t="shared" ref="BC4:BC21" si="16">DEGREES(AU4)</f>
        <v>68.709016753807617</v>
      </c>
      <c r="BD4" s="38">
        <f t="shared" ref="BD4:BD21" si="17">DEGREES(AV4)</f>
        <v>71.894727741285891</v>
      </c>
      <c r="BE4" s="38">
        <f t="shared" ref="BE4:BE21" si="18">DEGREES(AW4)</f>
        <v>48.283419880191211</v>
      </c>
      <c r="BF4" s="38">
        <f t="shared" ref="BF4:BF21" si="19">DEGREES(AZ4)</f>
        <v>71.894727741285891</v>
      </c>
      <c r="BG4" s="38">
        <f t="shared" ref="BG4:BG21" si="20">DEGREES(BA4)</f>
        <v>68.709016753807617</v>
      </c>
      <c r="BH4" s="38">
        <f t="shared" ref="BH4:BH21" si="21">DEGREES(BB4)</f>
        <v>48.283419880191211</v>
      </c>
      <c r="BI4" s="417">
        <f t="shared" ref="BI4:BI33" si="22">DEGREES(M4)</f>
        <v>104.45</v>
      </c>
      <c r="BJ4" s="241">
        <f t="shared" ref="BJ4:BJ21" si="23">SUMXMY2(BM4:BO4,BP4:BR4)^0.5</f>
        <v>1.6374176001040359</v>
      </c>
      <c r="BK4" s="35">
        <f t="shared" ref="BK4:BK33" si="24">SQRT((-K4-BP4)^2+BQ4^2+BR4^2)</f>
        <v>1.1299923607078377</v>
      </c>
      <c r="BL4" s="35">
        <f t="shared" ref="BL4:BL22" si="25">SUMSQ(BM4:BO4)^0.5</f>
        <v>1.04964065573826</v>
      </c>
      <c r="BM4" s="37">
        <f t="shared" ref="BM4:BM33" si="26">-K4+AS4*COS(AU4)</f>
        <v>-0.63173286477181878</v>
      </c>
      <c r="BN4" s="37">
        <f t="shared" ref="BN4:BN33" si="27">AS4*SIN(AU4)</f>
        <v>0.838247632711143</v>
      </c>
      <c r="BO4" s="37">
        <f>0</f>
        <v>0</v>
      </c>
      <c r="BP4" s="37">
        <f t="shared" ref="BP4:BP33" si="28">-AT4*COS(AV4)</f>
        <v>-0.30034101795982615</v>
      </c>
      <c r="BQ4" s="37">
        <f t="shared" ref="BQ4:BQ33" si="29">-AT4*SIN(AV4)*COS(AW4)</f>
        <v>-0.61128453922516879</v>
      </c>
      <c r="BR4" s="39">
        <f t="shared" ref="BR4:BR33" si="30">-AT4*SIN(AV4)*SIN(AW4)</f>
        <v>-0.68569112836509349</v>
      </c>
      <c r="BS4" s="35">
        <f t="shared" ref="BS4:BS21" si="31">SUMXMY2(BV4:BX4,BY4:CA4)^0.5</f>
        <v>1.6374176001040357</v>
      </c>
      <c r="BT4" s="35">
        <f t="shared" ref="BT4:BT21" si="32">SUMSQ(BY4:CA4)^0.5</f>
        <v>1.0496406557382598</v>
      </c>
      <c r="BU4" s="35">
        <f t="shared" ref="BU4:BU33" si="33">SQRT((-L4*COS(M4)-BV4)^2+(L4*SIN(M4)-BW4)^2+BX4^2)</f>
        <v>1.1299923607078377</v>
      </c>
      <c r="BV4" s="37">
        <f t="shared" ref="BV4:BV33" si="34">-AX4*COS(M4-AZ4)</f>
        <v>-0.81460317381624481</v>
      </c>
      <c r="BW4" s="37">
        <f t="shared" ref="BW4:BW33" si="35">AX4*SIN(M4-AZ4)</f>
        <v>0.52006490719136944</v>
      </c>
      <c r="BX4" s="37">
        <f>0</f>
        <v>0</v>
      </c>
      <c r="BY4" s="37">
        <f t="shared" ref="BY4:BY33" si="36">(-L4*COS(M4)-AY4*SIN(M4-BA4-PI()/2))*(COS(M4)^2*(1-COS(BB4))+COS(BB4))+(L4*SIN(M4)-AY4*COS(M4-BA4-PI()/2))*(-SIN(M4)*COS(M4)*(1-COS(BB4)))</f>
        <v>0.69780249083698365</v>
      </c>
      <c r="BZ4" s="37">
        <f t="shared" ref="BZ4:BZ33" si="37">(-L4*COS(M4)-AY4*SIN(M4-BA4-PI()/2))*(-SIN(M4)*COS(M4)*(1-COS(BB4)))+(L4*SIN(M4)-AY4*COS(M4-BA4-PI()/2))*(SIN(M4)^2*(1-COS(BB4))+COS(BB4))</f>
        <v>0.4725556254617288</v>
      </c>
      <c r="CA4" s="39">
        <f t="shared" ref="CA4:CA33" si="38">(-L4*COS(M4)-AY4*SIN(M4-BA4-PI()/2))*(-SIN(M4)*SIN(BB4))+(L4*SIN(M4)-AY4*COS(M4-BA4-PI()/2))*(-COS(M4)*SIN(BB4))</f>
        <v>-0.62570629755886253</v>
      </c>
      <c r="CC4" s="354" t="str">
        <f t="shared" ref="CC4:CC33" si="39">IFERROR(INT(I4)&amp;"."&amp;RIGHT(MOD(I4,1),LEN(MOD(I4,1))),0)</f>
        <v>1.0</v>
      </c>
      <c r="CD4" s="354" t="str">
        <f t="shared" ref="CD4:CD33" si="40">IFERROR(INT(J4)&amp;"."&amp;RIGHT(MOD(J4,1),LEN(MOD(J4,1))),0)</f>
        <v>1.0</v>
      </c>
      <c r="CE4" s="354" t="str">
        <f t="shared" ref="CE4:CE33" si="41">IFERROR(INT(K4)&amp;"."&amp;RIGHT(MOD(K4,1),LEN(MOD(K4,1))-2),0)</f>
        <v>0.9584</v>
      </c>
      <c r="CF4" s="354" t="str">
        <f t="shared" ref="CF4:CF33" si="42">IFERROR(INT(L4)&amp;"."&amp;RIGHT(MOD(L4,1),LEN(MOD(L4,1))-2),0)</f>
        <v>0.9584</v>
      </c>
      <c r="CG4" s="354" t="str">
        <f t="shared" ref="CG4:CG33" si="43">IFERROR(INT(M4)&amp;"."&amp;RIGHT(MOD(M4,1),LEN(MOD(M4,1))-2),0)</f>
        <v>1.822996403708077</v>
      </c>
      <c r="CH4" s="354" t="str">
        <f t="shared" ref="CH4:CQ4" si="44">IFERROR(INT(AS4)&amp;"."&amp;RIGHT(MOD(AS4,1),LEN(MOD(AS4,1))-2),0)</f>
        <v>0.899650215908395</v>
      </c>
      <c r="CI4" s="354" t="str">
        <f t="shared" si="44"/>
        <v>0.966460469177848</v>
      </c>
      <c r="CJ4" s="354" t="str">
        <f t="shared" si="44"/>
        <v>1.199198568161889</v>
      </c>
      <c r="CK4" s="354" t="str">
        <f t="shared" si="44"/>
        <v>1.254799713910345</v>
      </c>
      <c r="CL4" s="354" t="str">
        <f t="shared" si="44"/>
        <v>0.842704651032223</v>
      </c>
      <c r="CM4" s="354" t="str">
        <f t="shared" si="44"/>
        <v>0.966460469177848</v>
      </c>
      <c r="CN4" s="354" t="str">
        <f t="shared" si="44"/>
        <v>0.899650215908395</v>
      </c>
      <c r="CO4" s="354" t="str">
        <f t="shared" si="44"/>
        <v>1.254799713910345</v>
      </c>
      <c r="CP4" s="354" t="str">
        <f t="shared" si="44"/>
        <v>1.199198568161889</v>
      </c>
      <c r="CQ4" s="354" t="str">
        <f t="shared" si="44"/>
        <v>0.842704651032223</v>
      </c>
      <c r="CT4" s="394" t="str">
        <f ca="1">Rotation!BA83</f>
        <v>-</v>
      </c>
      <c r="CU4" s="394" t="str">
        <f ca="1">Rotation!BB83</f>
        <v>-</v>
      </c>
      <c r="CV4" s="394">
        <v>0.45435962005879293</v>
      </c>
      <c r="CW4" s="398" t="e">
        <f ca="1">N(ROUND(CT4,3)=ROUND(CU4,3))</f>
        <v>#VALUE!</v>
      </c>
      <c r="CX4" s="394" t="str">
        <f ca="1">Rotation!BC83</f>
        <v>-</v>
      </c>
      <c r="CY4" s="394" t="str">
        <f ca="1">Rotation!BD83</f>
        <v>-</v>
      </c>
      <c r="CZ4" s="394">
        <v>0.5456458219658421</v>
      </c>
      <c r="DA4" s="398" t="e">
        <f ca="1">N(ROUND(CX4,3)=ROUND(CY4,3))</f>
        <v>#VALUE!</v>
      </c>
    </row>
    <row r="5" spans="1:105" s="56" customFormat="1" ht="15" customHeight="1">
      <c r="A5" s="536"/>
      <c r="B5" s="35">
        <v>-13.59844</v>
      </c>
      <c r="C5" s="36">
        <v>1</v>
      </c>
      <c r="D5" s="35">
        <v>-13.61806</v>
      </c>
      <c r="E5" s="36">
        <v>4</v>
      </c>
      <c r="F5" s="36">
        <v>-13.59844</v>
      </c>
      <c r="G5" s="257">
        <v>1</v>
      </c>
      <c r="H5" s="241" t="s">
        <v>209</v>
      </c>
      <c r="I5" s="262">
        <v>1</v>
      </c>
      <c r="J5" s="36">
        <v>1</v>
      </c>
      <c r="K5" s="37">
        <v>0.95840000000000003</v>
      </c>
      <c r="L5" s="37">
        <v>0.95840000000000003</v>
      </c>
      <c r="M5" s="37">
        <v>1.8229964037080773</v>
      </c>
      <c r="N5" s="37">
        <v>-5.1719999999999997</v>
      </c>
      <c r="O5" s="37">
        <v>-5.1719999999999997</v>
      </c>
      <c r="P5" s="35">
        <v>1.85</v>
      </c>
      <c r="Q5" s="318">
        <f t="shared" ref="Q5:Q33" si="45">AK5</f>
        <v>-14.700000000000001</v>
      </c>
      <c r="R5" s="37">
        <f t="shared" ref="R5:R33" si="46">AL5</f>
        <v>-12.618</v>
      </c>
      <c r="S5" s="37">
        <f t="shared" ref="S5:S33" si="47">AM5</f>
        <v>-12.618</v>
      </c>
      <c r="T5" s="318">
        <f t="shared" ref="T5:T33" si="48">AN5</f>
        <v>-14.700000000000001</v>
      </c>
      <c r="U5" s="412">
        <v>1.00782503224</v>
      </c>
      <c r="V5" s="414">
        <v>15.9994</v>
      </c>
      <c r="W5" s="412">
        <v>1.00782503224</v>
      </c>
      <c r="X5" s="37">
        <v>-12.618</v>
      </c>
      <c r="Y5" s="318">
        <f t="shared" si="0"/>
        <v>-12.618</v>
      </c>
      <c r="Z5" s="318">
        <f t="shared" si="1"/>
        <v>-14.7</v>
      </c>
      <c r="AA5" s="334">
        <f t="shared" si="2"/>
        <v>-14.7</v>
      </c>
      <c r="AB5" s="253">
        <f t="shared" si="3"/>
        <v>3.8872612180066122E-21</v>
      </c>
      <c r="AC5" s="30" t="b">
        <f t="shared" si="4"/>
        <v>1</v>
      </c>
      <c r="AD5" s="31">
        <f t="shared" si="5"/>
        <v>-5.1720000000000006</v>
      </c>
      <c r="AE5" s="31">
        <f t="shared" si="6"/>
        <v>-5.1720000000000006</v>
      </c>
      <c r="AF5" s="31">
        <f t="shared" si="7"/>
        <v>1.8499999999376522</v>
      </c>
      <c r="AG5" s="31">
        <f t="shared" si="8"/>
        <v>-12.618</v>
      </c>
      <c r="AH5" s="31">
        <f t="shared" si="9"/>
        <v>-12.618</v>
      </c>
      <c r="AI5" s="31">
        <f t="shared" si="10"/>
        <v>-14.700000000000001</v>
      </c>
      <c r="AJ5" s="31">
        <f t="shared" si="11"/>
        <v>-14.700000000000001</v>
      </c>
      <c r="AK5" s="31">
        <f t="shared" si="12"/>
        <v>-14.700000000000001</v>
      </c>
      <c r="AL5" s="31">
        <f t="shared" si="13"/>
        <v>-12.618</v>
      </c>
      <c r="AM5" s="31">
        <f t="shared" si="14"/>
        <v>-12.618</v>
      </c>
      <c r="AN5" s="31">
        <f t="shared" si="15"/>
        <v>-14.700000000000001</v>
      </c>
      <c r="AO5" s="30" t="s">
        <v>35</v>
      </c>
      <c r="AP5" s="30">
        <v>-12.618</v>
      </c>
      <c r="AQ5" s="30">
        <v>-14.7</v>
      </c>
      <c r="AR5" s="246">
        <v>-14.7</v>
      </c>
      <c r="AS5" s="241">
        <v>0.88030230561603684</v>
      </c>
      <c r="AT5" s="35">
        <v>0.99247456188046945</v>
      </c>
      <c r="AU5" s="37">
        <v>1.2494382527244461</v>
      </c>
      <c r="AV5" s="37">
        <v>1.1931547900152828</v>
      </c>
      <c r="AW5" s="37">
        <v>0.83057796878387258</v>
      </c>
      <c r="AX5" s="35">
        <f t="shared" ref="AX5:AX21" si="49">AT5</f>
        <v>0.99247456188046945</v>
      </c>
      <c r="AY5" s="35">
        <f t="shared" ref="AY5:AY21" si="50">AS5</f>
        <v>0.88030230561603684</v>
      </c>
      <c r="AZ5" s="37">
        <f t="shared" ref="AZ5:AZ21" si="51">AV5</f>
        <v>1.1931547900152828</v>
      </c>
      <c r="BA5" s="37">
        <f t="shared" ref="BA5:BA21" si="52">AU5</f>
        <v>1.2494382527244461</v>
      </c>
      <c r="BB5" s="37">
        <f t="shared" ref="BB5:BB21" si="53">AW5</f>
        <v>0.83057796878387258</v>
      </c>
      <c r="BC5" s="38">
        <f t="shared" si="16"/>
        <v>71.587538643310694</v>
      </c>
      <c r="BD5" s="38">
        <f t="shared" si="17"/>
        <v>68.362733773693677</v>
      </c>
      <c r="BE5" s="38">
        <f t="shared" si="18"/>
        <v>47.588612167864532</v>
      </c>
      <c r="BF5" s="38">
        <f t="shared" si="19"/>
        <v>68.362733773693677</v>
      </c>
      <c r="BG5" s="38">
        <f t="shared" si="20"/>
        <v>71.587538643310694</v>
      </c>
      <c r="BH5" s="38">
        <f t="shared" si="21"/>
        <v>47.588612167864532</v>
      </c>
      <c r="BI5" s="417">
        <f t="shared" si="22"/>
        <v>104.45</v>
      </c>
      <c r="BJ5" s="241">
        <f t="shared" si="23"/>
        <v>1.6391863611463799</v>
      </c>
      <c r="BK5" s="35">
        <f t="shared" si="24"/>
        <v>1.096391800605141</v>
      </c>
      <c r="BL5" s="35">
        <f t="shared" si="25"/>
        <v>1.0772649837649184</v>
      </c>
      <c r="BM5" s="37">
        <f t="shared" si="26"/>
        <v>-0.68035176125475783</v>
      </c>
      <c r="BN5" s="37">
        <f t="shared" si="27"/>
        <v>0.83523728736424296</v>
      </c>
      <c r="BO5" s="37">
        <f>0</f>
        <v>0</v>
      </c>
      <c r="BP5" s="37">
        <f t="shared" si="28"/>
        <v>-0.36595436954593419</v>
      </c>
      <c r="BQ5" s="37">
        <f t="shared" si="29"/>
        <v>-0.62220744977833053</v>
      </c>
      <c r="BR5" s="39">
        <f t="shared" si="30"/>
        <v>-0.68113217867783493</v>
      </c>
      <c r="BS5" s="35">
        <f t="shared" si="31"/>
        <v>1.6391863611463799</v>
      </c>
      <c r="BT5" s="35">
        <f t="shared" si="32"/>
        <v>1.0772649837649184</v>
      </c>
      <c r="BU5" s="35">
        <f t="shared" si="33"/>
        <v>1.096391800605141</v>
      </c>
      <c r="BV5" s="37">
        <f t="shared" si="34"/>
        <v>-0.80203934748563266</v>
      </c>
      <c r="BW5" s="37">
        <f t="shared" si="35"/>
        <v>0.58458416080548259</v>
      </c>
      <c r="BX5" s="37">
        <f>0</f>
        <v>0</v>
      </c>
      <c r="BY5" s="37">
        <f t="shared" si="36"/>
        <v>0.71527632433138177</v>
      </c>
      <c r="BZ5" s="37">
        <f t="shared" si="37"/>
        <v>0.51826001127021359</v>
      </c>
      <c r="CA5" s="39">
        <f t="shared" si="38"/>
        <v>-0.61667348395663646</v>
      </c>
      <c r="CB5" s="231"/>
      <c r="CC5" s="354" t="str">
        <f t="shared" si="39"/>
        <v>1.0</v>
      </c>
      <c r="CD5" s="354" t="str">
        <f t="shared" si="40"/>
        <v>1.0</v>
      </c>
      <c r="CE5" s="354" t="str">
        <f t="shared" si="41"/>
        <v>0.9584</v>
      </c>
      <c r="CF5" s="354" t="str">
        <f t="shared" si="42"/>
        <v>0.9584</v>
      </c>
      <c r="CG5" s="354" t="str">
        <f t="shared" si="43"/>
        <v>1.822996403708077</v>
      </c>
      <c r="CH5" s="354" t="str">
        <f t="shared" ref="CH5:CH33" si="54">IFERROR(INT(AS5)&amp;"."&amp;RIGHT(MOD(AS5,1),LEN(MOD(AS5,1))-2),0)</f>
        <v>0.880302305616037</v>
      </c>
      <c r="CI5" s="354" t="str">
        <f t="shared" ref="CI5:CI33" si="55">IFERROR(INT(AT5)&amp;"."&amp;RIGHT(MOD(AT5,1),LEN(MOD(AT5,1))-2),0)</f>
        <v>0.992474561880469</v>
      </c>
      <c r="CJ5" s="354" t="str">
        <f t="shared" ref="CJ5:CJ33" si="56">IFERROR(INT(AU5)&amp;"."&amp;RIGHT(MOD(AU5,1),LEN(MOD(AU5,1))-2),0)</f>
        <v>1.249438252724446</v>
      </c>
      <c r="CK5" s="354" t="str">
        <f t="shared" ref="CK5:CK33" si="57">IFERROR(INT(AV5)&amp;"."&amp;RIGHT(MOD(AV5,1),LEN(MOD(AV5,1))-2),0)</f>
        <v>1.193154790015283</v>
      </c>
      <c r="CL5" s="354" t="str">
        <f t="shared" ref="CL5:CL33" si="58">IFERROR(INT(AW5)&amp;"."&amp;RIGHT(MOD(AW5,1),LEN(MOD(AW5,1))-2),0)</f>
        <v>0.830577968783873</v>
      </c>
      <c r="CM5" s="354" t="str">
        <f t="shared" ref="CM5:CM33" si="59">IFERROR(INT(AX5)&amp;"."&amp;RIGHT(MOD(AX5,1),LEN(MOD(AX5,1))-2),0)</f>
        <v>0.992474561880469</v>
      </c>
      <c r="CN5" s="354" t="str">
        <f t="shared" ref="CN5:CN33" si="60">IFERROR(INT(AY5)&amp;"."&amp;RIGHT(MOD(AY5,1),LEN(MOD(AY5,1))-2),0)</f>
        <v>0.880302305616037</v>
      </c>
      <c r="CO5" s="354" t="str">
        <f t="shared" ref="CO5:CO33" si="61">IFERROR(INT(AZ5)&amp;"."&amp;RIGHT(MOD(AZ5,1),LEN(MOD(AZ5,1))-2),0)</f>
        <v>1.193154790015283</v>
      </c>
      <c r="CP5" s="354" t="str">
        <f t="shared" ref="CP5:CP33" si="62">IFERROR(INT(BA5)&amp;"."&amp;RIGHT(MOD(BA5,1),LEN(MOD(BA5,1))-2),0)</f>
        <v>1.249438252724446</v>
      </c>
      <c r="CQ5" s="354" t="str">
        <f t="shared" ref="CQ5:CQ33" si="63">IFERROR(INT(BB5)&amp;"."&amp;RIGHT(MOD(BB5,1),LEN(MOD(BB5,1))-2),0)</f>
        <v>0.830577968783873</v>
      </c>
      <c r="CT5" s="394" t="str">
        <f ca="1">Rotation!BA84</f>
        <v>-</v>
      </c>
      <c r="CU5" s="394" t="str">
        <f ca="1">Rotation!BB84</f>
        <v>-</v>
      </c>
      <c r="CV5" s="394">
        <v>0.45046013504056337</v>
      </c>
      <c r="CW5" s="398" t="e">
        <f t="shared" ref="CW5:CW33" ca="1" si="64">N(ROUND(CT5,3)=ROUND(CU5,3))</f>
        <v>#VALUE!</v>
      </c>
      <c r="CX5" s="394" t="str">
        <f ca="1">Rotation!BC84</f>
        <v>-</v>
      </c>
      <c r="CY5" s="394" t="str">
        <f ca="1">Rotation!BD84</f>
        <v>-</v>
      </c>
      <c r="CZ5" s="394">
        <v>0.54954525454633418</v>
      </c>
      <c r="DA5" s="398" t="e">
        <f t="shared" ref="DA5:DA33" ca="1" si="65">N(ROUND(CX5,3)=ROUND(CY5,3))</f>
        <v>#VALUE!</v>
      </c>
    </row>
    <row r="6" spans="1:105" s="56" customFormat="1" ht="15" customHeight="1">
      <c r="A6" s="536"/>
      <c r="B6" s="35">
        <v>-13.59844</v>
      </c>
      <c r="C6" s="36">
        <v>1</v>
      </c>
      <c r="D6" s="35">
        <v>-13.61806</v>
      </c>
      <c r="E6" s="36">
        <v>4</v>
      </c>
      <c r="F6" s="36">
        <v>-13.59844</v>
      </c>
      <c r="G6" s="257">
        <v>1</v>
      </c>
      <c r="H6" s="241" t="s">
        <v>209</v>
      </c>
      <c r="I6" s="262">
        <v>1</v>
      </c>
      <c r="J6" s="36">
        <v>1</v>
      </c>
      <c r="K6" s="37">
        <v>0.95840000000000003</v>
      </c>
      <c r="L6" s="37">
        <v>0.95840000000000003</v>
      </c>
      <c r="M6" s="37">
        <v>1.8229964037080773</v>
      </c>
      <c r="N6" s="37">
        <v>-4.7549999999999999</v>
      </c>
      <c r="O6" s="37">
        <v>-4.7549999999999999</v>
      </c>
      <c r="P6" s="35">
        <v>1.74</v>
      </c>
      <c r="Q6" s="318">
        <f t="shared" si="45"/>
        <v>-14.699999999999998</v>
      </c>
      <c r="R6" s="37">
        <f t="shared" si="46"/>
        <v>-12.618</v>
      </c>
      <c r="S6" s="37">
        <f t="shared" si="47"/>
        <v>-12.618</v>
      </c>
      <c r="T6" s="318">
        <f t="shared" si="48"/>
        <v>-14.699999999999998</v>
      </c>
      <c r="U6" s="412">
        <v>1.00782503224</v>
      </c>
      <c r="V6" s="414">
        <v>15.9994</v>
      </c>
      <c r="W6" s="412">
        <v>1.00782503224</v>
      </c>
      <c r="X6" s="37">
        <v>-12.618</v>
      </c>
      <c r="Y6" s="318">
        <f t="shared" si="0"/>
        <v>-12.618</v>
      </c>
      <c r="Z6" s="318">
        <f t="shared" si="1"/>
        <v>-14.7</v>
      </c>
      <c r="AA6" s="334">
        <f t="shared" si="2"/>
        <v>-14.7</v>
      </c>
      <c r="AB6" s="253">
        <f t="shared" si="3"/>
        <v>4.3942869995561825E-21</v>
      </c>
      <c r="AC6" s="30" t="b">
        <f t="shared" si="4"/>
        <v>1</v>
      </c>
      <c r="AD6" s="31">
        <f t="shared" si="5"/>
        <v>-4.7550000000000008</v>
      </c>
      <c r="AE6" s="31">
        <f t="shared" si="6"/>
        <v>-4.7550000000000008</v>
      </c>
      <c r="AF6" s="31">
        <f t="shared" si="7"/>
        <v>1.7399999999337106</v>
      </c>
      <c r="AG6" s="31">
        <f t="shared" si="8"/>
        <v>-12.618</v>
      </c>
      <c r="AH6" s="31">
        <f t="shared" si="9"/>
        <v>-12.618</v>
      </c>
      <c r="AI6" s="31">
        <f t="shared" si="10"/>
        <v>-14.699999999999998</v>
      </c>
      <c r="AJ6" s="31">
        <f t="shared" si="11"/>
        <v>-14.699999999999998</v>
      </c>
      <c r="AK6" s="31">
        <f t="shared" si="12"/>
        <v>-14.699999999999998</v>
      </c>
      <c r="AL6" s="31">
        <f t="shared" si="13"/>
        <v>-12.618</v>
      </c>
      <c r="AM6" s="31">
        <f t="shared" si="14"/>
        <v>-12.618</v>
      </c>
      <c r="AN6" s="31">
        <f t="shared" si="15"/>
        <v>-14.699999999999998</v>
      </c>
      <c r="AO6" s="30" t="s">
        <v>35</v>
      </c>
      <c r="AP6" s="30">
        <v>-12.618</v>
      </c>
      <c r="AQ6" s="30">
        <v>-14.7</v>
      </c>
      <c r="AR6" s="246">
        <v>-14.7</v>
      </c>
      <c r="AS6" s="241">
        <v>0.92169487270602912</v>
      </c>
      <c r="AT6" s="35">
        <v>0.96039598082395483</v>
      </c>
      <c r="AU6" s="37">
        <v>1.1477433890292401</v>
      </c>
      <c r="AV6" s="37">
        <v>1.2702711567536862</v>
      </c>
      <c r="AW6" s="37">
        <v>0.85514068160606416</v>
      </c>
      <c r="AX6" s="35">
        <f t="shared" si="49"/>
        <v>0.96039598082395483</v>
      </c>
      <c r="AY6" s="35">
        <f t="shared" si="50"/>
        <v>0.92169487270602912</v>
      </c>
      <c r="AZ6" s="37">
        <f t="shared" si="51"/>
        <v>1.2702711567536862</v>
      </c>
      <c r="BA6" s="37">
        <f t="shared" si="52"/>
        <v>1.1477433890292401</v>
      </c>
      <c r="BB6" s="37">
        <f t="shared" si="53"/>
        <v>0.85514068160606416</v>
      </c>
      <c r="BC6" s="38">
        <f t="shared" si="16"/>
        <v>65.760852155417211</v>
      </c>
      <c r="BD6" s="38">
        <f t="shared" si="17"/>
        <v>72.781176119187236</v>
      </c>
      <c r="BE6" s="38">
        <f t="shared" si="18"/>
        <v>48.995951945967981</v>
      </c>
      <c r="BF6" s="38">
        <f t="shared" si="19"/>
        <v>72.781176119187236</v>
      </c>
      <c r="BG6" s="38">
        <f t="shared" si="20"/>
        <v>65.760852155417211</v>
      </c>
      <c r="BH6" s="38">
        <f t="shared" si="21"/>
        <v>48.995951945967981</v>
      </c>
      <c r="BI6" s="417">
        <f t="shared" si="22"/>
        <v>104.45</v>
      </c>
      <c r="BJ6" s="241">
        <f t="shared" si="23"/>
        <v>1.6269627068417694</v>
      </c>
      <c r="BK6" s="35">
        <f t="shared" si="24"/>
        <v>1.1383971910745987</v>
      </c>
      <c r="BL6" s="35">
        <f t="shared" si="25"/>
        <v>1.0211455178351925</v>
      </c>
      <c r="BM6" s="37">
        <f t="shared" si="26"/>
        <v>-0.58000171651832233</v>
      </c>
      <c r="BN6" s="37">
        <f t="shared" si="27"/>
        <v>0.84043808661358466</v>
      </c>
      <c r="BO6" s="37">
        <f>0</f>
        <v>0</v>
      </c>
      <c r="BP6" s="37">
        <f t="shared" si="28"/>
        <v>-0.28429822377726921</v>
      </c>
      <c r="BQ6" s="37">
        <f t="shared" si="29"/>
        <v>-0.6018860714300277</v>
      </c>
      <c r="BR6" s="39">
        <f t="shared" si="30"/>
        <v>-0.69229193044439241</v>
      </c>
      <c r="BS6" s="35">
        <f t="shared" si="31"/>
        <v>1.6269627068417694</v>
      </c>
      <c r="BT6" s="35">
        <f t="shared" si="32"/>
        <v>1.0211455178351925</v>
      </c>
      <c r="BU6" s="35">
        <f t="shared" si="33"/>
        <v>1.1383971910745987</v>
      </c>
      <c r="BV6" s="37">
        <f t="shared" si="34"/>
        <v>-0.81739004801435933</v>
      </c>
      <c r="BW6" s="37">
        <f t="shared" si="35"/>
        <v>0.50421617327282309</v>
      </c>
      <c r="BX6" s="37">
        <f>0</f>
        <v>0</v>
      </c>
      <c r="BY6" s="37">
        <f t="shared" si="36"/>
        <v>0.6787087545262056</v>
      </c>
      <c r="BZ6" s="37">
        <f t="shared" si="37"/>
        <v>0.42405474545568717</v>
      </c>
      <c r="CA6" s="39">
        <f t="shared" si="38"/>
        <v>-0.63424771815190828</v>
      </c>
      <c r="CB6" s="231"/>
      <c r="CC6" s="354" t="str">
        <f t="shared" si="39"/>
        <v>1.0</v>
      </c>
      <c r="CD6" s="354" t="str">
        <f t="shared" si="40"/>
        <v>1.0</v>
      </c>
      <c r="CE6" s="354" t="str">
        <f t="shared" si="41"/>
        <v>0.9584</v>
      </c>
      <c r="CF6" s="354" t="str">
        <f t="shared" si="42"/>
        <v>0.9584</v>
      </c>
      <c r="CG6" s="354" t="str">
        <f t="shared" si="43"/>
        <v>1.822996403708077</v>
      </c>
      <c r="CH6" s="354" t="str">
        <f t="shared" si="54"/>
        <v>0.921694872706029</v>
      </c>
      <c r="CI6" s="354" t="str">
        <f t="shared" si="55"/>
        <v>0.960395980823955</v>
      </c>
      <c r="CJ6" s="354" t="str">
        <f t="shared" si="56"/>
        <v>1.14774338902924</v>
      </c>
      <c r="CK6" s="354" t="str">
        <f t="shared" si="57"/>
        <v>1.270271156753686</v>
      </c>
      <c r="CL6" s="354" t="str">
        <f t="shared" si="58"/>
        <v>0.855140681606064</v>
      </c>
      <c r="CM6" s="354" t="str">
        <f t="shared" si="59"/>
        <v>0.960395980823955</v>
      </c>
      <c r="CN6" s="354" t="str">
        <f t="shared" si="60"/>
        <v>0.921694872706029</v>
      </c>
      <c r="CO6" s="354" t="str">
        <f t="shared" si="61"/>
        <v>1.270271156753686</v>
      </c>
      <c r="CP6" s="354" t="str">
        <f t="shared" si="62"/>
        <v>1.14774338902924</v>
      </c>
      <c r="CQ6" s="354" t="str">
        <f t="shared" si="63"/>
        <v>0.855140681606064</v>
      </c>
      <c r="CT6" s="394" t="str">
        <f ca="1">Rotation!BA85</f>
        <v>-</v>
      </c>
      <c r="CU6" s="394" t="str">
        <f ca="1">Rotation!BB85</f>
        <v>-</v>
      </c>
      <c r="CV6" s="394">
        <v>0.45633280371035245</v>
      </c>
      <c r="CW6" s="398" t="e">
        <f t="shared" ca="1" si="64"/>
        <v>#VALUE!</v>
      </c>
      <c r="CX6" s="394" t="str">
        <f ca="1">Rotation!BC85</f>
        <v>-</v>
      </c>
      <c r="CY6" s="394" t="str">
        <f ca="1">Rotation!BD85</f>
        <v>-</v>
      </c>
      <c r="CZ6" s="394">
        <v>0.54367277309528439</v>
      </c>
      <c r="DA6" s="398" t="e">
        <f t="shared" ca="1" si="65"/>
        <v>#VALUE!</v>
      </c>
    </row>
    <row r="7" spans="1:105" s="56" customFormat="1" ht="15" customHeight="1">
      <c r="A7" s="536" t="s">
        <v>371</v>
      </c>
      <c r="B7" s="35">
        <v>-13.59844</v>
      </c>
      <c r="C7" s="36">
        <v>1</v>
      </c>
      <c r="D7" s="35">
        <v>-10.36</v>
      </c>
      <c r="E7" s="36">
        <v>4</v>
      </c>
      <c r="F7" s="36">
        <v>-13.59844</v>
      </c>
      <c r="G7" s="257">
        <v>1</v>
      </c>
      <c r="H7" s="241" t="s">
        <v>209</v>
      </c>
      <c r="I7" s="262">
        <v>1</v>
      </c>
      <c r="J7" s="36">
        <v>1</v>
      </c>
      <c r="K7" s="37">
        <v>1.3280000000000001</v>
      </c>
      <c r="L7" s="37">
        <v>1.3280000000000001</v>
      </c>
      <c r="M7" s="37">
        <v>1.6091935703387719</v>
      </c>
      <c r="N7" s="37">
        <v>-4.2</v>
      </c>
      <c r="O7" s="37">
        <v>-4.2</v>
      </c>
      <c r="P7" s="35">
        <v>0.97</v>
      </c>
      <c r="Q7" s="318">
        <f t="shared" si="45"/>
        <v>-13.2</v>
      </c>
      <c r="R7" s="37">
        <f t="shared" si="46"/>
        <v>-10.457000000000004</v>
      </c>
      <c r="S7" s="37">
        <f t="shared" si="47"/>
        <v>-10.457000000000004</v>
      </c>
      <c r="T7" s="318">
        <f t="shared" si="48"/>
        <v>-13.2</v>
      </c>
      <c r="U7" s="412">
        <v>1.00782503224</v>
      </c>
      <c r="V7" s="414">
        <v>15.9994</v>
      </c>
      <c r="W7" s="412">
        <v>1.00782503224</v>
      </c>
      <c r="X7" s="37">
        <v>-10.457000000000001</v>
      </c>
      <c r="Y7" s="318">
        <f t="shared" si="0"/>
        <v>-10.457000000000001</v>
      </c>
      <c r="Z7" s="318">
        <f t="shared" si="1"/>
        <v>-13.2</v>
      </c>
      <c r="AA7" s="334">
        <f t="shared" si="2"/>
        <v>-13.2</v>
      </c>
      <c r="AB7" s="253">
        <f t="shared" si="3"/>
        <v>1.4139929698620012E-20</v>
      </c>
      <c r="AC7" s="30" t="b">
        <f t="shared" si="4"/>
        <v>1</v>
      </c>
      <c r="AD7" s="31">
        <f t="shared" si="5"/>
        <v>-4.1999999999999993</v>
      </c>
      <c r="AE7" s="31">
        <f t="shared" si="6"/>
        <v>-4.1999999999999993</v>
      </c>
      <c r="AF7" s="31">
        <f t="shared" si="7"/>
        <v>0.96999999988108854</v>
      </c>
      <c r="AG7" s="31">
        <f t="shared" si="8"/>
        <v>-10.457000000000004</v>
      </c>
      <c r="AH7" s="31">
        <f t="shared" si="9"/>
        <v>-10.457000000000004</v>
      </c>
      <c r="AI7" s="31">
        <f t="shared" si="10"/>
        <v>-13.2</v>
      </c>
      <c r="AJ7" s="31">
        <f t="shared" si="11"/>
        <v>-13.2</v>
      </c>
      <c r="AK7" s="31">
        <f t="shared" si="12"/>
        <v>-13.2</v>
      </c>
      <c r="AL7" s="31">
        <f t="shared" si="13"/>
        <v>-10.457000000000004</v>
      </c>
      <c r="AM7" s="31">
        <f t="shared" si="14"/>
        <v>-10.457000000000004</v>
      </c>
      <c r="AN7" s="31">
        <f t="shared" si="15"/>
        <v>-13.2</v>
      </c>
      <c r="AO7" s="30" t="s">
        <v>35</v>
      </c>
      <c r="AP7" s="30">
        <v>-10.457000000000001</v>
      </c>
      <c r="AQ7" s="30">
        <v>-13.2</v>
      </c>
      <c r="AR7" s="246">
        <v>-13.2</v>
      </c>
      <c r="AS7" s="241">
        <v>1.3671449356720899</v>
      </c>
      <c r="AT7" s="35">
        <v>1.1791771546052208</v>
      </c>
      <c r="AU7" s="37">
        <v>0.8126522327115222</v>
      </c>
      <c r="AV7" s="37">
        <v>1.3637900169062349</v>
      </c>
      <c r="AW7" s="37">
        <v>0.10932495175980961</v>
      </c>
      <c r="AX7" s="35">
        <f t="shared" si="49"/>
        <v>1.1791771546052208</v>
      </c>
      <c r="AY7" s="35">
        <f t="shared" si="50"/>
        <v>1.3671449356720899</v>
      </c>
      <c r="AZ7" s="37">
        <f t="shared" si="51"/>
        <v>1.3637900169062349</v>
      </c>
      <c r="BA7" s="37">
        <f t="shared" si="52"/>
        <v>0.8126522327115222</v>
      </c>
      <c r="BB7" s="37">
        <f t="shared" si="53"/>
        <v>0.10932495175980961</v>
      </c>
      <c r="BC7" s="38">
        <f t="shared" si="16"/>
        <v>46.561543146253442</v>
      </c>
      <c r="BD7" s="38">
        <f t="shared" si="17"/>
        <v>78.139412110802454</v>
      </c>
      <c r="BE7" s="38">
        <f t="shared" si="18"/>
        <v>6.2638583313084126</v>
      </c>
      <c r="BF7" s="38">
        <f t="shared" si="19"/>
        <v>78.139412110802454</v>
      </c>
      <c r="BG7" s="38">
        <f t="shared" si="20"/>
        <v>46.561543146253442</v>
      </c>
      <c r="BH7" s="38">
        <f t="shared" si="21"/>
        <v>6.2638583313084126</v>
      </c>
      <c r="BI7" s="417">
        <f t="shared" si="22"/>
        <v>92.2</v>
      </c>
      <c r="BJ7" s="241">
        <f t="shared" si="23"/>
        <v>2.1484575326152475</v>
      </c>
      <c r="BK7" s="35">
        <f t="shared" si="24"/>
        <v>1.5844056287946207</v>
      </c>
      <c r="BL7" s="35">
        <f t="shared" si="25"/>
        <v>1.0658283966844333</v>
      </c>
      <c r="BM7" s="37">
        <f t="shared" si="26"/>
        <v>-0.38798527712540165</v>
      </c>
      <c r="BN7" s="37">
        <f t="shared" si="27"/>
        <v>0.99270216878620487</v>
      </c>
      <c r="BO7" s="37">
        <f>0</f>
        <v>0</v>
      </c>
      <c r="BP7" s="37">
        <f t="shared" si="28"/>
        <v>-0.24235751708839876</v>
      </c>
      <c r="BQ7" s="37">
        <f t="shared" si="29"/>
        <v>-1.1471130036796824</v>
      </c>
      <c r="BR7" s="39">
        <f t="shared" si="30"/>
        <v>-0.12591009746079962</v>
      </c>
      <c r="BS7" s="35">
        <f t="shared" si="31"/>
        <v>2.1484575326152475</v>
      </c>
      <c r="BT7" s="35">
        <f t="shared" si="32"/>
        <v>1.0658283966844333</v>
      </c>
      <c r="BU7" s="35">
        <f t="shared" si="33"/>
        <v>1.5844056287946207</v>
      </c>
      <c r="BV7" s="37">
        <f t="shared" si="34"/>
        <v>-1.1438482541979287</v>
      </c>
      <c r="BW7" s="37">
        <f t="shared" si="35"/>
        <v>0.28647850409972353</v>
      </c>
      <c r="BX7" s="37">
        <f>0</f>
        <v>0</v>
      </c>
      <c r="BY7" s="37">
        <f t="shared" si="36"/>
        <v>1.0009422826990877</v>
      </c>
      <c r="BZ7" s="37">
        <f t="shared" si="37"/>
        <v>0.34981914181820739</v>
      </c>
      <c r="CA7" s="39">
        <f t="shared" si="38"/>
        <v>-0.10831106084616728</v>
      </c>
      <c r="CB7" s="231"/>
      <c r="CC7" s="354" t="str">
        <f t="shared" si="39"/>
        <v>1.0</v>
      </c>
      <c r="CD7" s="354" t="str">
        <f t="shared" si="40"/>
        <v>1.0</v>
      </c>
      <c r="CE7" s="354" t="str">
        <f t="shared" si="41"/>
        <v>1.328</v>
      </c>
      <c r="CF7" s="354" t="str">
        <f t="shared" si="42"/>
        <v>1.328</v>
      </c>
      <c r="CG7" s="354" t="str">
        <f t="shared" si="43"/>
        <v>1.609193570338772</v>
      </c>
      <c r="CH7" s="354" t="str">
        <f t="shared" si="54"/>
        <v>1.36714493567209</v>
      </c>
      <c r="CI7" s="354" t="str">
        <f t="shared" si="55"/>
        <v>1.179177154605221</v>
      </c>
      <c r="CJ7" s="354" t="str">
        <f t="shared" si="56"/>
        <v>0.812652232711522</v>
      </c>
      <c r="CK7" s="354" t="str">
        <f t="shared" si="57"/>
        <v>1.363790016906235</v>
      </c>
      <c r="CL7" s="354" t="str">
        <f t="shared" si="58"/>
        <v>0.10932495175981</v>
      </c>
      <c r="CM7" s="354" t="str">
        <f t="shared" si="59"/>
        <v>1.179177154605221</v>
      </c>
      <c r="CN7" s="354" t="str">
        <f t="shared" si="60"/>
        <v>1.36714493567209</v>
      </c>
      <c r="CO7" s="354" t="str">
        <f t="shared" si="61"/>
        <v>1.363790016906235</v>
      </c>
      <c r="CP7" s="354" t="str">
        <f t="shared" si="62"/>
        <v>0.812652232711522</v>
      </c>
      <c r="CQ7" s="354" t="str">
        <f t="shared" si="63"/>
        <v>0.10932495175981</v>
      </c>
      <c r="CT7" s="394" t="str">
        <f ca="1">Rotation!BA86</f>
        <v>-</v>
      </c>
      <c r="CU7" s="394" t="str">
        <f ca="1">Rotation!BB86</f>
        <v>-</v>
      </c>
      <c r="CV7" s="394">
        <v>0.42529989304986127</v>
      </c>
      <c r="CW7" s="398" t="e">
        <f t="shared" ca="1" si="64"/>
        <v>#VALUE!</v>
      </c>
      <c r="CX7" s="394" t="str">
        <f ca="1">Rotation!BC86</f>
        <v>-</v>
      </c>
      <c r="CY7" s="394" t="str">
        <f ca="1">Rotation!BD86</f>
        <v>-</v>
      </c>
      <c r="CZ7" s="394">
        <v>0.57471721894623495</v>
      </c>
      <c r="DA7" s="398" t="e">
        <f t="shared" ca="1" si="65"/>
        <v>#VALUE!</v>
      </c>
    </row>
    <row r="8" spans="1:105" s="56" customFormat="1" ht="15" customHeight="1">
      <c r="A8" s="536"/>
      <c r="B8" s="35">
        <v>-13.59844</v>
      </c>
      <c r="C8" s="36">
        <v>1</v>
      </c>
      <c r="D8" s="35">
        <v>-10.36</v>
      </c>
      <c r="E8" s="36">
        <v>4</v>
      </c>
      <c r="F8" s="36">
        <v>-13.59844</v>
      </c>
      <c r="G8" s="257">
        <v>1</v>
      </c>
      <c r="H8" s="241" t="s">
        <v>209</v>
      </c>
      <c r="I8" s="262">
        <v>1</v>
      </c>
      <c r="J8" s="36">
        <v>1</v>
      </c>
      <c r="K8" s="37">
        <v>1.3280000000000001</v>
      </c>
      <c r="L8" s="37">
        <v>1.3280000000000001</v>
      </c>
      <c r="M8" s="37">
        <v>1.6091935703387719</v>
      </c>
      <c r="N8" s="37">
        <v>-3.95</v>
      </c>
      <c r="O8" s="37">
        <v>-3.95</v>
      </c>
      <c r="P8" s="35">
        <v>0.97</v>
      </c>
      <c r="Q8" s="318">
        <f t="shared" si="45"/>
        <v>-13.200000000000003</v>
      </c>
      <c r="R8" s="37">
        <f t="shared" si="46"/>
        <v>-10.456999999999997</v>
      </c>
      <c r="S8" s="37">
        <f t="shared" si="47"/>
        <v>-10.457000000000001</v>
      </c>
      <c r="T8" s="318">
        <f t="shared" si="48"/>
        <v>-13.2</v>
      </c>
      <c r="U8" s="412">
        <v>1.00782503224</v>
      </c>
      <c r="V8" s="414">
        <v>15.9994</v>
      </c>
      <c r="W8" s="412">
        <v>1.00782503224</v>
      </c>
      <c r="X8" s="37">
        <v>-10.457000000000001</v>
      </c>
      <c r="Y8" s="318">
        <f t="shared" si="0"/>
        <v>-10.457000000000001</v>
      </c>
      <c r="Z8" s="318">
        <f t="shared" si="1"/>
        <v>-13.2</v>
      </c>
      <c r="AA8" s="334">
        <f t="shared" si="2"/>
        <v>-13.2</v>
      </c>
      <c r="AB8" s="253">
        <f t="shared" si="3"/>
        <v>1.4140061721875746E-20</v>
      </c>
      <c r="AC8" s="30" t="b">
        <f t="shared" si="4"/>
        <v>1</v>
      </c>
      <c r="AD8" s="31">
        <f t="shared" si="5"/>
        <v>-3.9499999999999984</v>
      </c>
      <c r="AE8" s="31">
        <f t="shared" si="6"/>
        <v>-3.9499999999999984</v>
      </c>
      <c r="AF8" s="31">
        <f t="shared" si="7"/>
        <v>0.96999999988108798</v>
      </c>
      <c r="AG8" s="31">
        <f t="shared" si="8"/>
        <v>-10.456999999999997</v>
      </c>
      <c r="AH8" s="31">
        <f t="shared" si="9"/>
        <v>-10.457000000000001</v>
      </c>
      <c r="AI8" s="31">
        <f t="shared" si="10"/>
        <v>-13.2</v>
      </c>
      <c r="AJ8" s="31">
        <f t="shared" si="11"/>
        <v>-13.200000000000003</v>
      </c>
      <c r="AK8" s="31">
        <f t="shared" si="12"/>
        <v>-13.200000000000003</v>
      </c>
      <c r="AL8" s="31">
        <f t="shared" si="13"/>
        <v>-10.456999999999997</v>
      </c>
      <c r="AM8" s="31">
        <f t="shared" si="14"/>
        <v>-10.457000000000001</v>
      </c>
      <c r="AN8" s="31">
        <f t="shared" si="15"/>
        <v>-13.2</v>
      </c>
      <c r="AO8" s="30" t="s">
        <v>35</v>
      </c>
      <c r="AP8" s="30">
        <v>-10.457000000000001</v>
      </c>
      <c r="AQ8" s="30">
        <v>-13.2</v>
      </c>
      <c r="AR8" s="246">
        <v>-13.2</v>
      </c>
      <c r="AS8" s="241">
        <v>1.3449014071068921</v>
      </c>
      <c r="AT8" s="35">
        <v>1.1905530407700744</v>
      </c>
      <c r="AU8" s="37">
        <v>0.83159717295797964</v>
      </c>
      <c r="AV8" s="37">
        <v>1.3365690637039611</v>
      </c>
      <c r="AW8" s="37">
        <v>0.11658678987038422</v>
      </c>
      <c r="AX8" s="35">
        <f t="shared" si="49"/>
        <v>1.1905530407700744</v>
      </c>
      <c r="AY8" s="35">
        <f t="shared" si="50"/>
        <v>1.3449014071068921</v>
      </c>
      <c r="AZ8" s="37">
        <f t="shared" si="51"/>
        <v>1.3365690637039611</v>
      </c>
      <c r="BA8" s="37">
        <f t="shared" si="52"/>
        <v>0.83159717295797964</v>
      </c>
      <c r="BB8" s="37">
        <f t="shared" si="53"/>
        <v>0.11658678987038422</v>
      </c>
      <c r="BC8" s="38">
        <f t="shared" si="16"/>
        <v>47.64700826550299</v>
      </c>
      <c r="BD8" s="38">
        <f t="shared" si="17"/>
        <v>76.579766377989031</v>
      </c>
      <c r="BE8" s="38">
        <f t="shared" si="18"/>
        <v>6.6799310065515938</v>
      </c>
      <c r="BF8" s="38">
        <f t="shared" si="19"/>
        <v>76.579766377989031</v>
      </c>
      <c r="BG8" s="38">
        <f t="shared" si="20"/>
        <v>47.64700826550299</v>
      </c>
      <c r="BH8" s="38">
        <f t="shared" si="21"/>
        <v>6.6799310065515938</v>
      </c>
      <c r="BI8" s="417">
        <f t="shared" si="22"/>
        <v>92.2</v>
      </c>
      <c r="BJ8" s="241">
        <f t="shared" si="23"/>
        <v>2.1532333594683339</v>
      </c>
      <c r="BK8" s="35">
        <f t="shared" si="24"/>
        <v>1.5643216449420521</v>
      </c>
      <c r="BL8" s="35">
        <f t="shared" si="25"/>
        <v>1.0797506469315223</v>
      </c>
      <c r="BM8" s="37">
        <f t="shared" si="26"/>
        <v>-0.42194490388213213</v>
      </c>
      <c r="BN8" s="37">
        <f t="shared" si="27"/>
        <v>0.99389333312832884</v>
      </c>
      <c r="BO8" s="37">
        <f>0</f>
        <v>0</v>
      </c>
      <c r="BP8" s="37">
        <f t="shared" si="28"/>
        <v>-0.27631714384512929</v>
      </c>
      <c r="BQ8" s="37">
        <f t="shared" si="29"/>
        <v>-1.1501823400387028</v>
      </c>
      <c r="BR8" s="39">
        <f t="shared" si="30"/>
        <v>-0.1347069544130326</v>
      </c>
      <c r="BS8" s="35">
        <f t="shared" si="31"/>
        <v>2.1532333594683344</v>
      </c>
      <c r="BT8" s="35">
        <f t="shared" si="32"/>
        <v>1.0797506469315226</v>
      </c>
      <c r="BU8" s="35">
        <f t="shared" si="33"/>
        <v>1.5643216449420518</v>
      </c>
      <c r="BV8" s="37">
        <f t="shared" si="34"/>
        <v>-1.1465829876213831</v>
      </c>
      <c r="BW8" s="37">
        <f t="shared" si="35"/>
        <v>0.32056823826463815</v>
      </c>
      <c r="BX8" s="37">
        <f>0</f>
        <v>0</v>
      </c>
      <c r="BY8" s="37">
        <f t="shared" si="36"/>
        <v>1.0026161745040096</v>
      </c>
      <c r="BZ8" s="37">
        <f t="shared" si="37"/>
        <v>0.38373951368534615</v>
      </c>
      <c r="CA8" s="39">
        <f t="shared" si="38"/>
        <v>-0.1156125071457256</v>
      </c>
      <c r="CB8" s="231"/>
      <c r="CC8" s="354" t="str">
        <f t="shared" si="39"/>
        <v>1.0</v>
      </c>
      <c r="CD8" s="354" t="str">
        <f t="shared" si="40"/>
        <v>1.0</v>
      </c>
      <c r="CE8" s="354" t="str">
        <f t="shared" si="41"/>
        <v>1.328</v>
      </c>
      <c r="CF8" s="354" t="str">
        <f t="shared" si="42"/>
        <v>1.328</v>
      </c>
      <c r="CG8" s="354" t="str">
        <f t="shared" si="43"/>
        <v>1.609193570338772</v>
      </c>
      <c r="CH8" s="354" t="str">
        <f t="shared" si="54"/>
        <v>1.344901407106892</v>
      </c>
      <c r="CI8" s="354" t="str">
        <f t="shared" si="55"/>
        <v>1.190553040770074</v>
      </c>
      <c r="CJ8" s="354" t="str">
        <f t="shared" si="56"/>
        <v>0.83159717295798</v>
      </c>
      <c r="CK8" s="354" t="str">
        <f t="shared" si="57"/>
        <v>1.336569063703961</v>
      </c>
      <c r="CL8" s="354" t="str">
        <f t="shared" si="58"/>
        <v>0.116586789870384</v>
      </c>
      <c r="CM8" s="354" t="str">
        <f t="shared" si="59"/>
        <v>1.190553040770074</v>
      </c>
      <c r="CN8" s="354" t="str">
        <f t="shared" si="60"/>
        <v>1.344901407106892</v>
      </c>
      <c r="CO8" s="354" t="str">
        <f t="shared" si="61"/>
        <v>1.336569063703961</v>
      </c>
      <c r="CP8" s="354" t="str">
        <f t="shared" si="62"/>
        <v>0.83159717295798</v>
      </c>
      <c r="CQ8" s="354" t="str">
        <f t="shared" si="63"/>
        <v>0.116586789870384</v>
      </c>
      <c r="CT8" s="394" t="str">
        <f ca="1">Rotation!BA87</f>
        <v>-</v>
      </c>
      <c r="CU8" s="394" t="str">
        <f ca="1">Rotation!BB87</f>
        <v>-</v>
      </c>
      <c r="CV8" s="394">
        <v>0.42417865451429287</v>
      </c>
      <c r="CW8" s="398" t="e">
        <f t="shared" ca="1" si="64"/>
        <v>#VALUE!</v>
      </c>
      <c r="CX8" s="394" t="str">
        <f ca="1">Rotation!BC87</f>
        <v>-</v>
      </c>
      <c r="CY8" s="394" t="str">
        <f ca="1">Rotation!BD87</f>
        <v>-</v>
      </c>
      <c r="CZ8" s="394">
        <v>0.575839666232425</v>
      </c>
      <c r="DA8" s="398" t="e">
        <f t="shared" ca="1" si="65"/>
        <v>#VALUE!</v>
      </c>
    </row>
    <row r="9" spans="1:105" s="56" customFormat="1" ht="15" customHeight="1">
      <c r="A9" s="366" t="s">
        <v>372</v>
      </c>
      <c r="B9" s="27">
        <v>-13.61806</v>
      </c>
      <c r="C9" s="28">
        <v>4</v>
      </c>
      <c r="D9" s="27">
        <v>-10.36</v>
      </c>
      <c r="E9" s="28">
        <v>4</v>
      </c>
      <c r="F9" s="28">
        <v>-13.61806</v>
      </c>
      <c r="G9" s="258">
        <v>4</v>
      </c>
      <c r="H9" s="242" t="s">
        <v>209</v>
      </c>
      <c r="I9" s="263">
        <v>2</v>
      </c>
      <c r="J9" s="28">
        <v>2</v>
      </c>
      <c r="K9" s="29">
        <v>1.4319999999999999</v>
      </c>
      <c r="L9" s="29">
        <v>1.4319999999999999</v>
      </c>
      <c r="M9" s="29">
        <v>2.0856684561332237</v>
      </c>
      <c r="N9" s="29">
        <v>-5.65</v>
      </c>
      <c r="O9" s="29">
        <v>-5.65</v>
      </c>
      <c r="P9" s="27">
        <v>1.63</v>
      </c>
      <c r="Q9" s="317">
        <f t="shared" si="45"/>
        <v>-13.049999999999999</v>
      </c>
      <c r="R9" s="29">
        <f t="shared" si="46"/>
        <v>-12.349000000000006</v>
      </c>
      <c r="S9" s="29">
        <f t="shared" si="47"/>
        <v>-12.349000000000006</v>
      </c>
      <c r="T9" s="317">
        <f t="shared" si="48"/>
        <v>-13.049999999999999</v>
      </c>
      <c r="U9" s="414">
        <v>15.9994</v>
      </c>
      <c r="V9" s="413">
        <v>32.064999999999998</v>
      </c>
      <c r="W9" s="414">
        <v>15.9994</v>
      </c>
      <c r="X9" s="29">
        <v>-12.349</v>
      </c>
      <c r="Y9" s="317">
        <f t="shared" si="0"/>
        <v>-12.349</v>
      </c>
      <c r="Z9" s="317">
        <f t="shared" si="1"/>
        <v>-13.05</v>
      </c>
      <c r="AA9" s="335">
        <f t="shared" si="2"/>
        <v>-13.05</v>
      </c>
      <c r="AB9" s="253">
        <f t="shared" si="3"/>
        <v>5.0074581616631198E-21</v>
      </c>
      <c r="AC9" s="30" t="b">
        <f t="shared" si="4"/>
        <v>1</v>
      </c>
      <c r="AD9" s="31">
        <f t="shared" si="5"/>
        <v>-5.6499999999999986</v>
      </c>
      <c r="AE9" s="31">
        <f t="shared" si="6"/>
        <v>-5.6499999999999986</v>
      </c>
      <c r="AF9" s="31">
        <f t="shared" si="7"/>
        <v>1.6299999999292365</v>
      </c>
      <c r="AG9" s="31">
        <f t="shared" si="8"/>
        <v>-12.349000000000006</v>
      </c>
      <c r="AH9" s="31">
        <f t="shared" si="9"/>
        <v>-12.349000000000006</v>
      </c>
      <c r="AI9" s="31">
        <f t="shared" si="10"/>
        <v>-13.049999999999999</v>
      </c>
      <c r="AJ9" s="31">
        <f t="shared" si="11"/>
        <v>-13.049999999999999</v>
      </c>
      <c r="AK9" s="31">
        <f t="shared" si="12"/>
        <v>-13.049999999999999</v>
      </c>
      <c r="AL9" s="31">
        <f t="shared" si="13"/>
        <v>-12.349000000000006</v>
      </c>
      <c r="AM9" s="31">
        <f t="shared" si="14"/>
        <v>-12.349000000000006</v>
      </c>
      <c r="AN9" s="31">
        <f t="shared" si="15"/>
        <v>-13.049999999999999</v>
      </c>
      <c r="AO9" s="30" t="s">
        <v>388</v>
      </c>
      <c r="AP9" s="30">
        <v>-12.349</v>
      </c>
      <c r="AQ9" s="30">
        <v>-13.05</v>
      </c>
      <c r="AR9" s="246">
        <v>-13.05</v>
      </c>
      <c r="AS9" s="241">
        <v>1.0665602283470217</v>
      </c>
      <c r="AT9" s="35">
        <v>1.3143516187687325</v>
      </c>
      <c r="AU9" s="37">
        <v>1.2578671695146695</v>
      </c>
      <c r="AV9" s="37">
        <v>0.94784907241362659</v>
      </c>
      <c r="AW9" s="37">
        <v>8.1293932907315292E-2</v>
      </c>
      <c r="AX9" s="35">
        <f t="shared" si="49"/>
        <v>1.3143516187687325</v>
      </c>
      <c r="AY9" s="35">
        <f t="shared" si="50"/>
        <v>1.0665602283470217</v>
      </c>
      <c r="AZ9" s="37">
        <f t="shared" si="51"/>
        <v>0.94784907241362659</v>
      </c>
      <c r="BA9" s="37">
        <f t="shared" si="52"/>
        <v>1.2578671695146695</v>
      </c>
      <c r="BB9" s="37">
        <f t="shared" si="53"/>
        <v>8.1293932907315292E-2</v>
      </c>
      <c r="BC9" s="32">
        <f t="shared" si="16"/>
        <v>72.070480001257451</v>
      </c>
      <c r="BD9" s="32">
        <f t="shared" si="17"/>
        <v>54.307751464690753</v>
      </c>
      <c r="BE9" s="32">
        <f t="shared" si="18"/>
        <v>4.6577992556088441</v>
      </c>
      <c r="BF9" s="38">
        <f t="shared" si="19"/>
        <v>54.307751464690753</v>
      </c>
      <c r="BG9" s="38">
        <f t="shared" si="20"/>
        <v>72.070480001257451</v>
      </c>
      <c r="BH9" s="38">
        <f t="shared" si="21"/>
        <v>4.6577992556088441</v>
      </c>
      <c r="BI9" s="417">
        <f t="shared" si="22"/>
        <v>119.5</v>
      </c>
      <c r="BJ9" s="242">
        <f t="shared" si="23"/>
        <v>2.1076014457655243</v>
      </c>
      <c r="BK9" s="27">
        <f t="shared" si="24"/>
        <v>1.2577487077110083</v>
      </c>
      <c r="BL9" s="27">
        <f t="shared" si="25"/>
        <v>1.4992721349784308</v>
      </c>
      <c r="BM9" s="29">
        <f t="shared" si="26"/>
        <v>-1.1036627842287468</v>
      </c>
      <c r="BN9" s="29">
        <f t="shared" si="27"/>
        <v>1.0147637131033178</v>
      </c>
      <c r="BO9" s="29">
        <f>0</f>
        <v>0</v>
      </c>
      <c r="BP9" s="29">
        <f t="shared" si="28"/>
        <v>-0.7668339266799149</v>
      </c>
      <c r="BQ9" s="29">
        <f t="shared" si="29"/>
        <v>-1.0639417072906034</v>
      </c>
      <c r="BR9" s="33">
        <f t="shared" si="30"/>
        <v>-8.6683044133248205E-2</v>
      </c>
      <c r="BS9" s="27">
        <f t="shared" si="31"/>
        <v>2.1076014457655239</v>
      </c>
      <c r="BT9" s="27">
        <f t="shared" si="32"/>
        <v>1.4992721349784306</v>
      </c>
      <c r="BU9" s="27">
        <f t="shared" si="33"/>
        <v>1.2577487077110083</v>
      </c>
      <c r="BV9" s="29">
        <f t="shared" si="34"/>
        <v>-0.55146893656788487</v>
      </c>
      <c r="BW9" s="29">
        <f t="shared" si="35"/>
        <v>1.1930642018603499</v>
      </c>
      <c r="BX9" s="29">
        <f>0</f>
        <v>0</v>
      </c>
      <c r="BY9" s="29">
        <f t="shared" si="36"/>
        <v>1.4237581207429177</v>
      </c>
      <c r="BZ9" s="29">
        <f t="shared" si="37"/>
        <v>0.46253588454035416</v>
      </c>
      <c r="CA9" s="33">
        <f t="shared" si="38"/>
        <v>-8.2403300017952541E-2</v>
      </c>
      <c r="CB9" s="231"/>
      <c r="CC9" s="354" t="str">
        <f t="shared" si="39"/>
        <v>2.0</v>
      </c>
      <c r="CD9" s="354" t="str">
        <f t="shared" si="40"/>
        <v>2.0</v>
      </c>
      <c r="CE9" s="354" t="str">
        <f t="shared" si="41"/>
        <v>1.432</v>
      </c>
      <c r="CF9" s="354" t="str">
        <f t="shared" si="42"/>
        <v>1.432</v>
      </c>
      <c r="CG9" s="354" t="str">
        <f t="shared" si="43"/>
        <v>2.0856684561332237</v>
      </c>
      <c r="CH9" s="354" t="str">
        <f t="shared" si="54"/>
        <v>1.0665602283470217</v>
      </c>
      <c r="CI9" s="354" t="str">
        <f t="shared" si="55"/>
        <v>1.314351618768733</v>
      </c>
      <c r="CJ9" s="354" t="str">
        <f t="shared" si="56"/>
        <v>1.257867169514669</v>
      </c>
      <c r="CK9" s="354" t="str">
        <f t="shared" si="57"/>
        <v>0.947849072413627</v>
      </c>
      <c r="CL9" s="354" t="str">
        <f t="shared" si="58"/>
        <v>0.0812939329073153</v>
      </c>
      <c r="CM9" s="354" t="str">
        <f t="shared" si="59"/>
        <v>1.314351618768733</v>
      </c>
      <c r="CN9" s="354" t="str">
        <f t="shared" si="60"/>
        <v>1.0665602283470217</v>
      </c>
      <c r="CO9" s="354" t="str">
        <f t="shared" si="61"/>
        <v>0.947849072413627</v>
      </c>
      <c r="CP9" s="354" t="str">
        <f t="shared" si="62"/>
        <v>1.257867169514669</v>
      </c>
      <c r="CQ9" s="354" t="str">
        <f t="shared" si="63"/>
        <v>0.0812939329073153</v>
      </c>
      <c r="CT9" s="394" t="str">
        <f ca="1">Rotation!BA88</f>
        <v>-</v>
      </c>
      <c r="CU9" s="394" t="str">
        <f ca="1">Rotation!BB88</f>
        <v>-</v>
      </c>
      <c r="CV9" s="394">
        <v>0.47469296179744702</v>
      </c>
      <c r="CW9" s="398" t="e">
        <f t="shared" ca="1" si="64"/>
        <v>#VALUE!</v>
      </c>
      <c r="CX9" s="394" t="str">
        <f ca="1">Rotation!BC88</f>
        <v>-</v>
      </c>
      <c r="CY9" s="394" t="str">
        <f ca="1">Rotation!BD88</f>
        <v>-</v>
      </c>
      <c r="CZ9" s="394">
        <v>0.52528571755482556</v>
      </c>
      <c r="DA9" s="398" t="e">
        <f t="shared" ca="1" si="65"/>
        <v>#VALUE!</v>
      </c>
    </row>
    <row r="10" spans="1:105" s="56" customFormat="1" ht="15" customHeight="1">
      <c r="A10" s="366" t="s">
        <v>374</v>
      </c>
      <c r="B10" s="35">
        <v>-13.61806</v>
      </c>
      <c r="C10" s="36">
        <v>4</v>
      </c>
      <c r="D10" s="35">
        <v>-11.260300000000001</v>
      </c>
      <c r="E10" s="36">
        <v>2</v>
      </c>
      <c r="F10" s="36">
        <v>-13.61806</v>
      </c>
      <c r="G10" s="257">
        <v>4</v>
      </c>
      <c r="H10" s="241" t="s">
        <v>209</v>
      </c>
      <c r="I10" s="262">
        <v>2</v>
      </c>
      <c r="J10" s="36">
        <v>2</v>
      </c>
      <c r="K10" s="37">
        <v>1.1619999999999999</v>
      </c>
      <c r="L10" s="37">
        <v>1.1619999999999999</v>
      </c>
      <c r="M10" s="37">
        <v>3.1415926535897931</v>
      </c>
      <c r="N10" s="37">
        <v>-5.4509999999999996</v>
      </c>
      <c r="O10" s="37">
        <v>-5.4509999999999996</v>
      </c>
      <c r="P10" s="35">
        <v>0</v>
      </c>
      <c r="Q10" s="318">
        <f t="shared" si="45"/>
        <v>-17.600000000000001</v>
      </c>
      <c r="R10" s="37">
        <f t="shared" si="46"/>
        <v>-13.777000000000001</v>
      </c>
      <c r="S10" s="37">
        <f t="shared" si="47"/>
        <v>-13.777000000000001</v>
      </c>
      <c r="T10" s="318">
        <f t="shared" si="48"/>
        <v>-17.600000000000001</v>
      </c>
      <c r="U10" s="414">
        <v>15.9994</v>
      </c>
      <c r="V10" s="37">
        <v>12.0107</v>
      </c>
      <c r="W10" s="414">
        <v>15.9994</v>
      </c>
      <c r="X10" s="37">
        <v>-13.776999999999999</v>
      </c>
      <c r="Y10" s="318">
        <f t="shared" si="0"/>
        <v>-13.776999999999999</v>
      </c>
      <c r="Z10" s="318">
        <f t="shared" si="1"/>
        <v>-17.600000000000001</v>
      </c>
      <c r="AA10" s="334">
        <f t="shared" si="2"/>
        <v>-17.600000000000001</v>
      </c>
      <c r="AB10" s="253">
        <f t="shared" si="3"/>
        <v>6.3108872417680944E-30</v>
      </c>
      <c r="AC10" s="30" t="b">
        <f t="shared" si="4"/>
        <v>1</v>
      </c>
      <c r="AD10" s="31">
        <f t="shared" si="5"/>
        <v>-5.4509999999999996</v>
      </c>
      <c r="AE10" s="31">
        <f t="shared" si="6"/>
        <v>-5.4509999999999996</v>
      </c>
      <c r="AF10" s="31">
        <f t="shared" si="7"/>
        <v>0</v>
      </c>
      <c r="AG10" s="31">
        <f t="shared" si="8"/>
        <v>-13.777000000000001</v>
      </c>
      <c r="AH10" s="31">
        <f t="shared" si="9"/>
        <v>-13.777000000000001</v>
      </c>
      <c r="AI10" s="31">
        <f t="shared" si="10"/>
        <v>-17.600000000000001</v>
      </c>
      <c r="AJ10" s="31">
        <f t="shared" si="11"/>
        <v>-17.600000000000001</v>
      </c>
      <c r="AK10" s="31">
        <f t="shared" si="12"/>
        <v>-17.600000000000001</v>
      </c>
      <c r="AL10" s="31">
        <f t="shared" si="13"/>
        <v>-13.777000000000001</v>
      </c>
      <c r="AM10" s="31">
        <f t="shared" si="14"/>
        <v>-13.777000000000001</v>
      </c>
      <c r="AN10" s="31">
        <f t="shared" si="15"/>
        <v>-17.600000000000001</v>
      </c>
      <c r="AO10" s="30" t="s">
        <v>388</v>
      </c>
      <c r="AP10" s="30">
        <v>-13.776999999999999</v>
      </c>
      <c r="AQ10" s="30">
        <v>-17.600000000000001</v>
      </c>
      <c r="AR10" s="246">
        <v>-17.600000000000001</v>
      </c>
      <c r="AS10" s="241">
        <v>0.87901953422878154</v>
      </c>
      <c r="AT10" s="35">
        <v>1.0120568302100938</v>
      </c>
      <c r="AU10" s="37">
        <v>1.0572534232082078</v>
      </c>
      <c r="AV10" s="37">
        <v>1.168787949058629</v>
      </c>
      <c r="AW10" s="37">
        <v>0.46000787265731513</v>
      </c>
      <c r="AX10" s="35">
        <f t="shared" si="49"/>
        <v>1.0120568302100938</v>
      </c>
      <c r="AY10" s="35">
        <f t="shared" si="50"/>
        <v>0.87901953422878154</v>
      </c>
      <c r="AZ10" s="35">
        <f t="shared" si="51"/>
        <v>1.168787949058629</v>
      </c>
      <c r="BA10" s="35">
        <f t="shared" si="52"/>
        <v>1.0572534232082078</v>
      </c>
      <c r="BB10" s="37">
        <f t="shared" si="53"/>
        <v>0.46000787265731513</v>
      </c>
      <c r="BC10" s="38">
        <f t="shared" si="16"/>
        <v>60.576159025588986</v>
      </c>
      <c r="BD10" s="38">
        <f t="shared" si="17"/>
        <v>66.966616626810904</v>
      </c>
      <c r="BE10" s="38">
        <f t="shared" si="18"/>
        <v>26.356509646055578</v>
      </c>
      <c r="BF10" s="38">
        <f t="shared" si="19"/>
        <v>66.966616626810904</v>
      </c>
      <c r="BG10" s="38">
        <f t="shared" si="20"/>
        <v>60.576159025588986</v>
      </c>
      <c r="BH10" s="38">
        <f t="shared" si="21"/>
        <v>26.356509646055578</v>
      </c>
      <c r="BI10" s="417">
        <f t="shared" si="22"/>
        <v>180</v>
      </c>
      <c r="BJ10" s="241">
        <f t="shared" si="23"/>
        <v>1.6861962268574382</v>
      </c>
      <c r="BK10" s="35">
        <f t="shared" si="24"/>
        <v>1.2059163580525525</v>
      </c>
      <c r="BL10" s="35">
        <f t="shared" si="25"/>
        <v>1.0579888266945161</v>
      </c>
      <c r="BM10" s="37">
        <f t="shared" si="26"/>
        <v>-0.73016739064313885</v>
      </c>
      <c r="BN10" s="37">
        <f t="shared" si="27"/>
        <v>0.76563433769119094</v>
      </c>
      <c r="BO10" s="37">
        <f>0</f>
        <v>0</v>
      </c>
      <c r="BP10" s="37">
        <f t="shared" si="28"/>
        <v>-0.39598483862141592</v>
      </c>
      <c r="BQ10" s="37">
        <f t="shared" si="29"/>
        <v>-0.83455554451584868</v>
      </c>
      <c r="BR10" s="39">
        <f t="shared" si="30"/>
        <v>-0.41348770027018888</v>
      </c>
      <c r="BS10" s="35">
        <f t="shared" si="31"/>
        <v>1.686196226857438</v>
      </c>
      <c r="BT10" s="35">
        <f t="shared" si="32"/>
        <v>1.0579888266945161</v>
      </c>
      <c r="BU10" s="35">
        <f t="shared" si="33"/>
        <v>1.2059163580525525</v>
      </c>
      <c r="BV10" s="37">
        <f t="shared" si="34"/>
        <v>0.39598483862141576</v>
      </c>
      <c r="BW10" s="37">
        <f t="shared" si="35"/>
        <v>0.93137266180454004</v>
      </c>
      <c r="BX10" s="37">
        <f>0</f>
        <v>0</v>
      </c>
      <c r="BY10" s="37">
        <f t="shared" si="36"/>
        <v>0.73016739064313885</v>
      </c>
      <c r="BZ10" s="37">
        <f t="shared" si="37"/>
        <v>-0.68604588452693649</v>
      </c>
      <c r="CA10" s="39">
        <f t="shared" si="38"/>
        <v>-0.33990731586048856</v>
      </c>
      <c r="CB10" s="231"/>
      <c r="CC10" s="354" t="str">
        <f t="shared" si="39"/>
        <v>2.0</v>
      </c>
      <c r="CD10" s="354" t="str">
        <f t="shared" si="40"/>
        <v>2.0</v>
      </c>
      <c r="CE10" s="354" t="str">
        <f t="shared" si="41"/>
        <v>1.162</v>
      </c>
      <c r="CF10" s="354" t="str">
        <f t="shared" si="42"/>
        <v>1.162</v>
      </c>
      <c r="CG10" s="354" t="str">
        <f t="shared" si="43"/>
        <v>3.141592653589793</v>
      </c>
      <c r="CH10" s="354" t="str">
        <f t="shared" si="54"/>
        <v>0.879019534228782</v>
      </c>
      <c r="CI10" s="354" t="str">
        <f t="shared" si="55"/>
        <v>1.0120568302100938</v>
      </c>
      <c r="CJ10" s="354" t="str">
        <f t="shared" si="56"/>
        <v>1.0572534232082078</v>
      </c>
      <c r="CK10" s="354" t="str">
        <f t="shared" si="57"/>
        <v>1.168787949058629</v>
      </c>
      <c r="CL10" s="354" t="str">
        <f t="shared" si="58"/>
        <v>0.460007872657315</v>
      </c>
      <c r="CM10" s="354" t="str">
        <f t="shared" si="59"/>
        <v>1.0120568302100938</v>
      </c>
      <c r="CN10" s="354" t="str">
        <f t="shared" si="60"/>
        <v>0.879019534228782</v>
      </c>
      <c r="CO10" s="354" t="str">
        <f t="shared" si="61"/>
        <v>1.168787949058629</v>
      </c>
      <c r="CP10" s="354" t="str">
        <f t="shared" si="62"/>
        <v>1.0572534232082078</v>
      </c>
      <c r="CQ10" s="354" t="str">
        <f t="shared" si="63"/>
        <v>0.460007872657315</v>
      </c>
      <c r="CT10" s="394" t="str">
        <f ca="1">Rotation!BA89</f>
        <v>-</v>
      </c>
      <c r="CU10" s="394" t="str">
        <f ca="1">Rotation!BB89</f>
        <v>-</v>
      </c>
      <c r="CV10" s="394">
        <v>0.40326139697312757</v>
      </c>
      <c r="CW10" s="398" t="e">
        <f t="shared" ca="1" si="64"/>
        <v>#VALUE!</v>
      </c>
      <c r="CX10" s="394" t="str">
        <f ca="1">Rotation!BC89</f>
        <v>-</v>
      </c>
      <c r="CY10" s="394" t="str">
        <f ca="1">Rotation!BD89</f>
        <v>-</v>
      </c>
      <c r="CZ10" s="394">
        <v>0.59674025149897048</v>
      </c>
      <c r="DA10" s="398" t="e">
        <f t="shared" ca="1" si="65"/>
        <v>#VALUE!</v>
      </c>
    </row>
    <row r="11" spans="1:105" s="56" customFormat="1" ht="15" customHeight="1">
      <c r="A11" s="366" t="s">
        <v>375</v>
      </c>
      <c r="B11" s="27">
        <v>-10.36</v>
      </c>
      <c r="C11" s="28">
        <v>4</v>
      </c>
      <c r="D11" s="27">
        <v>-11.260300000000001</v>
      </c>
      <c r="E11" s="28">
        <v>2</v>
      </c>
      <c r="F11" s="28">
        <v>-10.36</v>
      </c>
      <c r="G11" s="258">
        <v>4</v>
      </c>
      <c r="H11" s="241" t="s">
        <v>60</v>
      </c>
      <c r="I11" s="263">
        <v>2</v>
      </c>
      <c r="J11" s="28">
        <v>2</v>
      </c>
      <c r="K11" s="29">
        <v>1.554</v>
      </c>
      <c r="L11" s="29">
        <v>1.554</v>
      </c>
      <c r="M11" s="29">
        <v>3.1415926535897931</v>
      </c>
      <c r="N11" s="29">
        <v>-4.1219999999999999</v>
      </c>
      <c r="O11" s="29">
        <v>-4.1219999999999999</v>
      </c>
      <c r="P11" s="27">
        <v>0</v>
      </c>
      <c r="Q11" s="29">
        <f t="shared" si="45"/>
        <v>-10.073000003922177</v>
      </c>
      <c r="R11" s="29">
        <f t="shared" si="46"/>
        <v>-12.900000013474136</v>
      </c>
      <c r="S11" s="29">
        <f t="shared" si="47"/>
        <v>-12.900000013474136</v>
      </c>
      <c r="T11" s="29">
        <f t="shared" si="48"/>
        <v>-10.073000003922184</v>
      </c>
      <c r="U11" s="413">
        <v>32.064999999999998</v>
      </c>
      <c r="V11" s="37">
        <v>12.0107</v>
      </c>
      <c r="W11" s="413">
        <v>32.064999999999998</v>
      </c>
      <c r="X11" s="29">
        <v>-10.073</v>
      </c>
      <c r="Y11" s="29">
        <f t="shared" si="0"/>
        <v>-10.073</v>
      </c>
      <c r="Z11" s="29">
        <f t="shared" si="1"/>
        <v>-12.9</v>
      </c>
      <c r="AA11" s="33">
        <f t="shared" si="2"/>
        <v>-12.9</v>
      </c>
      <c r="AB11" s="253">
        <f t="shared" si="3"/>
        <v>6.049162286716784E-16</v>
      </c>
      <c r="AC11" s="30" t="b">
        <f t="shared" si="4"/>
        <v>1</v>
      </c>
      <c r="AD11" s="31">
        <f t="shared" si="5"/>
        <v>-4.1220000102724041</v>
      </c>
      <c r="AE11" s="31">
        <f t="shared" si="6"/>
        <v>-4.1220000102724041</v>
      </c>
      <c r="AF11" s="31">
        <f t="shared" si="7"/>
        <v>0</v>
      </c>
      <c r="AG11" s="31">
        <f t="shared" si="8"/>
        <v>-10.073000003922177</v>
      </c>
      <c r="AH11" s="31">
        <f t="shared" si="9"/>
        <v>-10.073000003922184</v>
      </c>
      <c r="AI11" s="31">
        <f t="shared" si="10"/>
        <v>-12.900000013474136</v>
      </c>
      <c r="AJ11" s="31">
        <f t="shared" si="11"/>
        <v>-12.900000013474136</v>
      </c>
      <c r="AK11" s="31">
        <f t="shared" si="12"/>
        <v>-10.073000003922177</v>
      </c>
      <c r="AL11" s="31">
        <f t="shared" si="13"/>
        <v>-12.900000013474136</v>
      </c>
      <c r="AM11" s="31">
        <f t="shared" si="14"/>
        <v>-12.900000013474136</v>
      </c>
      <c r="AN11" s="31">
        <f t="shared" si="15"/>
        <v>-10.073000003922184</v>
      </c>
      <c r="AO11" s="230" t="s">
        <v>35</v>
      </c>
      <c r="AP11" s="30">
        <v>-10.073</v>
      </c>
      <c r="AQ11" s="30">
        <v>-12.9</v>
      </c>
      <c r="AR11" s="246">
        <v>-12.9</v>
      </c>
      <c r="AS11" s="241">
        <v>1.4451799905102622</v>
      </c>
      <c r="AT11" s="35">
        <v>1.1388112206253018</v>
      </c>
      <c r="AU11" s="37">
        <v>1.0730907247733914</v>
      </c>
      <c r="AV11" s="37">
        <v>1.156527917393926</v>
      </c>
      <c r="AW11" s="37">
        <v>0.48737973724860151</v>
      </c>
      <c r="AX11" s="35">
        <f t="shared" si="49"/>
        <v>1.1388112206253018</v>
      </c>
      <c r="AY11" s="35">
        <f t="shared" si="50"/>
        <v>1.4451799905102622</v>
      </c>
      <c r="AZ11" s="35">
        <f t="shared" si="51"/>
        <v>1.156527917393926</v>
      </c>
      <c r="BA11" s="35">
        <f t="shared" si="52"/>
        <v>1.0730907247733914</v>
      </c>
      <c r="BB11" s="37">
        <f t="shared" si="53"/>
        <v>0.48737973724860151</v>
      </c>
      <c r="BC11" s="32">
        <f t="shared" si="16"/>
        <v>61.483569564149938</v>
      </c>
      <c r="BD11" s="32">
        <f t="shared" si="17"/>
        <v>66.26416855572667</v>
      </c>
      <c r="BE11" s="32">
        <f t="shared" si="18"/>
        <v>27.924801964539867</v>
      </c>
      <c r="BF11" s="38">
        <f t="shared" si="19"/>
        <v>66.26416855572667</v>
      </c>
      <c r="BG11" s="38">
        <f t="shared" si="20"/>
        <v>61.483569564149938</v>
      </c>
      <c r="BH11" s="38">
        <f t="shared" si="21"/>
        <v>27.924801964539867</v>
      </c>
      <c r="BI11" s="417">
        <f t="shared" si="22"/>
        <v>180</v>
      </c>
      <c r="BJ11" s="242">
        <f t="shared" si="23"/>
        <v>2.2810436574626549</v>
      </c>
      <c r="BK11" s="27">
        <f t="shared" si="24"/>
        <v>1.5123215133648378</v>
      </c>
      <c r="BL11" s="27">
        <f t="shared" si="25"/>
        <v>1.535940686324432</v>
      </c>
      <c r="BM11" s="29">
        <f t="shared" si="26"/>
        <v>-0.86405552990203516</v>
      </c>
      <c r="BN11" s="29">
        <f t="shared" si="27"/>
        <v>1.2698511066863234</v>
      </c>
      <c r="BO11" s="29">
        <f>0</f>
        <v>0</v>
      </c>
      <c r="BP11" s="29">
        <f t="shared" si="28"/>
        <v>-0.45839467066794626</v>
      </c>
      <c r="BQ11" s="29">
        <f t="shared" si="29"/>
        <v>-0.92109707466519664</v>
      </c>
      <c r="BR11" s="33">
        <f t="shared" si="30"/>
        <v>-0.48820641246150398</v>
      </c>
      <c r="BS11" s="27">
        <f t="shared" si="31"/>
        <v>2.2810436574626545</v>
      </c>
      <c r="BT11" s="27">
        <f t="shared" si="32"/>
        <v>1.5359406863244316</v>
      </c>
      <c r="BU11" s="27">
        <f t="shared" si="33"/>
        <v>1.5123215133648378</v>
      </c>
      <c r="BV11" s="29">
        <f t="shared" si="34"/>
        <v>0.45839467066794615</v>
      </c>
      <c r="BW11" s="29">
        <f t="shared" si="35"/>
        <v>1.0424803701390808</v>
      </c>
      <c r="BX11" s="29">
        <f>0</f>
        <v>0</v>
      </c>
      <c r="BY11" s="29">
        <f t="shared" si="36"/>
        <v>0.86405552990203494</v>
      </c>
      <c r="BZ11" s="29">
        <f t="shared" si="37"/>
        <v>-1.1219934428818903</v>
      </c>
      <c r="CA11" s="33">
        <f t="shared" si="38"/>
        <v>-0.59468693216054591</v>
      </c>
      <c r="CB11" s="231"/>
      <c r="CC11" s="354" t="str">
        <f t="shared" si="39"/>
        <v>2.0</v>
      </c>
      <c r="CD11" s="354" t="str">
        <f t="shared" si="40"/>
        <v>2.0</v>
      </c>
      <c r="CE11" s="354" t="str">
        <f t="shared" si="41"/>
        <v>1.554</v>
      </c>
      <c r="CF11" s="354" t="str">
        <f t="shared" si="42"/>
        <v>1.554</v>
      </c>
      <c r="CG11" s="354" t="str">
        <f t="shared" si="43"/>
        <v>3.141592653589793</v>
      </c>
      <c r="CH11" s="354" t="str">
        <f t="shared" si="54"/>
        <v>1.445179990510262</v>
      </c>
      <c r="CI11" s="354" t="str">
        <f t="shared" si="55"/>
        <v>1.138811220625302</v>
      </c>
      <c r="CJ11" s="354" t="str">
        <f t="shared" si="56"/>
        <v>1.0730907247733914</v>
      </c>
      <c r="CK11" s="354" t="str">
        <f t="shared" si="57"/>
        <v>1.156527917393926</v>
      </c>
      <c r="CL11" s="354" t="str">
        <f t="shared" si="58"/>
        <v>0.487379737248602</v>
      </c>
      <c r="CM11" s="354" t="str">
        <f t="shared" si="59"/>
        <v>1.138811220625302</v>
      </c>
      <c r="CN11" s="354" t="str">
        <f t="shared" si="60"/>
        <v>1.445179990510262</v>
      </c>
      <c r="CO11" s="354" t="str">
        <f t="shared" si="61"/>
        <v>1.156527917393926</v>
      </c>
      <c r="CP11" s="354" t="str">
        <f t="shared" si="62"/>
        <v>1.0730907247733914</v>
      </c>
      <c r="CQ11" s="354" t="str">
        <f t="shared" si="63"/>
        <v>0.487379737248602</v>
      </c>
      <c r="CT11" s="394" t="str">
        <f ca="1">Rotation!BA90</f>
        <v>-</v>
      </c>
      <c r="CU11" s="394" t="str">
        <f ca="1">Rotation!BB90</f>
        <v>-</v>
      </c>
      <c r="CV11" s="394">
        <v>0.59738721304223452</v>
      </c>
      <c r="CW11" s="398" t="e">
        <f t="shared" ca="1" si="64"/>
        <v>#VALUE!</v>
      </c>
      <c r="CX11" s="394" t="str">
        <f ca="1">Rotation!BC90</f>
        <v>-</v>
      </c>
      <c r="CY11" s="394" t="str">
        <f ca="1">Rotation!BD90</f>
        <v>-</v>
      </c>
      <c r="CZ11" s="394">
        <v>0.40262455841990186</v>
      </c>
      <c r="DA11" s="398" t="e">
        <f t="shared" ca="1" si="65"/>
        <v>#VALUE!</v>
      </c>
    </row>
    <row r="12" spans="1:105" s="56" customFormat="1" ht="15" customHeight="1">
      <c r="A12" s="366" t="s">
        <v>373</v>
      </c>
      <c r="B12" s="35">
        <v>-13.59844</v>
      </c>
      <c r="C12" s="36">
        <v>1</v>
      </c>
      <c r="D12" s="35">
        <v>-14.534140000000001</v>
      </c>
      <c r="E12" s="36">
        <v>3</v>
      </c>
      <c r="F12" s="36">
        <v>-13.59844</v>
      </c>
      <c r="G12" s="257">
        <v>1</v>
      </c>
      <c r="H12" s="241" t="s">
        <v>60</v>
      </c>
      <c r="I12" s="262">
        <v>1</v>
      </c>
      <c r="J12" s="36">
        <v>1</v>
      </c>
      <c r="K12" s="37">
        <v>1.024</v>
      </c>
      <c r="L12" s="37">
        <v>1.024</v>
      </c>
      <c r="M12" s="37">
        <v>1.8046704465621368</v>
      </c>
      <c r="N12" s="37">
        <v>-3.907</v>
      </c>
      <c r="O12" s="37">
        <v>-3.907</v>
      </c>
      <c r="P12" s="35">
        <v>1.77</v>
      </c>
      <c r="Q12" s="37">
        <f t="shared" si="45"/>
        <v>-10.780000000000003</v>
      </c>
      <c r="R12" s="37">
        <f>AL12</f>
        <v>-21.322762492426264</v>
      </c>
      <c r="S12" s="37">
        <f t="shared" si="47"/>
        <v>-21.322762492426264</v>
      </c>
      <c r="T12" s="37">
        <f t="shared" si="48"/>
        <v>-10.780000000000003</v>
      </c>
      <c r="U12" s="412">
        <v>1.00782503224</v>
      </c>
      <c r="V12" s="414">
        <v>14.0067</v>
      </c>
      <c r="W12" s="412">
        <v>1.00782503224</v>
      </c>
      <c r="X12" s="37">
        <v>-10.78</v>
      </c>
      <c r="Y12" s="37">
        <f t="shared" si="0"/>
        <v>-10.780000000000003</v>
      </c>
      <c r="Z12" s="37">
        <f t="shared" si="1"/>
        <v>-21.322762492426264</v>
      </c>
      <c r="AA12" s="39">
        <f t="shared" si="2"/>
        <v>-21.322762492426264</v>
      </c>
      <c r="AB12" s="253">
        <f t="shared" si="3"/>
        <v>1.6368863783335995E-29</v>
      </c>
      <c r="AC12" s="30" t="b">
        <f t="shared" si="4"/>
        <v>1</v>
      </c>
      <c r="AD12" s="31">
        <f t="shared" si="5"/>
        <v>-3.9069999999999987</v>
      </c>
      <c r="AE12" s="31">
        <f t="shared" si="6"/>
        <v>-3.9069999999999987</v>
      </c>
      <c r="AF12" s="31">
        <f t="shared" si="7"/>
        <v>1.7699999999999996</v>
      </c>
      <c r="AG12" s="31">
        <f t="shared" si="8"/>
        <v>-10.780000000000003</v>
      </c>
      <c r="AH12" s="31">
        <f t="shared" si="9"/>
        <v>-10.780000000000003</v>
      </c>
      <c r="AI12" s="31">
        <f t="shared" si="10"/>
        <v>-21.322762492426264</v>
      </c>
      <c r="AJ12" s="31">
        <f t="shared" si="11"/>
        <v>-21.322762492426264</v>
      </c>
      <c r="AK12" s="31">
        <f t="shared" si="12"/>
        <v>-10.780000000000003</v>
      </c>
      <c r="AL12" s="31">
        <f t="shared" si="13"/>
        <v>-21.322762492426264</v>
      </c>
      <c r="AM12" s="31">
        <f t="shared" si="14"/>
        <v>-21.322762492426264</v>
      </c>
      <c r="AN12" s="31">
        <f t="shared" si="15"/>
        <v>-10.780000000000003</v>
      </c>
      <c r="AO12" s="30"/>
      <c r="AP12" s="30"/>
      <c r="AQ12" s="30"/>
      <c r="AR12" s="246"/>
      <c r="AS12" s="241">
        <v>1.0666348372440602</v>
      </c>
      <c r="AT12" s="35">
        <v>0.77470755973357741</v>
      </c>
      <c r="AU12" s="37">
        <v>1.3047117716093095</v>
      </c>
      <c r="AV12" s="37">
        <v>0.956983009334749</v>
      </c>
      <c r="AW12" s="37">
        <v>0.58971691238517077</v>
      </c>
      <c r="AX12" s="35">
        <f t="shared" si="49"/>
        <v>0.77470755973357741</v>
      </c>
      <c r="AY12" s="35">
        <f t="shared" si="50"/>
        <v>1.0666348372440602</v>
      </c>
      <c r="AZ12" s="35">
        <f t="shared" si="51"/>
        <v>0.956983009334749</v>
      </c>
      <c r="BA12" s="35">
        <f t="shared" si="52"/>
        <v>1.3047117716093095</v>
      </c>
      <c r="BB12" s="37">
        <f t="shared" si="53"/>
        <v>0.58971691238517077</v>
      </c>
      <c r="BC12" s="38">
        <f t="shared" si="16"/>
        <v>74.754477994250024</v>
      </c>
      <c r="BD12" s="38">
        <f t="shared" si="17"/>
        <v>54.831087500609783</v>
      </c>
      <c r="BE12" s="38">
        <f t="shared" si="18"/>
        <v>33.788290187156427</v>
      </c>
      <c r="BF12" s="38">
        <f t="shared" si="19"/>
        <v>54.831087500609783</v>
      </c>
      <c r="BG12" s="38">
        <f t="shared" si="20"/>
        <v>74.754477994250024</v>
      </c>
      <c r="BH12" s="38">
        <f t="shared" si="21"/>
        <v>33.788290187156427</v>
      </c>
      <c r="BI12" s="417">
        <f t="shared" si="22"/>
        <v>103.4</v>
      </c>
      <c r="BJ12" s="241">
        <f t="shared" si="23"/>
        <v>1.622272715386448</v>
      </c>
      <c r="BK12" s="35">
        <f t="shared" si="24"/>
        <v>0.85725331479070377</v>
      </c>
      <c r="BL12" s="35">
        <f t="shared" si="25"/>
        <v>1.2695933542395204</v>
      </c>
      <c r="BM12" s="37">
        <f t="shared" si="26"/>
        <v>-0.74352217241528029</v>
      </c>
      <c r="BN12" s="37">
        <f t="shared" si="27"/>
        <v>1.0290976942234487</v>
      </c>
      <c r="BO12" s="37">
        <f>0</f>
        <v>0</v>
      </c>
      <c r="BP12" s="37">
        <f t="shared" si="28"/>
        <v>-0.44622292841245359</v>
      </c>
      <c r="BQ12" s="37">
        <f t="shared" si="29"/>
        <v>-0.52632658840845958</v>
      </c>
      <c r="BR12" s="39">
        <f t="shared" si="30"/>
        <v>-0.35218918722993281</v>
      </c>
      <c r="BS12" s="35">
        <f t="shared" si="31"/>
        <v>1.622272715386448</v>
      </c>
      <c r="BT12" s="35">
        <f t="shared" si="32"/>
        <v>1.2695933542395204</v>
      </c>
      <c r="BU12" s="35">
        <f t="shared" si="33"/>
        <v>0.85725331479070388</v>
      </c>
      <c r="BV12" s="37">
        <f t="shared" si="34"/>
        <v>-0.51263852784762809</v>
      </c>
      <c r="BW12" s="37">
        <f t="shared" si="35"/>
        <v>0.58083865476961072</v>
      </c>
      <c r="BX12" s="37">
        <f>0</f>
        <v>0</v>
      </c>
      <c r="BY12" s="37">
        <f t="shared" si="36"/>
        <v>1.0043066099317621</v>
      </c>
      <c r="BZ12" s="37">
        <f t="shared" si="37"/>
        <v>0.52507081285615698</v>
      </c>
      <c r="CA12" s="39">
        <f t="shared" si="38"/>
        <v>-0.57230774926004835</v>
      </c>
      <c r="CB12" s="231"/>
      <c r="CC12" s="354" t="str">
        <f t="shared" si="39"/>
        <v>1.0</v>
      </c>
      <c r="CD12" s="354" t="str">
        <f t="shared" si="40"/>
        <v>1.0</v>
      </c>
      <c r="CE12" s="354" t="str">
        <f t="shared" si="41"/>
        <v>1.024</v>
      </c>
      <c r="CF12" s="354" t="str">
        <f t="shared" si="42"/>
        <v>1.024</v>
      </c>
      <c r="CG12" s="354" t="str">
        <f t="shared" si="43"/>
        <v>1.804670446562137</v>
      </c>
      <c r="CH12" s="354" t="str">
        <f t="shared" si="54"/>
        <v>1.0666348372440602</v>
      </c>
      <c r="CI12" s="354" t="str">
        <f t="shared" si="55"/>
        <v>0.774707559733577</v>
      </c>
      <c r="CJ12" s="354" t="str">
        <f t="shared" si="56"/>
        <v>1.30471177160931</v>
      </c>
      <c r="CK12" s="354" t="str">
        <f t="shared" si="57"/>
        <v>0.956983009334749</v>
      </c>
      <c r="CL12" s="354" t="str">
        <f t="shared" si="58"/>
        <v>0.589716912385171</v>
      </c>
      <c r="CM12" s="354" t="str">
        <f t="shared" si="59"/>
        <v>0.774707559733577</v>
      </c>
      <c r="CN12" s="354" t="str">
        <f t="shared" si="60"/>
        <v>1.0666348372440602</v>
      </c>
      <c r="CO12" s="354" t="str">
        <f t="shared" si="61"/>
        <v>0.956983009334749</v>
      </c>
      <c r="CP12" s="354" t="str">
        <f t="shared" si="62"/>
        <v>1.30471177160931</v>
      </c>
      <c r="CQ12" s="354" t="str">
        <f t="shared" si="63"/>
        <v>0.589716912385171</v>
      </c>
      <c r="CT12" s="394" t="str">
        <f ca="1">Rotation!BA91</f>
        <v>-</v>
      </c>
      <c r="CU12" s="394" t="str">
        <f ca="1">Rotation!BB91</f>
        <v>-</v>
      </c>
      <c r="CV12" s="394">
        <v>0.7253126956115129</v>
      </c>
      <c r="CW12" s="398" t="e">
        <f t="shared" ca="1" si="64"/>
        <v>#VALUE!</v>
      </c>
      <c r="CX12" s="394" t="str">
        <f ca="1">Rotation!BC91</f>
        <v>-</v>
      </c>
      <c r="CY12" s="394" t="str">
        <f ca="1">Rotation!BD91</f>
        <v>-</v>
      </c>
      <c r="CZ12" s="394">
        <v>0.27468883153227364</v>
      </c>
      <c r="DA12" s="398" t="e">
        <f t="shared" ca="1" si="65"/>
        <v>#VALUE!</v>
      </c>
    </row>
    <row r="13" spans="1:105" s="56" customFormat="1" ht="15" customHeight="1">
      <c r="A13" s="366" t="s">
        <v>376</v>
      </c>
      <c r="B13" s="35">
        <v>-13.61806</v>
      </c>
      <c r="C13" s="36">
        <v>4</v>
      </c>
      <c r="D13" s="35">
        <v>-13.61806</v>
      </c>
      <c r="E13" s="36">
        <v>4</v>
      </c>
      <c r="F13" s="36">
        <v>-13.61806</v>
      </c>
      <c r="G13" s="257">
        <v>4</v>
      </c>
      <c r="H13" s="241" t="s">
        <v>60</v>
      </c>
      <c r="I13" s="262">
        <v>2</v>
      </c>
      <c r="J13" s="36">
        <v>2</v>
      </c>
      <c r="K13" s="37">
        <v>1.278</v>
      </c>
      <c r="L13" s="37">
        <v>1.278</v>
      </c>
      <c r="M13" s="37">
        <v>2.0376719017033795</v>
      </c>
      <c r="N13" s="37">
        <v>-1.1319999999999999</v>
      </c>
      <c r="O13" s="37">
        <v>-1.1319999999999999</v>
      </c>
      <c r="P13" s="35">
        <v>0.53400000000000003</v>
      </c>
      <c r="Q13" s="37">
        <f t="shared" si="45"/>
        <v>-12.53</v>
      </c>
      <c r="R13" s="37">
        <f t="shared" si="46"/>
        <v>-15.847699984944393</v>
      </c>
      <c r="S13" s="37">
        <f t="shared" si="47"/>
        <v>-15.847699984944393</v>
      </c>
      <c r="T13" s="37">
        <f t="shared" si="48"/>
        <v>-12.53</v>
      </c>
      <c r="U13" s="414">
        <v>15.9994</v>
      </c>
      <c r="V13" s="414">
        <v>15.9994</v>
      </c>
      <c r="W13" s="414">
        <v>15.9994</v>
      </c>
      <c r="X13" s="37">
        <v>-12.53</v>
      </c>
      <c r="Y13" s="37">
        <f t="shared" si="0"/>
        <v>-12.53</v>
      </c>
      <c r="Z13" s="37">
        <f t="shared" si="1"/>
        <v>-15.847699984944393</v>
      </c>
      <c r="AA13" s="39">
        <f t="shared" si="2"/>
        <v>-15.847699984944393</v>
      </c>
      <c r="AB13" s="253">
        <f t="shared" si="3"/>
        <v>1.9339418129558868E-29</v>
      </c>
      <c r="AC13" s="30" t="b">
        <f t="shared" si="4"/>
        <v>1</v>
      </c>
      <c r="AD13" s="31">
        <f t="shared" si="5"/>
        <v>-1.132000000000003</v>
      </c>
      <c r="AE13" s="31">
        <f t="shared" si="6"/>
        <v>-1.132000000000003</v>
      </c>
      <c r="AF13" s="31">
        <f t="shared" si="7"/>
        <v>0.53400000000000014</v>
      </c>
      <c r="AG13" s="31">
        <f t="shared" si="8"/>
        <v>-12.53</v>
      </c>
      <c r="AH13" s="31">
        <f t="shared" si="9"/>
        <v>-12.53</v>
      </c>
      <c r="AI13" s="31">
        <f t="shared" si="10"/>
        <v>-15.847699984944393</v>
      </c>
      <c r="AJ13" s="31">
        <f t="shared" si="11"/>
        <v>-15.847699984944393</v>
      </c>
      <c r="AK13" s="31">
        <f t="shared" si="12"/>
        <v>-12.53</v>
      </c>
      <c r="AL13" s="31">
        <f t="shared" si="13"/>
        <v>-15.847699984944393</v>
      </c>
      <c r="AM13" s="31">
        <f t="shared" si="14"/>
        <v>-15.847699984944393</v>
      </c>
      <c r="AN13" s="31">
        <f t="shared" si="15"/>
        <v>-12.53</v>
      </c>
      <c r="AO13" s="30"/>
      <c r="AP13" s="30"/>
      <c r="AQ13" s="30"/>
      <c r="AR13" s="246"/>
      <c r="AS13" s="241">
        <v>1.1748482725267271</v>
      </c>
      <c r="AT13" s="35">
        <v>1.0403821063315422</v>
      </c>
      <c r="AU13" s="37">
        <v>1.0643273074985868</v>
      </c>
      <c r="AV13" s="37">
        <v>0.95365695840024656</v>
      </c>
      <c r="AW13" s="37">
        <v>0.49198500272772905</v>
      </c>
      <c r="AX13" s="35">
        <f t="shared" si="49"/>
        <v>1.0403821063315422</v>
      </c>
      <c r="AY13" s="35">
        <f t="shared" si="50"/>
        <v>1.1748482725267271</v>
      </c>
      <c r="AZ13" s="37">
        <f t="shared" si="51"/>
        <v>0.95365695840024656</v>
      </c>
      <c r="BA13" s="37">
        <f t="shared" si="52"/>
        <v>1.0643273074985868</v>
      </c>
      <c r="BB13" s="37">
        <f t="shared" si="53"/>
        <v>0.49198500272772905</v>
      </c>
      <c r="BC13" s="38">
        <f t="shared" si="16"/>
        <v>60.981462740191603</v>
      </c>
      <c r="BD13" s="38">
        <f t="shared" si="17"/>
        <v>54.640518819617249</v>
      </c>
      <c r="BE13" s="38">
        <f t="shared" si="18"/>
        <v>28.188664240031169</v>
      </c>
      <c r="BF13" s="38">
        <f t="shared" si="19"/>
        <v>54.640518819617249</v>
      </c>
      <c r="BG13" s="38">
        <f t="shared" si="20"/>
        <v>60.981462740191603</v>
      </c>
      <c r="BH13" s="38">
        <f t="shared" si="21"/>
        <v>28.188664240031169</v>
      </c>
      <c r="BI13" s="417">
        <f t="shared" si="22"/>
        <v>116.74999999999999</v>
      </c>
      <c r="BJ13" s="241">
        <f t="shared" si="23"/>
        <v>1.8229684543249465</v>
      </c>
      <c r="BK13" s="35">
        <f t="shared" si="24"/>
        <v>1.0847940195575612</v>
      </c>
      <c r="BL13" s="35">
        <f t="shared" si="25"/>
        <v>1.2477427965370489</v>
      </c>
      <c r="BM13" s="37">
        <f t="shared" si="26"/>
        <v>-0.70808983679618964</v>
      </c>
      <c r="BN13" s="37">
        <f t="shared" si="27"/>
        <v>1.0273611192448548</v>
      </c>
      <c r="BO13" s="37">
        <f>0</f>
        <v>0</v>
      </c>
      <c r="BP13" s="37">
        <f t="shared" si="28"/>
        <v>-0.60207388979147347</v>
      </c>
      <c r="BQ13" s="37">
        <f t="shared" si="29"/>
        <v>-0.74783917160100921</v>
      </c>
      <c r="BR13" s="39">
        <f t="shared" si="30"/>
        <v>-0.4007973700329599</v>
      </c>
      <c r="BS13" s="35">
        <f t="shared" si="31"/>
        <v>1.8229684543249465</v>
      </c>
      <c r="BT13" s="35">
        <f t="shared" si="32"/>
        <v>1.2477427965370489</v>
      </c>
      <c r="BU13" s="35">
        <f t="shared" si="33"/>
        <v>1.0847940195575612</v>
      </c>
      <c r="BV13" s="37">
        <f t="shared" si="34"/>
        <v>-0.48667364988113759</v>
      </c>
      <c r="BW13" s="37">
        <f t="shared" si="35"/>
        <v>0.91953449401652587</v>
      </c>
      <c r="BX13" s="37">
        <f>0</f>
        <v>0</v>
      </c>
      <c r="BY13" s="37">
        <f t="shared" si="36"/>
        <v>1.1273141144202274</v>
      </c>
      <c r="BZ13" s="37">
        <f t="shared" si="37"/>
        <v>0.22473935451325655</v>
      </c>
      <c r="CA13" s="39">
        <f t="shared" si="38"/>
        <v>-0.48530113978023853</v>
      </c>
      <c r="CB13" s="231"/>
      <c r="CC13" s="354" t="str">
        <f t="shared" si="39"/>
        <v>2.0</v>
      </c>
      <c r="CD13" s="354" t="str">
        <f t="shared" si="40"/>
        <v>2.0</v>
      </c>
      <c r="CE13" s="354" t="str">
        <f t="shared" si="41"/>
        <v>1.278</v>
      </c>
      <c r="CF13" s="354" t="str">
        <f t="shared" si="42"/>
        <v>1.278</v>
      </c>
      <c r="CG13" s="354" t="str">
        <f t="shared" si="43"/>
        <v>2.0376719017033795</v>
      </c>
      <c r="CH13" s="354" t="str">
        <f t="shared" si="54"/>
        <v>1.174848272526727</v>
      </c>
      <c r="CI13" s="354" t="str">
        <f t="shared" si="55"/>
        <v>1.0403821063315422</v>
      </c>
      <c r="CJ13" s="354" t="str">
        <f t="shared" si="56"/>
        <v>1.0643273074985868</v>
      </c>
      <c r="CK13" s="354" t="str">
        <f t="shared" si="57"/>
        <v>0.953656958400247</v>
      </c>
      <c r="CL13" s="354" t="str">
        <f t="shared" si="58"/>
        <v>0.491985002727729</v>
      </c>
      <c r="CM13" s="354" t="str">
        <f t="shared" si="59"/>
        <v>1.0403821063315422</v>
      </c>
      <c r="CN13" s="354" t="str">
        <f t="shared" si="60"/>
        <v>1.174848272526727</v>
      </c>
      <c r="CO13" s="354" t="str">
        <f t="shared" si="61"/>
        <v>0.953656958400247</v>
      </c>
      <c r="CP13" s="354" t="str">
        <f t="shared" si="62"/>
        <v>1.0643273074985868</v>
      </c>
      <c r="CQ13" s="354" t="str">
        <f t="shared" si="63"/>
        <v>0.491985002727729</v>
      </c>
      <c r="CT13" s="394" t="str">
        <f ca="1">Rotation!BA92</f>
        <v>-</v>
      </c>
      <c r="CU13" s="394" t="str">
        <f ca="1">Rotation!BB92</f>
        <v>-</v>
      </c>
      <c r="CV13" s="394">
        <v>0.59450489949242291</v>
      </c>
      <c r="CW13" s="398" t="e">
        <f t="shared" ca="1" si="64"/>
        <v>#VALUE!</v>
      </c>
      <c r="CX13" s="394" t="str">
        <f ca="1">Rotation!BC92</f>
        <v>-</v>
      </c>
      <c r="CY13" s="394" t="str">
        <f ca="1">Rotation!BD92</f>
        <v>-</v>
      </c>
      <c r="CZ13" s="394">
        <v>0.40550147092735389</v>
      </c>
      <c r="DA13" s="398" t="e">
        <f t="shared" ca="1" si="65"/>
        <v>#VALUE!</v>
      </c>
    </row>
    <row r="14" spans="1:105" s="56" customFormat="1" ht="15" customHeight="1">
      <c r="A14" s="366" t="s">
        <v>377</v>
      </c>
      <c r="B14" s="35">
        <v>-12.967639999999999</v>
      </c>
      <c r="C14" s="36">
        <v>5</v>
      </c>
      <c r="D14" s="35">
        <v>-13.61806</v>
      </c>
      <c r="E14" s="36">
        <v>4</v>
      </c>
      <c r="F14" s="36">
        <v>-12.967639999999999</v>
      </c>
      <c r="G14" s="257">
        <v>5</v>
      </c>
      <c r="H14" s="241" t="s">
        <v>60</v>
      </c>
      <c r="I14" s="262">
        <v>1</v>
      </c>
      <c r="J14" s="36">
        <v>1</v>
      </c>
      <c r="K14" s="37">
        <v>1.7</v>
      </c>
      <c r="L14" s="37">
        <v>1.7</v>
      </c>
      <c r="M14" s="37">
        <v>1.9348720087609137</v>
      </c>
      <c r="N14" s="37">
        <v>-1.52</v>
      </c>
      <c r="O14" s="37">
        <v>-1.52</v>
      </c>
      <c r="P14" s="35">
        <v>0.21199999999999999</v>
      </c>
      <c r="Q14" s="37">
        <f t="shared" si="45"/>
        <v>-10.909999999999997</v>
      </c>
      <c r="R14" s="37">
        <f t="shared" si="46"/>
        <v>-11.119833903361528</v>
      </c>
      <c r="S14" s="37">
        <f t="shared" si="47"/>
        <v>-11.119833903361528</v>
      </c>
      <c r="T14" s="37">
        <f t="shared" si="48"/>
        <v>-10.909999999999997</v>
      </c>
      <c r="U14" s="414">
        <v>35.453000000000003</v>
      </c>
      <c r="V14" s="414">
        <v>15.9994</v>
      </c>
      <c r="W14" s="414">
        <v>35.453000000000003</v>
      </c>
      <c r="X14" s="37">
        <v>-10.91</v>
      </c>
      <c r="Y14" s="37">
        <f t="shared" si="0"/>
        <v>-10.909999999999997</v>
      </c>
      <c r="Z14" s="37">
        <f t="shared" si="1"/>
        <v>-11.119833903361528</v>
      </c>
      <c r="AA14" s="39">
        <f t="shared" si="2"/>
        <v>-11.119833903361528</v>
      </c>
      <c r="AB14" s="253">
        <f t="shared" si="3"/>
        <v>1.5345809796877495E-29</v>
      </c>
      <c r="AC14" s="30" t="b">
        <f t="shared" si="4"/>
        <v>1</v>
      </c>
      <c r="AD14" s="31">
        <f t="shared" si="5"/>
        <v>-1.5199999999999994</v>
      </c>
      <c r="AE14" s="31">
        <f t="shared" si="6"/>
        <v>-1.5199999999999996</v>
      </c>
      <c r="AF14" s="31">
        <f t="shared" si="7"/>
        <v>0.21199999999999855</v>
      </c>
      <c r="AG14" s="31">
        <f t="shared" si="8"/>
        <v>-10.909999999999997</v>
      </c>
      <c r="AH14" s="31">
        <f t="shared" si="9"/>
        <v>-10.909999999999997</v>
      </c>
      <c r="AI14" s="31">
        <f t="shared" si="10"/>
        <v>-11.119833903361528</v>
      </c>
      <c r="AJ14" s="31">
        <f t="shared" si="11"/>
        <v>-11.119833903361528</v>
      </c>
      <c r="AK14" s="31">
        <f t="shared" si="12"/>
        <v>-10.909999999999997</v>
      </c>
      <c r="AL14" s="31">
        <f t="shared" si="13"/>
        <v>-11.119833903361528</v>
      </c>
      <c r="AM14" s="31">
        <f t="shared" si="14"/>
        <v>-11.119833903361528</v>
      </c>
      <c r="AN14" s="31">
        <f t="shared" si="15"/>
        <v>-10.909999999999997</v>
      </c>
      <c r="AO14" s="30"/>
      <c r="AP14" s="30"/>
      <c r="AQ14" s="30"/>
      <c r="AR14" s="246"/>
      <c r="AS14" s="241">
        <v>1.7913097848337469</v>
      </c>
      <c r="AT14" s="35">
        <v>1.2391633428367337</v>
      </c>
      <c r="AU14" s="37">
        <v>0.74262003888272687</v>
      </c>
      <c r="AV14" s="37">
        <v>1.2916372777896425</v>
      </c>
      <c r="AW14" s="37">
        <v>0.17927928935604359</v>
      </c>
      <c r="AX14" s="35">
        <f t="shared" si="49"/>
        <v>1.2391633428367337</v>
      </c>
      <c r="AY14" s="35">
        <f t="shared" si="50"/>
        <v>1.7913097848337469</v>
      </c>
      <c r="AZ14" s="37">
        <f t="shared" si="51"/>
        <v>1.2916372777896425</v>
      </c>
      <c r="BA14" s="37">
        <f t="shared" si="52"/>
        <v>0.74262003888272687</v>
      </c>
      <c r="BB14" s="37">
        <f t="shared" si="53"/>
        <v>0.17927928935604359</v>
      </c>
      <c r="BC14" s="38">
        <f t="shared" si="16"/>
        <v>42.548994009821342</v>
      </c>
      <c r="BD14" s="38">
        <f t="shared" si="17"/>
        <v>74.005364679113228</v>
      </c>
      <c r="BE14" s="38">
        <f t="shared" si="18"/>
        <v>10.27194663420596</v>
      </c>
      <c r="BF14" s="38">
        <f t="shared" si="19"/>
        <v>74.005364679113228</v>
      </c>
      <c r="BG14" s="38">
        <f t="shared" si="20"/>
        <v>42.548994009821342</v>
      </c>
      <c r="BH14" s="38">
        <f t="shared" si="21"/>
        <v>10.27194663420596</v>
      </c>
      <c r="BI14" s="417">
        <f t="shared" si="22"/>
        <v>110.86</v>
      </c>
      <c r="BJ14" s="241">
        <f t="shared" si="23"/>
        <v>2.3931832886298179</v>
      </c>
      <c r="BK14" s="35">
        <f t="shared" si="24"/>
        <v>1.8068209630029768</v>
      </c>
      <c r="BL14" s="35">
        <f t="shared" si="25"/>
        <v>1.2696289561996905</v>
      </c>
      <c r="BM14" s="37">
        <f t="shared" si="26"/>
        <v>-0.3803432179939974</v>
      </c>
      <c r="BN14" s="37">
        <f t="shared" si="27"/>
        <v>1.2113202396338825</v>
      </c>
      <c r="BO14" s="37">
        <f>0</f>
        <v>0</v>
      </c>
      <c r="BP14" s="37">
        <f t="shared" si="28"/>
        <v>-0.3414481758480305</v>
      </c>
      <c r="BQ14" s="37">
        <f t="shared" si="29"/>
        <v>-1.1721003576827462</v>
      </c>
      <c r="BR14" s="39">
        <f t="shared" si="30"/>
        <v>-0.21241394718883058</v>
      </c>
      <c r="BS14" s="35">
        <f t="shared" si="31"/>
        <v>2.3931832886298179</v>
      </c>
      <c r="BT14" s="35">
        <f t="shared" si="32"/>
        <v>1.2696289561996905</v>
      </c>
      <c r="BU14" s="35">
        <f t="shared" si="33"/>
        <v>1.8068209630029768</v>
      </c>
      <c r="BV14" s="37">
        <f t="shared" si="34"/>
        <v>-0.9915286904754782</v>
      </c>
      <c r="BW14" s="37">
        <f t="shared" si="35"/>
        <v>0.74323391082100898</v>
      </c>
      <c r="BX14" s="37">
        <f>0</f>
        <v>0</v>
      </c>
      <c r="BY14" s="37">
        <f t="shared" si="36"/>
        <v>1.2492150562891631</v>
      </c>
      <c r="BZ14" s="37">
        <f t="shared" si="37"/>
        <v>-6.9007641513157816E-2</v>
      </c>
      <c r="CA14" s="39">
        <f t="shared" si="38"/>
        <v>-0.21600318278666766</v>
      </c>
      <c r="CB14" s="231"/>
      <c r="CC14" s="354" t="str">
        <f t="shared" si="39"/>
        <v>1.0</v>
      </c>
      <c r="CD14" s="354" t="str">
        <f t="shared" si="40"/>
        <v>1.0</v>
      </c>
      <c r="CE14" s="354" t="str">
        <f t="shared" si="41"/>
        <v>1.7</v>
      </c>
      <c r="CF14" s="354" t="str">
        <f t="shared" si="42"/>
        <v>1.7</v>
      </c>
      <c r="CG14" s="354" t="str">
        <f t="shared" si="43"/>
        <v>1.934872008760914</v>
      </c>
      <c r="CH14" s="354" t="str">
        <f t="shared" si="54"/>
        <v>1.791309784833747</v>
      </c>
      <c r="CI14" s="354" t="str">
        <f t="shared" si="55"/>
        <v>1.239163342836734</v>
      </c>
      <c r="CJ14" s="354" t="str">
        <f t="shared" si="56"/>
        <v>0.742620038882727</v>
      </c>
      <c r="CK14" s="354" t="str">
        <f t="shared" si="57"/>
        <v>1.291637277789643</v>
      </c>
      <c r="CL14" s="354" t="str">
        <f t="shared" si="58"/>
        <v>0.179279289356044</v>
      </c>
      <c r="CM14" s="354" t="str">
        <f t="shared" si="59"/>
        <v>1.239163342836734</v>
      </c>
      <c r="CN14" s="354" t="str">
        <f t="shared" si="60"/>
        <v>1.791309784833747</v>
      </c>
      <c r="CO14" s="354" t="str">
        <f t="shared" si="61"/>
        <v>1.291637277789643</v>
      </c>
      <c r="CP14" s="354" t="str">
        <f t="shared" si="62"/>
        <v>0.742620038882727</v>
      </c>
      <c r="CQ14" s="354" t="str">
        <f t="shared" si="63"/>
        <v>0.179279289356044</v>
      </c>
      <c r="CT14" s="394" t="str">
        <f ca="1">Rotation!BA93</f>
        <v>-</v>
      </c>
      <c r="CU14" s="394" t="str">
        <f ca="1">Rotation!BB93</f>
        <v>-</v>
      </c>
      <c r="CV14" s="394">
        <v>0.50833060636411387</v>
      </c>
      <c r="CW14" s="398" t="e">
        <f t="shared" ca="1" si="64"/>
        <v>#VALUE!</v>
      </c>
      <c r="CX14" s="394" t="str">
        <f ca="1">Rotation!BC93</f>
        <v>-</v>
      </c>
      <c r="CY14" s="394" t="str">
        <f ca="1">Rotation!BD93</f>
        <v>-</v>
      </c>
      <c r="CZ14" s="394">
        <v>0.49156819928469736</v>
      </c>
      <c r="DA14" s="398" t="e">
        <f t="shared" ca="1" si="65"/>
        <v>#VALUE!</v>
      </c>
    </row>
    <row r="15" spans="1:105" s="56" customFormat="1" ht="15" customHeight="1">
      <c r="A15" s="366" t="s">
        <v>378</v>
      </c>
      <c r="B15" s="35">
        <v>-17.422999999999998</v>
      </c>
      <c r="C15" s="36">
        <v>2</v>
      </c>
      <c r="D15" s="35">
        <v>-13.61806</v>
      </c>
      <c r="E15" s="36">
        <v>4</v>
      </c>
      <c r="F15" s="36">
        <v>-17.422999999999998</v>
      </c>
      <c r="G15" s="257">
        <v>2</v>
      </c>
      <c r="H15" s="241" t="s">
        <v>209</v>
      </c>
      <c r="I15" s="262">
        <v>1</v>
      </c>
      <c r="J15" s="36">
        <v>1</v>
      </c>
      <c r="K15" s="37">
        <v>1.405</v>
      </c>
      <c r="L15" s="37">
        <v>1.405</v>
      </c>
      <c r="M15" s="37">
        <v>1.7980381954045583</v>
      </c>
      <c r="N15" s="37">
        <v>-1.7</v>
      </c>
      <c r="O15" s="37">
        <v>-1.7</v>
      </c>
      <c r="P15" s="35">
        <v>0.29699999999999999</v>
      </c>
      <c r="Q15" s="37">
        <f t="shared" si="45"/>
        <v>-13.152934738217175</v>
      </c>
      <c r="R15" s="37">
        <f t="shared" si="46"/>
        <v>-13.11000001926981</v>
      </c>
      <c r="S15" s="37">
        <f t="shared" si="47"/>
        <v>-13.11000001926981</v>
      </c>
      <c r="T15" s="37">
        <f t="shared" si="48"/>
        <v>-13.152934738217175</v>
      </c>
      <c r="U15" s="414">
        <v>18.9984</v>
      </c>
      <c r="V15" s="414">
        <v>15.9994</v>
      </c>
      <c r="W15" s="414">
        <v>18.9984</v>
      </c>
      <c r="X15" s="37">
        <v>-13.11</v>
      </c>
      <c r="Y15" s="37">
        <f t="shared" si="0"/>
        <v>-13.11000001926981</v>
      </c>
      <c r="Z15" s="37">
        <f t="shared" si="1"/>
        <v>-13.152934738217175</v>
      </c>
      <c r="AA15" s="39">
        <f t="shared" si="2"/>
        <v>-13.152934738217175</v>
      </c>
      <c r="AB15" s="253">
        <f t="shared" si="3"/>
        <v>8.4305976525137287E-16</v>
      </c>
      <c r="AC15" s="30" t="b">
        <f t="shared" si="4"/>
        <v>1</v>
      </c>
      <c r="AD15" s="31">
        <f t="shared" si="5"/>
        <v>-1.7000000152240766</v>
      </c>
      <c r="AE15" s="31">
        <f t="shared" si="6"/>
        <v>-1.7000000152240768</v>
      </c>
      <c r="AF15" s="31">
        <f t="shared" si="7"/>
        <v>0.29699999713833336</v>
      </c>
      <c r="AG15" s="31">
        <f t="shared" si="8"/>
        <v>-13.11000001926981</v>
      </c>
      <c r="AH15" s="31">
        <f t="shared" si="9"/>
        <v>-13.11000001926981</v>
      </c>
      <c r="AI15" s="31">
        <f t="shared" si="10"/>
        <v>-13.152934738217175</v>
      </c>
      <c r="AJ15" s="31">
        <f t="shared" si="11"/>
        <v>-13.152934738217175</v>
      </c>
      <c r="AK15" s="31">
        <f t="shared" si="12"/>
        <v>-13.152934738217175</v>
      </c>
      <c r="AL15" s="31">
        <f t="shared" si="13"/>
        <v>-13.11000001926981</v>
      </c>
      <c r="AM15" s="31">
        <f t="shared" si="14"/>
        <v>-13.11000001926981</v>
      </c>
      <c r="AN15" s="31">
        <f t="shared" si="15"/>
        <v>-13.152934738217175</v>
      </c>
      <c r="AO15" s="30"/>
      <c r="AP15" s="30"/>
      <c r="AQ15" s="30"/>
      <c r="AR15" s="246"/>
      <c r="AS15" s="241">
        <v>1.0486566843729677</v>
      </c>
      <c r="AT15" s="35">
        <v>1.4562892794533311</v>
      </c>
      <c r="AU15" s="37">
        <v>1.2759432033635445</v>
      </c>
      <c r="AV15" s="37">
        <v>0.76495814954369201</v>
      </c>
      <c r="AW15" s="37">
        <v>0.29659123841138535</v>
      </c>
      <c r="AX15" s="35">
        <f t="shared" si="49"/>
        <v>1.4562892794533311</v>
      </c>
      <c r="AY15" s="35">
        <f t="shared" si="50"/>
        <v>1.0486566843729677</v>
      </c>
      <c r="AZ15" s="37">
        <f t="shared" si="51"/>
        <v>0.76495814954369201</v>
      </c>
      <c r="BA15" s="37">
        <f t="shared" si="52"/>
        <v>1.2759432033635445</v>
      </c>
      <c r="BB15" s="37">
        <f t="shared" si="53"/>
        <v>0.29659123841138535</v>
      </c>
      <c r="BC15" s="38">
        <f t="shared" si="16"/>
        <v>73.106160451133604</v>
      </c>
      <c r="BD15" s="38">
        <f t="shared" si="17"/>
        <v>43.828873472990836</v>
      </c>
      <c r="BE15" s="38">
        <f t="shared" si="18"/>
        <v>16.993426201530767</v>
      </c>
      <c r="BF15" s="38">
        <f t="shared" si="19"/>
        <v>43.828873472990836</v>
      </c>
      <c r="BG15" s="38">
        <f t="shared" si="20"/>
        <v>73.106160451133604</v>
      </c>
      <c r="BH15" s="38">
        <f t="shared" si="21"/>
        <v>16.993426201530767</v>
      </c>
      <c r="BI15" s="417">
        <f t="shared" si="22"/>
        <v>103.02000000000001</v>
      </c>
      <c r="BJ15" s="241">
        <f t="shared" si="23"/>
        <v>1.9904303001965629</v>
      </c>
      <c r="BK15" s="35">
        <f t="shared" si="24"/>
        <v>1.0689544185028967</v>
      </c>
      <c r="BL15" s="35">
        <f t="shared" si="25"/>
        <v>1.4890901559049354</v>
      </c>
      <c r="BM15" s="37">
        <f t="shared" si="26"/>
        <v>-1.1002610856700636</v>
      </c>
      <c r="BN15" s="37">
        <f t="shared" si="27"/>
        <v>1.0034017319962716</v>
      </c>
      <c r="BO15" s="37">
        <f>0</f>
        <v>0</v>
      </c>
      <c r="BP15" s="37">
        <f t="shared" si="28"/>
        <v>-1.0505836002184472</v>
      </c>
      <c r="BQ15" s="37">
        <f t="shared" si="29"/>
        <v>-0.96445783652041284</v>
      </c>
      <c r="BR15" s="39">
        <f t="shared" si="30"/>
        <v>-0.29474335612039337</v>
      </c>
      <c r="BS15" s="35">
        <f t="shared" si="31"/>
        <v>1.9904303001965633</v>
      </c>
      <c r="BT15" s="35">
        <f t="shared" si="32"/>
        <v>1.4890901559049357</v>
      </c>
      <c r="BU15" s="35">
        <f t="shared" si="33"/>
        <v>1.0689544185028967</v>
      </c>
      <c r="BV15" s="37">
        <f t="shared" si="34"/>
        <v>-0.74587625340668839</v>
      </c>
      <c r="BW15" s="37">
        <f t="shared" si="35"/>
        <v>1.250778589541212</v>
      </c>
      <c r="BX15" s="37">
        <f>0</f>
        <v>0</v>
      </c>
      <c r="BY15" s="37">
        <f t="shared" si="36"/>
        <v>1.1828009228616794</v>
      </c>
      <c r="BZ15" s="37">
        <f t="shared" si="37"/>
        <v>0.8557875220939154</v>
      </c>
      <c r="CA15" s="39">
        <f t="shared" si="38"/>
        <v>-0.29325617865426334</v>
      </c>
      <c r="CB15" s="231"/>
      <c r="CC15" s="354" t="str">
        <f t="shared" si="39"/>
        <v>1.0</v>
      </c>
      <c r="CD15" s="354" t="str">
        <f t="shared" si="40"/>
        <v>1.0</v>
      </c>
      <c r="CE15" s="354" t="str">
        <f t="shared" si="41"/>
        <v>1.405</v>
      </c>
      <c r="CF15" s="354" t="str">
        <f t="shared" si="42"/>
        <v>1.405</v>
      </c>
      <c r="CG15" s="354" t="str">
        <f t="shared" si="43"/>
        <v>1.798038195404558</v>
      </c>
      <c r="CH15" s="354" t="str">
        <f t="shared" si="54"/>
        <v>1.0486566843729677</v>
      </c>
      <c r="CI15" s="354" t="str">
        <f t="shared" si="55"/>
        <v>1.456289279453331</v>
      </c>
      <c r="CJ15" s="354" t="str">
        <f t="shared" si="56"/>
        <v>1.275943203363544</v>
      </c>
      <c r="CK15" s="354" t="str">
        <f t="shared" si="57"/>
        <v>0.764958149543692</v>
      </c>
      <c r="CL15" s="354" t="str">
        <f t="shared" si="58"/>
        <v>0.296591238411385</v>
      </c>
      <c r="CM15" s="354" t="str">
        <f t="shared" si="59"/>
        <v>1.456289279453331</v>
      </c>
      <c r="CN15" s="354" t="str">
        <f t="shared" si="60"/>
        <v>1.0486566843729677</v>
      </c>
      <c r="CO15" s="354" t="str">
        <f t="shared" si="61"/>
        <v>0.764958149543692</v>
      </c>
      <c r="CP15" s="354" t="str">
        <f t="shared" si="62"/>
        <v>1.275943203363544</v>
      </c>
      <c r="CQ15" s="354" t="str">
        <f t="shared" si="63"/>
        <v>0.296591238411385</v>
      </c>
      <c r="CT15" s="394" t="str">
        <f ca="1">Rotation!BA94</f>
        <v>-</v>
      </c>
      <c r="CU15" s="394" t="str">
        <f ca="1">Rotation!BB94</f>
        <v>-</v>
      </c>
      <c r="CV15" s="394">
        <v>0.49744858106354184</v>
      </c>
      <c r="CW15" s="398" t="e">
        <f t="shared" ca="1" si="64"/>
        <v>#VALUE!</v>
      </c>
      <c r="CX15" s="394" t="str">
        <f ca="1">Rotation!BC94</f>
        <v>-</v>
      </c>
      <c r="CY15" s="394" t="str">
        <f ca="1">Rotation!BD94</f>
        <v>-</v>
      </c>
      <c r="CZ15" s="394">
        <v>0.50250786538233938</v>
      </c>
      <c r="DA15" s="398" t="e">
        <f t="shared" ca="1" si="65"/>
        <v>#VALUE!</v>
      </c>
    </row>
    <row r="16" spans="1:105" s="56" customFormat="1" ht="15" customHeight="1">
      <c r="A16" s="366" t="s">
        <v>379</v>
      </c>
      <c r="B16" s="35">
        <v>-17.422999999999998</v>
      </c>
      <c r="C16" s="36">
        <v>2</v>
      </c>
      <c r="D16" s="35">
        <v>-10.36</v>
      </c>
      <c r="E16" s="36">
        <v>4</v>
      </c>
      <c r="F16" s="36">
        <v>-17.422999999999998</v>
      </c>
      <c r="G16" s="257">
        <v>2</v>
      </c>
      <c r="H16" s="241" t="s">
        <v>209</v>
      </c>
      <c r="I16" s="262">
        <v>1</v>
      </c>
      <c r="J16" s="36">
        <v>1</v>
      </c>
      <c r="K16" s="37">
        <v>1.59</v>
      </c>
      <c r="L16" s="37">
        <v>1.59</v>
      </c>
      <c r="M16" s="37">
        <v>1.715658654710426</v>
      </c>
      <c r="N16" s="37">
        <v>-3.36</v>
      </c>
      <c r="O16" s="37">
        <v>-3.36</v>
      </c>
      <c r="P16" s="35">
        <v>1.05</v>
      </c>
      <c r="Q16" s="37">
        <f t="shared" si="45"/>
        <v>-10.146282453507174</v>
      </c>
      <c r="R16" s="37">
        <f t="shared" si="46"/>
        <v>-10.080000000052271</v>
      </c>
      <c r="S16" s="37">
        <f t="shared" si="47"/>
        <v>-10.080000000052271</v>
      </c>
      <c r="T16" s="37">
        <f t="shared" si="48"/>
        <v>-10.146282453507174</v>
      </c>
      <c r="U16" s="414">
        <v>18.9984</v>
      </c>
      <c r="V16" s="413">
        <v>32.064999999999998</v>
      </c>
      <c r="W16" s="414">
        <v>18.9984</v>
      </c>
      <c r="X16" s="37">
        <v>-10.08</v>
      </c>
      <c r="Y16" s="37">
        <f t="shared" si="0"/>
        <v>-10.080000000052271</v>
      </c>
      <c r="Z16" s="37">
        <f t="shared" si="1"/>
        <v>-10.146282453507174</v>
      </c>
      <c r="AA16" s="39">
        <f t="shared" si="2"/>
        <v>-10.146282453507174</v>
      </c>
      <c r="AB16" s="253">
        <f t="shared" si="3"/>
        <v>1.0012235818107066E-19</v>
      </c>
      <c r="AC16" s="30" t="b">
        <f t="shared" si="4"/>
        <v>1</v>
      </c>
      <c r="AD16" s="31">
        <f t="shared" si="5"/>
        <v>-3.3599999998870826</v>
      </c>
      <c r="AE16" s="31">
        <f t="shared" si="6"/>
        <v>-3.3599999998870822</v>
      </c>
      <c r="AF16" s="31">
        <f t="shared" si="7"/>
        <v>1.0499999997318781</v>
      </c>
      <c r="AG16" s="31">
        <f t="shared" si="8"/>
        <v>-10.080000000052271</v>
      </c>
      <c r="AH16" s="31">
        <f t="shared" si="9"/>
        <v>-10.080000000052271</v>
      </c>
      <c r="AI16" s="31">
        <f t="shared" si="10"/>
        <v>-10.146282453507174</v>
      </c>
      <c r="AJ16" s="31">
        <f t="shared" si="11"/>
        <v>-10.146282453507174</v>
      </c>
      <c r="AK16" s="31">
        <f t="shared" si="12"/>
        <v>-10.146282453507174</v>
      </c>
      <c r="AL16" s="31">
        <f t="shared" si="13"/>
        <v>-10.080000000052271</v>
      </c>
      <c r="AM16" s="31">
        <f t="shared" si="14"/>
        <v>-10.080000000052271</v>
      </c>
      <c r="AN16" s="31">
        <f t="shared" si="15"/>
        <v>-10.146282453507174</v>
      </c>
      <c r="AO16" s="30"/>
      <c r="AP16" s="30"/>
      <c r="AQ16" s="30"/>
      <c r="AR16" s="246"/>
      <c r="AS16" s="241">
        <v>1.2786276186999868</v>
      </c>
      <c r="AT16" s="35">
        <v>1.7107574754675161</v>
      </c>
      <c r="AU16" s="37">
        <v>1.3540032368944459</v>
      </c>
      <c r="AV16" s="37">
        <v>0.83529056363173382</v>
      </c>
      <c r="AW16" s="37">
        <v>0.13616439563357838</v>
      </c>
      <c r="AX16" s="35">
        <f t="shared" si="49"/>
        <v>1.7107574754675161</v>
      </c>
      <c r="AY16" s="35">
        <f t="shared" si="50"/>
        <v>1.2786276186999868</v>
      </c>
      <c r="AZ16" s="37">
        <f t="shared" si="51"/>
        <v>0.83529056363173382</v>
      </c>
      <c r="BA16" s="37">
        <f t="shared" si="52"/>
        <v>1.3540032368944459</v>
      </c>
      <c r="BB16" s="37">
        <f t="shared" si="53"/>
        <v>0.13616439563357838</v>
      </c>
      <c r="BC16" s="38">
        <f t="shared" si="16"/>
        <v>77.578670921103949</v>
      </c>
      <c r="BD16" s="38">
        <f t="shared" si="17"/>
        <v>47.858623963202078</v>
      </c>
      <c r="BE16" s="38">
        <f t="shared" si="18"/>
        <v>7.8016451897536161</v>
      </c>
      <c r="BF16" s="38">
        <f t="shared" si="19"/>
        <v>47.858623963202078</v>
      </c>
      <c r="BG16" s="38">
        <f t="shared" si="20"/>
        <v>77.578670921103949</v>
      </c>
      <c r="BH16" s="38">
        <f t="shared" si="21"/>
        <v>7.8016451897536161</v>
      </c>
      <c r="BI16" s="417">
        <f t="shared" si="22"/>
        <v>98.300000000000011</v>
      </c>
      <c r="BJ16" s="241">
        <f t="shared" si="23"/>
        <v>2.5169327565516255</v>
      </c>
      <c r="BK16" s="35">
        <f t="shared" si="24"/>
        <v>1.3433601023167849</v>
      </c>
      <c r="BL16" s="35">
        <f t="shared" si="25"/>
        <v>1.8133915160499756</v>
      </c>
      <c r="BM16" s="37">
        <f t="shared" si="26"/>
        <v>-1.3149686173520851</v>
      </c>
      <c r="BN16" s="37">
        <f t="shared" si="27"/>
        <v>1.2486978521088177</v>
      </c>
      <c r="BO16" s="37">
        <f>0</f>
        <v>0</v>
      </c>
      <c r="BP16" s="37">
        <f t="shared" si="28"/>
        <v>-1.1478537029469895</v>
      </c>
      <c r="BQ16" s="37">
        <f t="shared" si="29"/>
        <v>-1.2567707066706701</v>
      </c>
      <c r="BR16" s="39">
        <f t="shared" si="30"/>
        <v>-0.17219293642126571</v>
      </c>
      <c r="BS16" s="35">
        <f t="shared" si="31"/>
        <v>2.5169327565516255</v>
      </c>
      <c r="BT16" s="35">
        <f t="shared" si="32"/>
        <v>1.8133915160499758</v>
      </c>
      <c r="BU16" s="35">
        <f t="shared" si="33"/>
        <v>1.3433601023167852</v>
      </c>
      <c r="BV16" s="37">
        <f t="shared" si="34"/>
        <v>-1.0895256636105057</v>
      </c>
      <c r="BW16" s="37">
        <f t="shared" si="35"/>
        <v>1.318948432730437</v>
      </c>
      <c r="BX16" s="37">
        <f>0</f>
        <v>0</v>
      </c>
      <c r="BY16" s="37">
        <f t="shared" si="36"/>
        <v>1.4140056442413724</v>
      </c>
      <c r="BZ16" s="37">
        <f t="shared" si="37"/>
        <v>1.12260655217551</v>
      </c>
      <c r="CA16" s="39">
        <f t="shared" si="38"/>
        <v>-0.16950326707230229</v>
      </c>
      <c r="CB16" s="231"/>
      <c r="CC16" s="354" t="str">
        <f t="shared" si="39"/>
        <v>1.0</v>
      </c>
      <c r="CD16" s="354" t="str">
        <f t="shared" si="40"/>
        <v>1.0</v>
      </c>
      <c r="CE16" s="354" t="str">
        <f t="shared" si="41"/>
        <v>1.59</v>
      </c>
      <c r="CF16" s="354" t="str">
        <f t="shared" si="42"/>
        <v>1.59</v>
      </c>
      <c r="CG16" s="354" t="str">
        <f t="shared" si="43"/>
        <v>1.715658654710426</v>
      </c>
      <c r="CH16" s="354" t="str">
        <f t="shared" si="54"/>
        <v>1.278627618699987</v>
      </c>
      <c r="CI16" s="354" t="str">
        <f t="shared" si="55"/>
        <v>1.710757475467516</v>
      </c>
      <c r="CJ16" s="354" t="str">
        <f t="shared" si="56"/>
        <v>1.354003236894446</v>
      </c>
      <c r="CK16" s="354" t="str">
        <f t="shared" si="57"/>
        <v>0.835290563631734</v>
      </c>
      <c r="CL16" s="354" t="str">
        <f t="shared" si="58"/>
        <v>0.136164395633578</v>
      </c>
      <c r="CM16" s="354" t="str">
        <f t="shared" si="59"/>
        <v>1.710757475467516</v>
      </c>
      <c r="CN16" s="354" t="str">
        <f t="shared" si="60"/>
        <v>1.278627618699987</v>
      </c>
      <c r="CO16" s="354" t="str">
        <f t="shared" si="61"/>
        <v>0.835290563631734</v>
      </c>
      <c r="CP16" s="354" t="str">
        <f t="shared" si="62"/>
        <v>1.354003236894446</v>
      </c>
      <c r="CQ16" s="354" t="str">
        <f t="shared" si="63"/>
        <v>0.136164395633578</v>
      </c>
      <c r="CT16" s="394" t="str">
        <f ca="1">Rotation!BA95</f>
        <v>-</v>
      </c>
      <c r="CU16" s="394" t="str">
        <f ca="1">Rotation!BB95</f>
        <v>-</v>
      </c>
      <c r="CV16" s="394">
        <v>0.49215673135485838</v>
      </c>
      <c r="CW16" s="398" t="e">
        <f t="shared" ca="1" si="64"/>
        <v>#VALUE!</v>
      </c>
      <c r="CX16" s="394" t="str">
        <f ca="1">Rotation!BC95</f>
        <v>-</v>
      </c>
      <c r="CY16" s="394" t="str">
        <f ca="1">Rotation!BD95</f>
        <v>-</v>
      </c>
      <c r="CZ16" s="394">
        <v>0.50789361297352276</v>
      </c>
      <c r="DA16" s="398" t="e">
        <f t="shared" ca="1" si="65"/>
        <v>#VALUE!</v>
      </c>
    </row>
    <row r="17" spans="1:105" s="56" customFormat="1" ht="15" customHeight="1">
      <c r="A17" s="366" t="s">
        <v>380</v>
      </c>
      <c r="B17" s="35">
        <v>-17.422999999999998</v>
      </c>
      <c r="C17" s="36">
        <v>2</v>
      </c>
      <c r="D17" s="35">
        <v>-14.534140000000001</v>
      </c>
      <c r="E17" s="36">
        <v>4</v>
      </c>
      <c r="F17" s="36">
        <v>-17.422999999999998</v>
      </c>
      <c r="G17" s="257">
        <v>2</v>
      </c>
      <c r="H17" s="241" t="s">
        <v>209</v>
      </c>
      <c r="I17" s="262">
        <v>1</v>
      </c>
      <c r="J17" s="36">
        <v>1</v>
      </c>
      <c r="K17" s="37">
        <v>1.37</v>
      </c>
      <c r="L17" s="37">
        <v>1.37</v>
      </c>
      <c r="M17" s="37">
        <v>1.8186330805780915</v>
      </c>
      <c r="N17" s="37">
        <v>-3.2949999999999999</v>
      </c>
      <c r="O17" s="37">
        <v>-3.2949999999999999</v>
      </c>
      <c r="P17" s="35">
        <v>0.12</v>
      </c>
      <c r="Q17" s="37">
        <f t="shared" si="45"/>
        <v>-11.817137614738966</v>
      </c>
      <c r="R17" s="37">
        <f t="shared" si="46"/>
        <v>-11.628000000084098</v>
      </c>
      <c r="S17" s="37">
        <f t="shared" si="47"/>
        <v>-11.628000000084098</v>
      </c>
      <c r="T17" s="37">
        <f t="shared" si="48"/>
        <v>-11.817137614738966</v>
      </c>
      <c r="U17" s="414">
        <v>18.9984</v>
      </c>
      <c r="V17" s="414">
        <v>14.0067</v>
      </c>
      <c r="W17" s="414">
        <v>18.9984</v>
      </c>
      <c r="X17" s="37">
        <v>-11.628</v>
      </c>
      <c r="Y17" s="37">
        <f t="shared" si="0"/>
        <v>-11.628000000084098</v>
      </c>
      <c r="Z17" s="37">
        <f t="shared" si="1"/>
        <v>-11.817137614738966</v>
      </c>
      <c r="AA17" s="39">
        <f t="shared" si="2"/>
        <v>-11.817137614738966</v>
      </c>
      <c r="AB17" s="253">
        <f t="shared" si="3"/>
        <v>5.205185616994937E-19</v>
      </c>
      <c r="AC17" s="30" t="b">
        <f t="shared" si="4"/>
        <v>1</v>
      </c>
      <c r="AD17" s="31">
        <f t="shared" si="5"/>
        <v>-3.2949999996383541</v>
      </c>
      <c r="AE17" s="31">
        <f t="shared" si="6"/>
        <v>-3.2949999996383541</v>
      </c>
      <c r="AF17" s="31">
        <f t="shared" si="7"/>
        <v>0.12000000050186718</v>
      </c>
      <c r="AG17" s="31">
        <f t="shared" si="8"/>
        <v>-11.628000000084098</v>
      </c>
      <c r="AH17" s="31">
        <f t="shared" si="9"/>
        <v>-11.628000000084098</v>
      </c>
      <c r="AI17" s="31">
        <f t="shared" si="10"/>
        <v>-11.817137614738966</v>
      </c>
      <c r="AJ17" s="31">
        <f t="shared" si="11"/>
        <v>-11.817137614738966</v>
      </c>
      <c r="AK17" s="31">
        <f t="shared" si="12"/>
        <v>-11.817137614738966</v>
      </c>
      <c r="AL17" s="31">
        <f t="shared" si="13"/>
        <v>-11.628000000084098</v>
      </c>
      <c r="AM17" s="31">
        <f t="shared" si="14"/>
        <v>-11.628000000084098</v>
      </c>
      <c r="AN17" s="31">
        <f t="shared" si="15"/>
        <v>-11.817137614738966</v>
      </c>
      <c r="AO17" s="30"/>
      <c r="AP17" s="30"/>
      <c r="AQ17" s="30"/>
      <c r="AR17" s="246"/>
      <c r="AS17" s="241">
        <v>1.1038469434301423</v>
      </c>
      <c r="AT17" s="35">
        <v>1.5727972509513675</v>
      </c>
      <c r="AU17" s="37">
        <v>1.3409587027789114</v>
      </c>
      <c r="AV17" s="37">
        <v>0.76107154717969328</v>
      </c>
      <c r="AW17" s="37">
        <v>9.0187629978638939E-2</v>
      </c>
      <c r="AX17" s="35">
        <f t="shared" si="49"/>
        <v>1.5727972509513675</v>
      </c>
      <c r="AY17" s="35">
        <f t="shared" si="50"/>
        <v>1.1038469434301423</v>
      </c>
      <c r="AZ17" s="37">
        <f t="shared" si="51"/>
        <v>0.76107154717969328</v>
      </c>
      <c r="BA17" s="37">
        <f t="shared" si="52"/>
        <v>1.3409587027789114</v>
      </c>
      <c r="BB17" s="37">
        <f t="shared" si="53"/>
        <v>9.0187629978638939E-2</v>
      </c>
      <c r="BC17" s="38">
        <f t="shared" si="16"/>
        <v>76.831274170569401</v>
      </c>
      <c r="BD17" s="38">
        <f t="shared" si="17"/>
        <v>43.606187560888138</v>
      </c>
      <c r="BE17" s="38">
        <f t="shared" si="18"/>
        <v>5.1673705620635504</v>
      </c>
      <c r="BF17" s="38">
        <f t="shared" si="19"/>
        <v>43.606187560888138</v>
      </c>
      <c r="BG17" s="38">
        <f t="shared" si="20"/>
        <v>76.831274170569401</v>
      </c>
      <c r="BH17" s="38">
        <f t="shared" si="21"/>
        <v>5.1673705620635504</v>
      </c>
      <c r="BI17" s="417">
        <f t="shared" si="22"/>
        <v>104.2</v>
      </c>
      <c r="BJ17" s="241">
        <f t="shared" si="23"/>
        <v>2.1574748086302309</v>
      </c>
      <c r="BK17" s="35">
        <f t="shared" si="24"/>
        <v>1.1091074113133734</v>
      </c>
      <c r="BL17" s="35">
        <f t="shared" si="25"/>
        <v>1.5512346637694712</v>
      </c>
      <c r="BM17" s="37">
        <f t="shared" si="26"/>
        <v>-1.1185222290364658</v>
      </c>
      <c r="BN17" s="37">
        <f t="shared" si="27"/>
        <v>1.0748195221669916</v>
      </c>
      <c r="BO17" s="37">
        <f>0</f>
        <v>0</v>
      </c>
      <c r="BP17" s="37">
        <f t="shared" si="28"/>
        <v>-1.1388583732736959</v>
      </c>
      <c r="BQ17" s="37">
        <f t="shared" si="29"/>
        <v>-1.0803461138171195</v>
      </c>
      <c r="BR17" s="39">
        <f t="shared" si="30"/>
        <v>-9.7698887326405789E-2</v>
      </c>
      <c r="BS17" s="35">
        <f t="shared" si="31"/>
        <v>2.1574748086302318</v>
      </c>
      <c r="BT17" s="35">
        <f t="shared" si="32"/>
        <v>1.5512346637694714</v>
      </c>
      <c r="BU17" s="35">
        <f t="shared" si="33"/>
        <v>1.1091074113133734</v>
      </c>
      <c r="BV17" s="37">
        <f t="shared" si="34"/>
        <v>-0.77224004670854252</v>
      </c>
      <c r="BW17" s="37">
        <f t="shared" si="35"/>
        <v>1.3701592983517525</v>
      </c>
      <c r="BX17" s="37">
        <f>0</f>
        <v>0</v>
      </c>
      <c r="BY17" s="37">
        <f t="shared" si="36"/>
        <v>1.3121257953398684</v>
      </c>
      <c r="BZ17" s="37">
        <f t="shared" si="37"/>
        <v>0.82175656453833967</v>
      </c>
      <c r="CA17" s="39">
        <f t="shared" si="38"/>
        <v>-9.6804069758704425E-2</v>
      </c>
      <c r="CB17" s="231"/>
      <c r="CC17" s="354" t="str">
        <f t="shared" si="39"/>
        <v>1.0</v>
      </c>
      <c r="CD17" s="354" t="str">
        <f t="shared" si="40"/>
        <v>1.0</v>
      </c>
      <c r="CE17" s="354" t="str">
        <f t="shared" si="41"/>
        <v>1.37</v>
      </c>
      <c r="CF17" s="354" t="str">
        <f t="shared" si="42"/>
        <v>1.37</v>
      </c>
      <c r="CG17" s="354" t="str">
        <f t="shared" si="43"/>
        <v>1.818633080578091</v>
      </c>
      <c r="CH17" s="354" t="str">
        <f t="shared" si="54"/>
        <v>1.103846943430142</v>
      </c>
      <c r="CI17" s="354" t="str">
        <f t="shared" si="55"/>
        <v>1.572797250951367</v>
      </c>
      <c r="CJ17" s="354" t="str">
        <f t="shared" si="56"/>
        <v>1.340958702778911</v>
      </c>
      <c r="CK17" s="354" t="str">
        <f t="shared" si="57"/>
        <v>0.761071547179693</v>
      </c>
      <c r="CL17" s="354" t="str">
        <f t="shared" si="58"/>
        <v>0.0901876299786389</v>
      </c>
      <c r="CM17" s="354" t="str">
        <f t="shared" si="59"/>
        <v>1.572797250951367</v>
      </c>
      <c r="CN17" s="354" t="str">
        <f t="shared" si="60"/>
        <v>1.103846943430142</v>
      </c>
      <c r="CO17" s="354" t="str">
        <f t="shared" si="61"/>
        <v>0.761071547179693</v>
      </c>
      <c r="CP17" s="354" t="str">
        <f t="shared" si="62"/>
        <v>1.340958702778911</v>
      </c>
      <c r="CQ17" s="354" t="str">
        <f t="shared" si="63"/>
        <v>0.0901876299786389</v>
      </c>
      <c r="CT17" s="394" t="str">
        <f ca="1">Rotation!BA96</f>
        <v>-</v>
      </c>
      <c r="CU17" s="394" t="str">
        <f ca="1">Rotation!BB96</f>
        <v>-</v>
      </c>
      <c r="CV17" s="394">
        <v>0.49541380113910238</v>
      </c>
      <c r="CW17" s="398" t="e">
        <f t="shared" ca="1" si="64"/>
        <v>#VALUE!</v>
      </c>
      <c r="CX17" s="394" t="str">
        <f ca="1">Rotation!BC96</f>
        <v>-</v>
      </c>
      <c r="CY17" s="394" t="str">
        <f ca="1">Rotation!BD96</f>
        <v>-</v>
      </c>
      <c r="CZ17" s="394">
        <v>0.50461326203208678</v>
      </c>
      <c r="DA17" s="398" t="e">
        <f t="shared" ca="1" si="65"/>
        <v>#VALUE!</v>
      </c>
    </row>
    <row r="18" spans="1:105" s="56" customFormat="1" ht="15" customHeight="1">
      <c r="A18" s="536" t="s">
        <v>381</v>
      </c>
      <c r="B18" s="35">
        <v>-13.59844</v>
      </c>
      <c r="C18" s="36">
        <v>1</v>
      </c>
      <c r="D18" s="35">
        <v>-8.2980300000000007</v>
      </c>
      <c r="E18" s="36">
        <v>1</v>
      </c>
      <c r="F18" s="36">
        <v>-13.59844</v>
      </c>
      <c r="G18" s="257">
        <v>1</v>
      </c>
      <c r="H18" s="241" t="s">
        <v>209</v>
      </c>
      <c r="I18" s="262">
        <v>1</v>
      </c>
      <c r="J18" s="36">
        <v>1</v>
      </c>
      <c r="K18" s="37">
        <v>1.18</v>
      </c>
      <c r="L18" s="37">
        <v>1.18</v>
      </c>
      <c r="M18" s="37">
        <v>2.2870794518133692</v>
      </c>
      <c r="N18" s="37">
        <v>-4</v>
      </c>
      <c r="O18" s="37">
        <v>-4</v>
      </c>
      <c r="P18" s="35">
        <v>0.09</v>
      </c>
      <c r="Q18" s="37">
        <f t="shared" si="45"/>
        <v>-11.064651820753092</v>
      </c>
      <c r="R18" s="37">
        <f t="shared" si="46"/>
        <v>-9.7999999999999972</v>
      </c>
      <c r="S18" s="37">
        <f t="shared" si="47"/>
        <v>-9.7999999999999972</v>
      </c>
      <c r="T18" s="37">
        <f t="shared" si="48"/>
        <v>-11.064651820753092</v>
      </c>
      <c r="U18" s="412">
        <v>1.00782503224</v>
      </c>
      <c r="V18" s="413">
        <v>10.811</v>
      </c>
      <c r="W18" s="412">
        <v>1.00782503224</v>
      </c>
      <c r="X18" s="37">
        <v>-9.8000000000000007</v>
      </c>
      <c r="Y18" s="37">
        <f t="shared" si="0"/>
        <v>-9.7999999999999972</v>
      </c>
      <c r="Z18" s="37">
        <f t="shared" si="1"/>
        <v>-11.064651820753092</v>
      </c>
      <c r="AA18" s="39">
        <f t="shared" si="2"/>
        <v>-11.064651820753092</v>
      </c>
      <c r="AB18" s="253">
        <f t="shared" si="3"/>
        <v>1.6425006758456909E-18</v>
      </c>
      <c r="AC18" s="30" t="b">
        <f t="shared" si="4"/>
        <v>1</v>
      </c>
      <c r="AD18" s="31">
        <f t="shared" si="5"/>
        <v>-3.9999999999999991</v>
      </c>
      <c r="AE18" s="31">
        <f t="shared" si="6"/>
        <v>-3.9999999999999991</v>
      </c>
      <c r="AF18" s="31">
        <f t="shared" si="7"/>
        <v>8.9999998718399171E-2</v>
      </c>
      <c r="AG18" s="31">
        <f t="shared" si="8"/>
        <v>-9.7999999999999972</v>
      </c>
      <c r="AH18" s="31">
        <f t="shared" si="9"/>
        <v>-9.7999999999999972</v>
      </c>
      <c r="AI18" s="31">
        <f t="shared" si="10"/>
        <v>-11.064651820753092</v>
      </c>
      <c r="AJ18" s="31">
        <f t="shared" si="11"/>
        <v>-11.064651820753092</v>
      </c>
      <c r="AK18" s="31">
        <f t="shared" si="12"/>
        <v>-11.064651820753092</v>
      </c>
      <c r="AL18" s="31">
        <f t="shared" si="13"/>
        <v>-9.7999999999999972</v>
      </c>
      <c r="AM18" s="31">
        <f t="shared" si="14"/>
        <v>-9.7999999999999972</v>
      </c>
      <c r="AN18" s="31">
        <f t="shared" si="15"/>
        <v>-11.064651820753092</v>
      </c>
      <c r="AO18" s="30"/>
      <c r="AP18" s="30"/>
      <c r="AQ18" s="30"/>
      <c r="AR18" s="246"/>
      <c r="AS18" s="241">
        <v>1.2031566370217441</v>
      </c>
      <c r="AT18" s="35">
        <v>1.332807462733073</v>
      </c>
      <c r="AU18" s="37">
        <v>1.128257874040177</v>
      </c>
      <c r="AV18" s="37">
        <v>1.0680804164762681</v>
      </c>
      <c r="AW18" s="37">
        <v>0.49379215057958409</v>
      </c>
      <c r="AX18" s="35">
        <f t="shared" si="49"/>
        <v>1.332807462733073</v>
      </c>
      <c r="AY18" s="35">
        <f t="shared" si="50"/>
        <v>1.2031566370217441</v>
      </c>
      <c r="AZ18" s="37">
        <f t="shared" si="51"/>
        <v>1.0680804164762681</v>
      </c>
      <c r="BA18" s="37">
        <f t="shared" si="52"/>
        <v>1.128257874040177</v>
      </c>
      <c r="BB18" s="37">
        <f t="shared" si="53"/>
        <v>0.49379215057958409</v>
      </c>
      <c r="BC18" s="38">
        <f t="shared" si="16"/>
        <v>64.644414384904991</v>
      </c>
      <c r="BD18" s="38">
        <f t="shared" si="17"/>
        <v>61.196500044665392</v>
      </c>
      <c r="BE18" s="38">
        <f t="shared" si="18"/>
        <v>28.292206184898596</v>
      </c>
      <c r="BF18" s="38">
        <f t="shared" si="19"/>
        <v>61.196500044665392</v>
      </c>
      <c r="BG18" s="38">
        <f t="shared" si="20"/>
        <v>64.644414384904991</v>
      </c>
      <c r="BH18" s="38">
        <f t="shared" si="21"/>
        <v>28.292206184898596</v>
      </c>
      <c r="BI18" s="417">
        <f t="shared" si="22"/>
        <v>131.04</v>
      </c>
      <c r="BJ18" s="241">
        <f t="shared" si="23"/>
        <v>2.1869818817731033</v>
      </c>
      <c r="BK18" s="35">
        <f t="shared" si="24"/>
        <v>1.2858020905946901</v>
      </c>
      <c r="BL18" s="35">
        <f t="shared" si="25"/>
        <v>1.2743762588554026</v>
      </c>
      <c r="BM18" s="37">
        <f t="shared" si="26"/>
        <v>-0.66476650674780469</v>
      </c>
      <c r="BN18" s="37">
        <f t="shared" si="27"/>
        <v>1.0872535769730136</v>
      </c>
      <c r="BO18" s="37">
        <f>0</f>
        <v>0</v>
      </c>
      <c r="BP18" s="37">
        <f t="shared" si="28"/>
        <v>-0.64215623582173598</v>
      </c>
      <c r="BQ18" s="37">
        <f t="shared" si="29"/>
        <v>-1.0283926087074786</v>
      </c>
      <c r="BR18" s="39">
        <f t="shared" si="30"/>
        <v>-0.55355193421038462</v>
      </c>
      <c r="BS18" s="35">
        <f t="shared" si="31"/>
        <v>2.1869818817731033</v>
      </c>
      <c r="BT18" s="35">
        <f t="shared" si="32"/>
        <v>1.2743762588554024</v>
      </c>
      <c r="BU18" s="35">
        <f t="shared" si="33"/>
        <v>1.2858020905946901</v>
      </c>
      <c r="BV18" s="37">
        <f t="shared" si="34"/>
        <v>-0.45926623160816221</v>
      </c>
      <c r="BW18" s="37">
        <f t="shared" si="35"/>
        <v>1.2511795479552126</v>
      </c>
      <c r="BX18" s="37">
        <f>0</f>
        <v>0</v>
      </c>
      <c r="BY18" s="37">
        <f t="shared" si="36"/>
        <v>1.1585755676450233</v>
      </c>
      <c r="BZ18" s="37">
        <f t="shared" si="37"/>
        <v>-0.12719593279058244</v>
      </c>
      <c r="CA18" s="39">
        <f t="shared" si="38"/>
        <v>-0.51532387667547175</v>
      </c>
      <c r="CB18" s="231"/>
      <c r="CC18" s="354" t="str">
        <f t="shared" si="39"/>
        <v>1.0</v>
      </c>
      <c r="CD18" s="354" t="str">
        <f t="shared" si="40"/>
        <v>1.0</v>
      </c>
      <c r="CE18" s="354" t="str">
        <f t="shared" si="41"/>
        <v>1.18</v>
      </c>
      <c r="CF18" s="354" t="str">
        <f t="shared" si="42"/>
        <v>1.18</v>
      </c>
      <c r="CG18" s="354" t="str">
        <f t="shared" si="43"/>
        <v>2.287079451813369</v>
      </c>
      <c r="CH18" s="354" t="str">
        <f t="shared" si="54"/>
        <v>1.203156637021744</v>
      </c>
      <c r="CI18" s="354" t="str">
        <f t="shared" si="55"/>
        <v>1.332807462733073</v>
      </c>
      <c r="CJ18" s="354" t="str">
        <f t="shared" si="56"/>
        <v>1.128257874040177</v>
      </c>
      <c r="CK18" s="354" t="str">
        <f t="shared" si="57"/>
        <v>1.0680804164762681</v>
      </c>
      <c r="CL18" s="354" t="str">
        <f t="shared" si="58"/>
        <v>0.493792150579584</v>
      </c>
      <c r="CM18" s="354" t="str">
        <f t="shared" si="59"/>
        <v>1.332807462733073</v>
      </c>
      <c r="CN18" s="354" t="str">
        <f t="shared" si="60"/>
        <v>1.203156637021744</v>
      </c>
      <c r="CO18" s="354" t="str">
        <f t="shared" si="61"/>
        <v>1.0680804164762681</v>
      </c>
      <c r="CP18" s="354" t="str">
        <f t="shared" si="62"/>
        <v>1.128257874040177</v>
      </c>
      <c r="CQ18" s="354" t="str">
        <f t="shared" si="63"/>
        <v>0.493792150579584</v>
      </c>
      <c r="CT18" s="394" t="str">
        <f ca="1">Rotation!BA97</f>
        <v>-</v>
      </c>
      <c r="CU18" s="394" t="str">
        <f ca="1">Rotation!BB97</f>
        <v>-</v>
      </c>
      <c r="CV18" s="394">
        <v>0.46424928926452663</v>
      </c>
      <c r="CW18" s="398" t="e">
        <f t="shared" ca="1" si="64"/>
        <v>#VALUE!</v>
      </c>
      <c r="CX18" s="394" t="str">
        <f ca="1">Rotation!BC97</f>
        <v>-</v>
      </c>
      <c r="CY18" s="394" t="str">
        <f ca="1">Rotation!BD97</f>
        <v>-</v>
      </c>
      <c r="CZ18" s="394">
        <v>0.53570293300693483</v>
      </c>
      <c r="DA18" s="398" t="e">
        <f t="shared" ca="1" si="65"/>
        <v>#VALUE!</v>
      </c>
    </row>
    <row r="19" spans="1:105" s="56" customFormat="1" ht="15" customHeight="1">
      <c r="A19" s="536"/>
      <c r="B19" s="35">
        <v>-13.59844</v>
      </c>
      <c r="C19" s="36">
        <v>1</v>
      </c>
      <c r="D19" s="35">
        <v>-8.2980300000000007</v>
      </c>
      <c r="E19" s="36">
        <v>1</v>
      </c>
      <c r="F19" s="36">
        <v>-13.59844</v>
      </c>
      <c r="G19" s="257">
        <v>1</v>
      </c>
      <c r="H19" s="241" t="s">
        <v>209</v>
      </c>
      <c r="I19" s="262">
        <v>1</v>
      </c>
      <c r="J19" s="36">
        <v>1</v>
      </c>
      <c r="K19" s="37">
        <v>1.18</v>
      </c>
      <c r="L19" s="37">
        <v>1.18</v>
      </c>
      <c r="M19" s="37">
        <v>2.2870794518133692</v>
      </c>
      <c r="N19" s="37">
        <v>-4</v>
      </c>
      <c r="O19" s="37">
        <v>-4</v>
      </c>
      <c r="P19" s="35">
        <v>0.45</v>
      </c>
      <c r="Q19" s="37">
        <f t="shared" si="45"/>
        <v>-12.48270590485766</v>
      </c>
      <c r="R19" s="37">
        <f t="shared" si="46"/>
        <v>-9.8000000000000043</v>
      </c>
      <c r="S19" s="37">
        <f t="shared" si="47"/>
        <v>-9.8000000000000043</v>
      </c>
      <c r="T19" s="37">
        <f t="shared" si="48"/>
        <v>-12.48270590485766</v>
      </c>
      <c r="U19" s="412">
        <v>1.00782503224</v>
      </c>
      <c r="V19" s="413">
        <v>10.811</v>
      </c>
      <c r="W19" s="412">
        <v>1.00782503224</v>
      </c>
      <c r="X19" s="37">
        <v>-9.8000000000000007</v>
      </c>
      <c r="Y19" s="37">
        <f t="shared" si="0"/>
        <v>-9.8000000000000043</v>
      </c>
      <c r="Z19" s="37">
        <f t="shared" si="1"/>
        <v>-12.48270590485766</v>
      </c>
      <c r="AA19" s="39">
        <f t="shared" si="2"/>
        <v>-12.48270590485766</v>
      </c>
      <c r="AB19" s="253">
        <f t="shared" si="3"/>
        <v>6.5699924600592601E-20</v>
      </c>
      <c r="AC19" s="30" t="b">
        <f t="shared" si="4"/>
        <v>1</v>
      </c>
      <c r="AD19" s="31">
        <f t="shared" si="5"/>
        <v>-3.9999999999999991</v>
      </c>
      <c r="AE19" s="31">
        <f t="shared" si="6"/>
        <v>-4</v>
      </c>
      <c r="AF19" s="31">
        <f t="shared" si="7"/>
        <v>0.44999999974368005</v>
      </c>
      <c r="AG19" s="31">
        <f t="shared" si="8"/>
        <v>-9.8000000000000043</v>
      </c>
      <c r="AH19" s="31">
        <f t="shared" si="9"/>
        <v>-9.8000000000000043</v>
      </c>
      <c r="AI19" s="31">
        <f t="shared" si="10"/>
        <v>-12.48270590485766</v>
      </c>
      <c r="AJ19" s="31">
        <f t="shared" si="11"/>
        <v>-12.48270590485766</v>
      </c>
      <c r="AK19" s="31">
        <f t="shared" si="12"/>
        <v>-12.48270590485766</v>
      </c>
      <c r="AL19" s="31">
        <f t="shared" si="13"/>
        <v>-9.8000000000000043</v>
      </c>
      <c r="AM19" s="31">
        <f t="shared" si="14"/>
        <v>-9.8000000000000043</v>
      </c>
      <c r="AN19" s="31">
        <f t="shared" si="15"/>
        <v>-12.48270590485766</v>
      </c>
      <c r="AO19" s="30"/>
      <c r="AP19" s="30"/>
      <c r="AQ19" s="30"/>
      <c r="AR19" s="246"/>
      <c r="AS19" s="241">
        <v>1.1186723308302102</v>
      </c>
      <c r="AT19" s="35">
        <v>1.30270747162528</v>
      </c>
      <c r="AU19" s="37">
        <v>1.1166920687064315</v>
      </c>
      <c r="AV19" s="37">
        <v>1.1125944826707526</v>
      </c>
      <c r="AW19" s="37">
        <v>0.51542208731718897</v>
      </c>
      <c r="AX19" s="35">
        <f t="shared" si="49"/>
        <v>1.30270747162528</v>
      </c>
      <c r="AY19" s="35">
        <f t="shared" si="50"/>
        <v>1.1186723308302102</v>
      </c>
      <c r="AZ19" s="37">
        <f t="shared" si="51"/>
        <v>1.1125944826707526</v>
      </c>
      <c r="BA19" s="37">
        <f t="shared" si="52"/>
        <v>1.1166920687064315</v>
      </c>
      <c r="BB19" s="37">
        <f t="shared" si="53"/>
        <v>0.51542208731718897</v>
      </c>
      <c r="BC19" s="38">
        <f t="shared" si="16"/>
        <v>63.981742552611472</v>
      </c>
      <c r="BD19" s="38">
        <f t="shared" si="17"/>
        <v>63.746968166575328</v>
      </c>
      <c r="BE19" s="38">
        <f t="shared" si="18"/>
        <v>29.531510271098323</v>
      </c>
      <c r="BF19" s="38">
        <f t="shared" si="19"/>
        <v>63.746968166575328</v>
      </c>
      <c r="BG19" s="38">
        <f t="shared" si="20"/>
        <v>63.981742552611472</v>
      </c>
      <c r="BH19" s="38">
        <f t="shared" si="21"/>
        <v>29.531510271098323</v>
      </c>
      <c r="BI19" s="417">
        <f t="shared" si="22"/>
        <v>131.04</v>
      </c>
      <c r="BJ19" s="241">
        <f t="shared" si="23"/>
        <v>2.1052980039049793</v>
      </c>
      <c r="BK19" s="35">
        <f t="shared" si="24"/>
        <v>1.3151171387957339</v>
      </c>
      <c r="BL19" s="35">
        <f t="shared" si="25"/>
        <v>1.218910436502223</v>
      </c>
      <c r="BM19" s="37">
        <f t="shared" si="26"/>
        <v>-0.68928596120717989</v>
      </c>
      <c r="BN19" s="37">
        <f t="shared" si="27"/>
        <v>1.0052997144616793</v>
      </c>
      <c r="BO19" s="37">
        <f>0</f>
        <v>0</v>
      </c>
      <c r="BP19" s="37">
        <f t="shared" si="28"/>
        <v>-0.57623460503137802</v>
      </c>
      <c r="BQ19" s="37">
        <f t="shared" si="29"/>
        <v>-1.0165481468967517</v>
      </c>
      <c r="BR19" s="39">
        <f t="shared" si="30"/>
        <v>-0.57587351183523083</v>
      </c>
      <c r="BS19" s="35">
        <f t="shared" si="31"/>
        <v>2.1052980039049793</v>
      </c>
      <c r="BT19" s="35">
        <f t="shared" si="32"/>
        <v>1.218910436502223</v>
      </c>
      <c r="BU19" s="35">
        <f t="shared" si="33"/>
        <v>1.3151171387957337</v>
      </c>
      <c r="BV19" s="37">
        <f t="shared" si="34"/>
        <v>-0.50286884048093516</v>
      </c>
      <c r="BW19" s="37">
        <f t="shared" si="35"/>
        <v>1.2017361132551894</v>
      </c>
      <c r="BX19" s="37">
        <f>0</f>
        <v>0</v>
      </c>
      <c r="BY19" s="37">
        <f t="shared" si="36"/>
        <v>1.112315973900287</v>
      </c>
      <c r="BZ19" s="37">
        <f t="shared" si="37"/>
        <v>-5.4418015267228739E-2</v>
      </c>
      <c r="CA19" s="39">
        <f t="shared" si="38"/>
        <v>-0.49551438529539316</v>
      </c>
      <c r="CB19" s="231"/>
      <c r="CC19" s="354" t="str">
        <f t="shared" si="39"/>
        <v>1.0</v>
      </c>
      <c r="CD19" s="354" t="str">
        <f t="shared" si="40"/>
        <v>1.0</v>
      </c>
      <c r="CE19" s="354" t="str">
        <f t="shared" si="41"/>
        <v>1.18</v>
      </c>
      <c r="CF19" s="354" t="str">
        <f t="shared" si="42"/>
        <v>1.18</v>
      </c>
      <c r="CG19" s="354" t="str">
        <f t="shared" si="43"/>
        <v>2.287079451813369</v>
      </c>
      <c r="CH19" s="354" t="str">
        <f t="shared" si="54"/>
        <v>1.11867233083021</v>
      </c>
      <c r="CI19" s="354" t="str">
        <f t="shared" si="55"/>
        <v>1.30270747162528</v>
      </c>
      <c r="CJ19" s="354" t="str">
        <f t="shared" si="56"/>
        <v>1.116692068706431</v>
      </c>
      <c r="CK19" s="354" t="str">
        <f t="shared" si="57"/>
        <v>1.112594482670753</v>
      </c>
      <c r="CL19" s="354" t="str">
        <f t="shared" si="58"/>
        <v>0.515422087317189</v>
      </c>
      <c r="CM19" s="354" t="str">
        <f t="shared" si="59"/>
        <v>1.30270747162528</v>
      </c>
      <c r="CN19" s="354" t="str">
        <f t="shared" si="60"/>
        <v>1.11867233083021</v>
      </c>
      <c r="CO19" s="354" t="str">
        <f t="shared" si="61"/>
        <v>1.112594482670753</v>
      </c>
      <c r="CP19" s="354" t="str">
        <f t="shared" si="62"/>
        <v>1.116692068706431</v>
      </c>
      <c r="CQ19" s="354" t="str">
        <f t="shared" si="63"/>
        <v>0.515422087317189</v>
      </c>
      <c r="CT19" s="394" t="str">
        <f ca="1">Rotation!BA98</f>
        <v>-</v>
      </c>
      <c r="CU19" s="394" t="str">
        <f ca="1">Rotation!BB98</f>
        <v>-</v>
      </c>
      <c r="CV19" s="394">
        <v>0.4254410907510684</v>
      </c>
      <c r="CW19" s="398" t="e">
        <f t="shared" ca="1" si="64"/>
        <v>#VALUE!</v>
      </c>
      <c r="CX19" s="394" t="str">
        <f ca="1">Rotation!BC98</f>
        <v>-</v>
      </c>
      <c r="CY19" s="394" t="str">
        <f ca="1">Rotation!BD98</f>
        <v>-</v>
      </c>
      <c r="CZ19" s="394">
        <v>0.57458821969252327</v>
      </c>
      <c r="DA19" s="398" t="e">
        <f t="shared" ca="1" si="65"/>
        <v>#VALUE!</v>
      </c>
    </row>
    <row r="20" spans="1:105" s="56" customFormat="1" ht="15" customHeight="1">
      <c r="A20" s="536"/>
      <c r="B20" s="35">
        <v>-13.59844</v>
      </c>
      <c r="C20" s="36">
        <v>1</v>
      </c>
      <c r="D20" s="35">
        <v>-8.2980300000000007</v>
      </c>
      <c r="E20" s="36">
        <v>1</v>
      </c>
      <c r="F20" s="36">
        <v>-13.59844</v>
      </c>
      <c r="G20" s="257">
        <v>1</v>
      </c>
      <c r="H20" s="241" t="s">
        <v>209</v>
      </c>
      <c r="I20" s="262">
        <v>1</v>
      </c>
      <c r="J20" s="36">
        <v>1</v>
      </c>
      <c r="K20" s="37">
        <v>1.18</v>
      </c>
      <c r="L20" s="37">
        <v>1.18</v>
      </c>
      <c r="M20" s="37">
        <v>2.2870794518133692</v>
      </c>
      <c r="N20" s="37">
        <v>-4</v>
      </c>
      <c r="O20" s="37">
        <v>-4</v>
      </c>
      <c r="P20" s="35">
        <v>0.37</v>
      </c>
      <c r="Q20" s="37">
        <f t="shared" si="45"/>
        <v>-12.203644532039217</v>
      </c>
      <c r="R20" s="37">
        <f t="shared" si="46"/>
        <v>-9.8000000000000007</v>
      </c>
      <c r="S20" s="37">
        <f t="shared" si="47"/>
        <v>-9.7999999999999972</v>
      </c>
      <c r="T20" s="37">
        <f t="shared" si="48"/>
        <v>-12.203644532039217</v>
      </c>
      <c r="U20" s="412">
        <v>1.00782503224</v>
      </c>
      <c r="V20" s="413">
        <v>10.811</v>
      </c>
      <c r="W20" s="412">
        <v>1.00782503224</v>
      </c>
      <c r="X20" s="37">
        <v>-9.8000000000000007</v>
      </c>
      <c r="Y20" s="37">
        <f t="shared" si="0"/>
        <v>-9.8000000000000007</v>
      </c>
      <c r="Z20" s="37">
        <f t="shared" si="1"/>
        <v>-12.203644532039217</v>
      </c>
      <c r="AA20" s="39">
        <f t="shared" si="2"/>
        <v>-12.203644532039217</v>
      </c>
      <c r="AB20" s="253">
        <f t="shared" si="3"/>
        <v>9.7182118638713688E-20</v>
      </c>
      <c r="AC20" s="30" t="b">
        <f t="shared" si="4"/>
        <v>1</v>
      </c>
      <c r="AD20" s="31">
        <f t="shared" si="5"/>
        <v>-4.0000000000000009</v>
      </c>
      <c r="AE20" s="31">
        <f t="shared" si="6"/>
        <v>-4.0000000000000009</v>
      </c>
      <c r="AF20" s="31">
        <f t="shared" si="7"/>
        <v>0.36999999968825953</v>
      </c>
      <c r="AG20" s="31">
        <f t="shared" si="8"/>
        <v>-9.7999999999999972</v>
      </c>
      <c r="AH20" s="31">
        <f t="shared" si="9"/>
        <v>-9.8000000000000007</v>
      </c>
      <c r="AI20" s="31">
        <f t="shared" si="10"/>
        <v>-12.203644532039217</v>
      </c>
      <c r="AJ20" s="31">
        <f t="shared" si="11"/>
        <v>-12.203644532039217</v>
      </c>
      <c r="AK20" s="31">
        <f t="shared" si="12"/>
        <v>-12.203644532039217</v>
      </c>
      <c r="AL20" s="31">
        <f t="shared" si="13"/>
        <v>-9.8000000000000007</v>
      </c>
      <c r="AM20" s="31">
        <f t="shared" si="14"/>
        <v>-9.7999999999999972</v>
      </c>
      <c r="AN20" s="31">
        <f t="shared" si="15"/>
        <v>-12.203644532039217</v>
      </c>
      <c r="AO20" s="30"/>
      <c r="AP20" s="30"/>
      <c r="AQ20" s="30"/>
      <c r="AR20" s="246"/>
      <c r="AS20" s="241">
        <v>1.133041917948288</v>
      </c>
      <c r="AT20" s="35">
        <v>1.3112081961141604</v>
      </c>
      <c r="AU20" s="37">
        <v>1.1217144976287658</v>
      </c>
      <c r="AV20" s="37">
        <v>1.0996658044854517</v>
      </c>
      <c r="AW20" s="37">
        <v>0.50806529487818686</v>
      </c>
      <c r="AX20" s="35">
        <f t="shared" si="49"/>
        <v>1.3112081961141604</v>
      </c>
      <c r="AY20" s="35">
        <f t="shared" si="50"/>
        <v>1.133041917948288</v>
      </c>
      <c r="AZ20" s="37">
        <f t="shared" si="51"/>
        <v>1.0996658044854517</v>
      </c>
      <c r="BA20" s="37">
        <f t="shared" si="52"/>
        <v>1.1217144976287658</v>
      </c>
      <c r="BB20" s="37">
        <f t="shared" si="53"/>
        <v>0.50806529487818686</v>
      </c>
      <c r="BC20" s="38">
        <f t="shared" si="16"/>
        <v>64.269506532765675</v>
      </c>
      <c r="BD20" s="38">
        <f t="shared" si="17"/>
        <v>63.006209471874733</v>
      </c>
      <c r="BE20" s="38">
        <f t="shared" si="18"/>
        <v>29.109997113589749</v>
      </c>
      <c r="BF20" s="38">
        <f t="shared" si="19"/>
        <v>63.006209471874733</v>
      </c>
      <c r="BG20" s="38">
        <f t="shared" si="20"/>
        <v>64.269506532765675</v>
      </c>
      <c r="BH20" s="38">
        <f t="shared" si="21"/>
        <v>29.109997113589749</v>
      </c>
      <c r="BI20" s="417">
        <f t="shared" si="22"/>
        <v>131.04</v>
      </c>
      <c r="BJ20" s="241">
        <f t="shared" si="23"/>
        <v>2.1211648723927743</v>
      </c>
      <c r="BK20" s="35">
        <f t="shared" si="24"/>
        <v>1.3065658197163685</v>
      </c>
      <c r="BL20" s="35">
        <f t="shared" si="25"/>
        <v>1.2309778861141856</v>
      </c>
      <c r="BM20" s="37">
        <f t="shared" si="26"/>
        <v>-0.68810278316703966</v>
      </c>
      <c r="BN20" s="37">
        <f t="shared" si="27"/>
        <v>1.0206963877176811</v>
      </c>
      <c r="BO20" s="37">
        <f>0</f>
        <v>0</v>
      </c>
      <c r="BP20" s="37">
        <f t="shared" si="28"/>
        <v>-0.59514944589230678</v>
      </c>
      <c r="BQ20" s="37">
        <f t="shared" si="29"/>
        <v>-1.0207809744046845</v>
      </c>
      <c r="BR20" s="39">
        <f t="shared" si="30"/>
        <v>-0.56839271010847192</v>
      </c>
      <c r="BS20" s="35">
        <f t="shared" si="31"/>
        <v>2.1211648723927747</v>
      </c>
      <c r="BT20" s="35">
        <f t="shared" si="32"/>
        <v>1.2309778861141856</v>
      </c>
      <c r="BU20" s="35">
        <f t="shared" si="33"/>
        <v>1.3065658197163688</v>
      </c>
      <c r="BV20" s="37">
        <f t="shared" si="34"/>
        <v>-0.49047016556822376</v>
      </c>
      <c r="BW20" s="37">
        <f t="shared" si="35"/>
        <v>1.2160205385783702</v>
      </c>
      <c r="BX20" s="37">
        <f>0</f>
        <v>0</v>
      </c>
      <c r="BY20" s="37">
        <f t="shared" si="36"/>
        <v>1.1244168813714832</v>
      </c>
      <c r="BZ20" s="37">
        <f t="shared" si="37"/>
        <v>-6.6520693168200029E-2</v>
      </c>
      <c r="CA20" s="39">
        <f t="shared" si="38"/>
        <v>-0.49655637179417911</v>
      </c>
      <c r="CB20" s="231"/>
      <c r="CC20" s="354" t="str">
        <f t="shared" si="39"/>
        <v>1.0</v>
      </c>
      <c r="CD20" s="354" t="str">
        <f t="shared" si="40"/>
        <v>1.0</v>
      </c>
      <c r="CE20" s="354" t="str">
        <f t="shared" si="41"/>
        <v>1.18</v>
      </c>
      <c r="CF20" s="354" t="str">
        <f t="shared" si="42"/>
        <v>1.18</v>
      </c>
      <c r="CG20" s="354" t="str">
        <f t="shared" si="43"/>
        <v>2.287079451813369</v>
      </c>
      <c r="CH20" s="354" t="str">
        <f t="shared" si="54"/>
        <v>1.133041917948288</v>
      </c>
      <c r="CI20" s="354" t="str">
        <f t="shared" si="55"/>
        <v>1.31120819611416</v>
      </c>
      <c r="CJ20" s="354" t="str">
        <f t="shared" si="56"/>
        <v>1.121714497628766</v>
      </c>
      <c r="CK20" s="354" t="str">
        <f t="shared" si="57"/>
        <v>1.0996658044854517</v>
      </c>
      <c r="CL20" s="354" t="str">
        <f t="shared" si="58"/>
        <v>0.508065294878187</v>
      </c>
      <c r="CM20" s="354" t="str">
        <f t="shared" si="59"/>
        <v>1.31120819611416</v>
      </c>
      <c r="CN20" s="354" t="str">
        <f t="shared" si="60"/>
        <v>1.133041917948288</v>
      </c>
      <c r="CO20" s="354" t="str">
        <f t="shared" si="61"/>
        <v>1.0996658044854517</v>
      </c>
      <c r="CP20" s="354" t="str">
        <f t="shared" si="62"/>
        <v>1.121714497628766</v>
      </c>
      <c r="CQ20" s="354" t="str">
        <f t="shared" si="63"/>
        <v>0.508065294878187</v>
      </c>
      <c r="CT20" s="394" t="str">
        <f ca="1">Rotation!BA99</f>
        <v>-</v>
      </c>
      <c r="CU20" s="394" t="str">
        <f ca="1">Rotation!BB99</f>
        <v>-</v>
      </c>
      <c r="CV20" s="394">
        <v>0.43287104969646345</v>
      </c>
      <c r="CW20" s="398" t="e">
        <f t="shared" ca="1" si="64"/>
        <v>#VALUE!</v>
      </c>
      <c r="CX20" s="394" t="str">
        <f ca="1">Rotation!BC99</f>
        <v>-</v>
      </c>
      <c r="CY20" s="394" t="str">
        <f ca="1">Rotation!BD99</f>
        <v>-</v>
      </c>
      <c r="CZ20" s="394">
        <v>0.56715315877008154</v>
      </c>
      <c r="DA20" s="398" t="e">
        <f t="shared" ca="1" si="65"/>
        <v>#VALUE!</v>
      </c>
    </row>
    <row r="21" spans="1:105" s="56" customFormat="1" ht="15" customHeight="1">
      <c r="A21" s="366" t="s">
        <v>382</v>
      </c>
      <c r="B21" s="27">
        <v>-13.61806</v>
      </c>
      <c r="C21" s="28">
        <v>4</v>
      </c>
      <c r="D21" s="27">
        <v>-14.534140000000001</v>
      </c>
      <c r="E21" s="28">
        <v>4</v>
      </c>
      <c r="F21" s="28">
        <v>-13.61806</v>
      </c>
      <c r="G21" s="258">
        <v>4</v>
      </c>
      <c r="H21" s="241" t="s">
        <v>60</v>
      </c>
      <c r="I21" s="263">
        <v>2</v>
      </c>
      <c r="J21" s="28">
        <v>2</v>
      </c>
      <c r="K21" s="29">
        <v>1.1947000000000001</v>
      </c>
      <c r="L21" s="29">
        <v>1.1947000000000001</v>
      </c>
      <c r="M21" s="29">
        <v>2.3355996050188117</v>
      </c>
      <c r="N21" s="29">
        <v>-3.16</v>
      </c>
      <c r="O21" s="29">
        <v>-3.16</v>
      </c>
      <c r="P21" s="27">
        <v>0.316</v>
      </c>
      <c r="Q21" s="29">
        <f t="shared" si="45"/>
        <v>-9.5860000000765062</v>
      </c>
      <c r="R21" s="29">
        <f t="shared" si="46"/>
        <v>-14.00000000068454</v>
      </c>
      <c r="S21" s="29">
        <f t="shared" si="47"/>
        <v>-14.00000000068454</v>
      </c>
      <c r="T21" s="29">
        <f t="shared" si="48"/>
        <v>-9.5860000000765062</v>
      </c>
      <c r="U21" s="414">
        <v>15.9994</v>
      </c>
      <c r="V21" s="414">
        <v>14.0067</v>
      </c>
      <c r="W21" s="414">
        <v>15.9994</v>
      </c>
      <c r="X21" s="29">
        <v>-9.5860000000000003</v>
      </c>
      <c r="Y21" s="29">
        <f t="shared" si="0"/>
        <v>-9.5860000000765062</v>
      </c>
      <c r="Z21" s="29">
        <f t="shared" si="1"/>
        <v>-14.00000000068454</v>
      </c>
      <c r="AA21" s="33">
        <f t="shared" si="2"/>
        <v>-14.00000000068454</v>
      </c>
      <c r="AB21" s="253">
        <f t="shared" si="3"/>
        <v>2.9554239490621137E-16</v>
      </c>
      <c r="AC21" s="30" t="b">
        <f t="shared" si="4"/>
        <v>1</v>
      </c>
      <c r="AD21" s="31">
        <f t="shared" si="5"/>
        <v>-3.1600000121559977</v>
      </c>
      <c r="AE21" s="31">
        <f t="shared" si="6"/>
        <v>-3.1600000121559972</v>
      </c>
      <c r="AF21" s="31">
        <f t="shared" si="7"/>
        <v>0.31600000000026657</v>
      </c>
      <c r="AG21" s="31">
        <f t="shared" si="8"/>
        <v>-9.5860000000765062</v>
      </c>
      <c r="AH21" s="31">
        <f t="shared" si="9"/>
        <v>-9.5860000000765062</v>
      </c>
      <c r="AI21" s="31">
        <f t="shared" si="10"/>
        <v>-14.00000000068454</v>
      </c>
      <c r="AJ21" s="31">
        <f t="shared" si="11"/>
        <v>-14.00000000068454</v>
      </c>
      <c r="AK21" s="31">
        <f t="shared" si="12"/>
        <v>-9.5860000000765062</v>
      </c>
      <c r="AL21" s="31">
        <f t="shared" si="13"/>
        <v>-14.00000000068454</v>
      </c>
      <c r="AM21" s="31">
        <f t="shared" si="14"/>
        <v>-14.00000000068454</v>
      </c>
      <c r="AN21" s="31">
        <f t="shared" si="15"/>
        <v>-9.5860000000765062</v>
      </c>
      <c r="AO21" s="30"/>
      <c r="AP21" s="30"/>
      <c r="AQ21" s="30"/>
      <c r="AR21" s="246"/>
      <c r="AS21" s="241">
        <v>1.3014561828248628</v>
      </c>
      <c r="AT21" s="35">
        <v>1.0964699470414043</v>
      </c>
      <c r="AU21" s="37">
        <v>1.1512243379123814</v>
      </c>
      <c r="AV21" s="37">
        <v>1.0127158052341001</v>
      </c>
      <c r="AW21" s="37">
        <v>0.7580522641561952</v>
      </c>
      <c r="AX21" s="35">
        <f t="shared" si="49"/>
        <v>1.0964699470414043</v>
      </c>
      <c r="AY21" s="35">
        <f t="shared" si="50"/>
        <v>1.3014561828248628</v>
      </c>
      <c r="AZ21" s="37">
        <f t="shared" si="51"/>
        <v>1.0127158052341001</v>
      </c>
      <c r="BA21" s="37">
        <f t="shared" si="52"/>
        <v>1.1512243379123814</v>
      </c>
      <c r="BB21" s="37">
        <f t="shared" si="53"/>
        <v>0.7580522641561952</v>
      </c>
      <c r="BC21" s="32">
        <f t="shared" si="16"/>
        <v>65.960295835121983</v>
      </c>
      <c r="BD21" s="32">
        <f t="shared" si="17"/>
        <v>58.024341486106621</v>
      </c>
      <c r="BE21" s="32">
        <f t="shared" si="18"/>
        <v>43.433195386486197</v>
      </c>
      <c r="BF21" s="38">
        <f t="shared" si="19"/>
        <v>58.024341486106621</v>
      </c>
      <c r="BG21" s="38">
        <f t="shared" si="20"/>
        <v>65.960295835121983</v>
      </c>
      <c r="BH21" s="38">
        <f t="shared" si="21"/>
        <v>43.433195386486197</v>
      </c>
      <c r="BI21" s="417">
        <f t="shared" si="22"/>
        <v>133.82</v>
      </c>
      <c r="BJ21" s="242">
        <f t="shared" si="23"/>
        <v>1.9724124453015719</v>
      </c>
      <c r="BK21" s="27">
        <f t="shared" si="24"/>
        <v>1.1145224024198903</v>
      </c>
      <c r="BL21" s="27">
        <f t="shared" si="25"/>
        <v>1.3617265778771603</v>
      </c>
      <c r="BM21" s="29">
        <f t="shared" si="26"/>
        <v>-0.66452631082446623</v>
      </c>
      <c r="BN21" s="29">
        <f t="shared" si="27"/>
        <v>1.1885722759340582</v>
      </c>
      <c r="BO21" s="29">
        <f>0</f>
        <v>0</v>
      </c>
      <c r="BP21" s="29">
        <f t="shared" si="28"/>
        <v>-0.58064545462006212</v>
      </c>
      <c r="BQ21" s="29">
        <f t="shared" si="29"/>
        <v>-0.67542110519449405</v>
      </c>
      <c r="BR21" s="33">
        <f t="shared" si="30"/>
        <v>-0.63945565245127811</v>
      </c>
      <c r="BS21" s="27">
        <f t="shared" si="31"/>
        <v>1.9724124453015719</v>
      </c>
      <c r="BT21" s="27">
        <f t="shared" si="32"/>
        <v>1.3617265778771603</v>
      </c>
      <c r="BU21" s="27">
        <f t="shared" si="33"/>
        <v>1.1145224024198903</v>
      </c>
      <c r="BV21" s="29">
        <f t="shared" si="34"/>
        <v>-0.26905272012332421</v>
      </c>
      <c r="BW21" s="29">
        <f t="shared" si="35"/>
        <v>1.0629473075177434</v>
      </c>
      <c r="BX21" s="29">
        <f>0</f>
        <v>0</v>
      </c>
      <c r="BY21" s="29">
        <f t="shared" si="36"/>
        <v>1.0828669707082972</v>
      </c>
      <c r="BZ21" s="29">
        <f t="shared" si="37"/>
        <v>-0.11814726230574152</v>
      </c>
      <c r="CA21" s="33">
        <f t="shared" si="38"/>
        <v>-0.81715336446455167</v>
      </c>
      <c r="CB21" s="231"/>
      <c r="CC21" s="354" t="str">
        <f t="shared" si="39"/>
        <v>2.0</v>
      </c>
      <c r="CD21" s="354" t="str">
        <f t="shared" si="40"/>
        <v>2.0</v>
      </c>
      <c r="CE21" s="354" t="str">
        <f t="shared" si="41"/>
        <v>1.1947</v>
      </c>
      <c r="CF21" s="354" t="str">
        <f t="shared" si="42"/>
        <v>1.1947</v>
      </c>
      <c r="CG21" s="354" t="str">
        <f t="shared" si="43"/>
        <v>2.335599605018812</v>
      </c>
      <c r="CH21" s="354" t="str">
        <f t="shared" si="54"/>
        <v>1.301456182824863</v>
      </c>
      <c r="CI21" s="354" t="str">
        <f t="shared" si="55"/>
        <v>1.0964699470414043</v>
      </c>
      <c r="CJ21" s="354" t="str">
        <f t="shared" si="56"/>
        <v>1.151224337912381</v>
      </c>
      <c r="CK21" s="354" t="str">
        <f t="shared" si="57"/>
        <v>1.0127158052341001</v>
      </c>
      <c r="CL21" s="354" t="str">
        <f t="shared" si="58"/>
        <v>0.758052264156195</v>
      </c>
      <c r="CM21" s="354" t="str">
        <f t="shared" si="59"/>
        <v>1.0964699470414043</v>
      </c>
      <c r="CN21" s="354" t="str">
        <f t="shared" si="60"/>
        <v>1.301456182824863</v>
      </c>
      <c r="CO21" s="354" t="str">
        <f t="shared" si="61"/>
        <v>1.0127158052341001</v>
      </c>
      <c r="CP21" s="354" t="str">
        <f t="shared" si="62"/>
        <v>1.151224337912381</v>
      </c>
      <c r="CQ21" s="354" t="str">
        <f t="shared" si="63"/>
        <v>0.758052264156195</v>
      </c>
      <c r="CT21" s="394" t="str">
        <f ca="1">Rotation!BA100</f>
        <v>-</v>
      </c>
      <c r="CU21" s="394" t="str">
        <f ca="1">Rotation!BB100</f>
        <v>-</v>
      </c>
      <c r="CV21" s="394">
        <v>0.6202027259098527</v>
      </c>
      <c r="CW21" s="398" t="e">
        <f t="shared" ca="1" si="64"/>
        <v>#VALUE!</v>
      </c>
      <c r="CX21" s="394" t="str">
        <f ca="1">Rotation!BC100</f>
        <v>-</v>
      </c>
      <c r="CY21" s="394" t="str">
        <f ca="1">Rotation!BD100</f>
        <v>-</v>
      </c>
      <c r="CZ21" s="394">
        <v>0.37978702221636962</v>
      </c>
      <c r="DA21" s="398" t="e">
        <f t="shared" ca="1" si="65"/>
        <v>#VALUE!</v>
      </c>
    </row>
    <row r="22" spans="1:105" s="56" customFormat="1" ht="15" customHeight="1">
      <c r="A22" s="559" t="s">
        <v>367</v>
      </c>
      <c r="B22" s="233">
        <v>-14.534140000000001</v>
      </c>
      <c r="C22" s="234">
        <v>3</v>
      </c>
      <c r="D22" s="233">
        <v>-14.534140000000001</v>
      </c>
      <c r="E22" s="234">
        <v>3</v>
      </c>
      <c r="F22" s="234">
        <v>-13.61806</v>
      </c>
      <c r="G22" s="259">
        <v>4</v>
      </c>
      <c r="H22" s="268" t="s">
        <v>60</v>
      </c>
      <c r="I22" s="264">
        <v>3</v>
      </c>
      <c r="J22" s="234">
        <v>2</v>
      </c>
      <c r="K22" s="235">
        <v>1.1283000000000001</v>
      </c>
      <c r="L22" s="235">
        <v>1.1841999999999999</v>
      </c>
      <c r="M22" s="235">
        <v>3.1415926535897931</v>
      </c>
      <c r="N22" s="235">
        <v>-4.9850000000000003</v>
      </c>
      <c r="O22" s="235">
        <v>-1.73</v>
      </c>
      <c r="P22" s="233">
        <v>0.16700000000000001</v>
      </c>
      <c r="Q22" s="235">
        <f t="shared" si="45"/>
        <v>-12.889000000686558</v>
      </c>
      <c r="R22" s="336">
        <f t="shared" si="46"/>
        <v>-18.199990245756581</v>
      </c>
      <c r="S22" s="336">
        <f t="shared" si="47"/>
        <v>-16.299964655694353</v>
      </c>
      <c r="T22" s="336">
        <f t="shared" si="48"/>
        <v>-20.100135309724177</v>
      </c>
      <c r="U22" s="414">
        <v>14.0067</v>
      </c>
      <c r="V22" s="414">
        <v>14.0067</v>
      </c>
      <c r="W22" s="414">
        <v>15.9994</v>
      </c>
      <c r="X22" s="235">
        <v>-12.888999999999999</v>
      </c>
      <c r="Y22" s="336">
        <f t="shared" si="0"/>
        <v>-16.3</v>
      </c>
      <c r="Z22" s="336">
        <f t="shared" si="1"/>
        <v>-18.2</v>
      </c>
      <c r="AA22" s="337">
        <f t="shared" si="2"/>
        <v>-20.100000000000001</v>
      </c>
      <c r="AB22" s="254">
        <f t="shared" si="3"/>
        <v>1.96530873434099E-8</v>
      </c>
      <c r="AC22" s="12" t="b">
        <f t="shared" si="4"/>
        <v>1</v>
      </c>
      <c r="AD22" s="13">
        <f t="shared" si="5"/>
        <v>-4.9849999879120963</v>
      </c>
      <c r="AE22" s="13">
        <f t="shared" si="6"/>
        <v>-1.7299999768913068</v>
      </c>
      <c r="AF22" s="13">
        <f t="shared" si="7"/>
        <v>0.16700000010580301</v>
      </c>
      <c r="AG22" s="13">
        <f t="shared" si="8"/>
        <v>-12.889000000686558</v>
      </c>
      <c r="AH22" s="13">
        <f t="shared" si="9"/>
        <v>-16.299964655694353</v>
      </c>
      <c r="AI22" s="13">
        <f t="shared" si="10"/>
        <v>-18.199990245756581</v>
      </c>
      <c r="AJ22" s="13">
        <f t="shared" si="11"/>
        <v>-20.100135309724177</v>
      </c>
      <c r="AK22" s="13">
        <f t="shared" si="12"/>
        <v>-12.889000000686558</v>
      </c>
      <c r="AL22" s="13">
        <f t="shared" si="13"/>
        <v>-18.199990245756581</v>
      </c>
      <c r="AM22" s="13">
        <f t="shared" si="14"/>
        <v>-16.299964655694353</v>
      </c>
      <c r="AN22" s="13">
        <f t="shared" si="15"/>
        <v>-20.100135309724177</v>
      </c>
      <c r="AO22" s="12" t="s">
        <v>387</v>
      </c>
      <c r="AP22" s="12">
        <v>-16.3</v>
      </c>
      <c r="AQ22" s="12">
        <v>-18.2</v>
      </c>
      <c r="AR22" s="247">
        <v>-20.100000000000001</v>
      </c>
      <c r="AS22" s="241">
        <v>1.0142084192372431</v>
      </c>
      <c r="AT22" s="35">
        <v>0.92054835180163541</v>
      </c>
      <c r="AU22" s="37">
        <v>1.2503225887488292</v>
      </c>
      <c r="AV22" s="37">
        <v>0.93295686963750135</v>
      </c>
      <c r="AW22" s="37">
        <v>0.75995801831855048</v>
      </c>
      <c r="AX22" s="233">
        <v>0.87394047834875299</v>
      </c>
      <c r="AY22" s="233">
        <v>0.88733130981941355</v>
      </c>
      <c r="AZ22" s="235">
        <v>1.2144595769745992</v>
      </c>
      <c r="BA22" s="235">
        <v>0.85257607270476155</v>
      </c>
      <c r="BB22" s="235">
        <v>0.5864981570731258</v>
      </c>
      <c r="BC22" s="236">
        <f t="shared" ref="BC22:BC33" si="66">DEGREES(AU22)</f>
        <v>71.638207365179227</v>
      </c>
      <c r="BD22" s="236">
        <f t="shared" ref="BD22:BD33" si="67">DEGREES(AV22)</f>
        <v>53.454491097965764</v>
      </c>
      <c r="BE22" s="236">
        <f t="shared" ref="BE22:BE33" si="68">DEGREES(AW22)</f>
        <v>43.542387056778644</v>
      </c>
      <c r="BF22" s="236">
        <f t="shared" ref="BF22:BF33" si="69">DEGREES(AZ22)</f>
        <v>69.583408149887859</v>
      </c>
      <c r="BG22" s="236">
        <f t="shared" ref="BG22:BG33" si="70">DEGREES(BA22)</f>
        <v>48.84901067982166</v>
      </c>
      <c r="BH22" s="236">
        <f t="shared" ref="BH22:BH33" si="71">DEGREES(BB22)</f>
        <v>33.603869092490939</v>
      </c>
      <c r="BI22" s="418">
        <f t="shared" si="22"/>
        <v>180</v>
      </c>
      <c r="BJ22" s="243">
        <f>SUMXMY2(BM22:BO22,BP22:BR22)^0.5</f>
        <v>1.6041975846012018</v>
      </c>
      <c r="BK22" s="233">
        <f t="shared" si="24"/>
        <v>0.93995384943541971</v>
      </c>
      <c r="BL22" s="233">
        <f t="shared" si="25"/>
        <v>1.2572643883859995</v>
      </c>
      <c r="BM22" s="235">
        <f t="shared" si="26"/>
        <v>-0.80880790332886365</v>
      </c>
      <c r="BN22" s="235">
        <f t="shared" si="27"/>
        <v>0.96257130531529389</v>
      </c>
      <c r="BO22" s="235">
        <f>0</f>
        <v>0</v>
      </c>
      <c r="BP22" s="235">
        <f t="shared" si="28"/>
        <v>-0.54815072185422486</v>
      </c>
      <c r="BQ22" s="235">
        <f t="shared" si="29"/>
        <v>-0.53607672830855646</v>
      </c>
      <c r="BR22" s="237">
        <f t="shared" si="30"/>
        <v>-0.50947207529107408</v>
      </c>
      <c r="BS22" s="233">
        <f>SUMXMY2(BV22:BX22,BY22:CA22)^0.5</f>
        <v>1.4546760450952598</v>
      </c>
      <c r="BT22" s="233">
        <f>SUMSQ(BY22:CA22)^0.5</f>
        <v>0.89820217629663024</v>
      </c>
      <c r="BU22" s="233">
        <f t="shared" si="33"/>
        <v>1.2016868341507951</v>
      </c>
      <c r="BV22" s="235">
        <f t="shared" si="34"/>
        <v>0.30486841425649641</v>
      </c>
      <c r="BW22" s="235">
        <f t="shared" si="35"/>
        <v>0.81904042005579702</v>
      </c>
      <c r="BX22" s="235">
        <f>0</f>
        <v>0</v>
      </c>
      <c r="BY22" s="235">
        <f t="shared" si="36"/>
        <v>0.6002955312101701</v>
      </c>
      <c r="BZ22" s="235">
        <f t="shared" si="37"/>
        <v>-0.55648387919734632</v>
      </c>
      <c r="CA22" s="237">
        <f t="shared" si="38"/>
        <v>-0.36978117435393576</v>
      </c>
      <c r="CB22" s="231"/>
      <c r="CC22" s="354" t="str">
        <f t="shared" si="39"/>
        <v>3.0</v>
      </c>
      <c r="CD22" s="354" t="str">
        <f t="shared" si="40"/>
        <v>2.0</v>
      </c>
      <c r="CE22" s="354" t="str">
        <f t="shared" si="41"/>
        <v>1.1283</v>
      </c>
      <c r="CF22" s="354" t="str">
        <f t="shared" si="42"/>
        <v>1.1842</v>
      </c>
      <c r="CG22" s="354" t="str">
        <f t="shared" si="43"/>
        <v>3.141592653589793</v>
      </c>
      <c r="CH22" s="354" t="str">
        <f t="shared" si="54"/>
        <v>1.0142084192372431</v>
      </c>
      <c r="CI22" s="354" t="str">
        <f t="shared" si="55"/>
        <v>0.920548351801635</v>
      </c>
      <c r="CJ22" s="354" t="str">
        <f t="shared" si="56"/>
        <v>1.250322588748829</v>
      </c>
      <c r="CK22" s="354" t="str">
        <f t="shared" si="57"/>
        <v>0.932956869637501</v>
      </c>
      <c r="CL22" s="354" t="str">
        <f t="shared" si="58"/>
        <v>0.75995801831855</v>
      </c>
      <c r="CM22" s="354" t="str">
        <f t="shared" si="59"/>
        <v>0.873940478348753</v>
      </c>
      <c r="CN22" s="354" t="str">
        <f t="shared" si="60"/>
        <v>0.887331309819414</v>
      </c>
      <c r="CO22" s="354" t="str">
        <f t="shared" si="61"/>
        <v>1.214459576974599</v>
      </c>
      <c r="CP22" s="354" t="str">
        <f t="shared" si="62"/>
        <v>0.852576072704762</v>
      </c>
      <c r="CQ22" s="354" t="str">
        <f t="shared" si="63"/>
        <v>0.586498157073126</v>
      </c>
      <c r="CT22" s="394" t="str">
        <f ca="1">Rotation!BA101</f>
        <v>-</v>
      </c>
      <c r="CU22" s="394" t="str">
        <f ca="1">Rotation!BB101</f>
        <v>-</v>
      </c>
      <c r="CV22" s="394">
        <v>0.62880730739820212</v>
      </c>
      <c r="CW22" s="398" t="e">
        <f t="shared" ca="1" si="64"/>
        <v>#VALUE!</v>
      </c>
      <c r="CX22" s="394" t="str">
        <f ca="1">Rotation!BC101</f>
        <v>-</v>
      </c>
      <c r="CY22" s="394" t="str">
        <f ca="1">Rotation!BD101</f>
        <v>-</v>
      </c>
      <c r="CZ22" s="394">
        <v>0.60043071803344372</v>
      </c>
      <c r="DA22" s="398" t="e">
        <f t="shared" ca="1" si="65"/>
        <v>#VALUE!</v>
      </c>
    </row>
    <row r="23" spans="1:105" s="56" customFormat="1" ht="15" customHeight="1">
      <c r="A23" s="536"/>
      <c r="B23" s="27">
        <v>-14.534140000000001</v>
      </c>
      <c r="C23" s="28">
        <v>3</v>
      </c>
      <c r="D23" s="27">
        <v>-14.534140000000001</v>
      </c>
      <c r="E23" s="28">
        <v>3</v>
      </c>
      <c r="F23" s="28">
        <v>-13.61806</v>
      </c>
      <c r="G23" s="258">
        <v>4</v>
      </c>
      <c r="H23" s="241" t="s">
        <v>60</v>
      </c>
      <c r="I23" s="263">
        <v>1</v>
      </c>
      <c r="J23" s="28">
        <v>2</v>
      </c>
      <c r="K23" s="29">
        <v>1.1283000000000001</v>
      </c>
      <c r="L23" s="29">
        <v>1.1841999999999999</v>
      </c>
      <c r="M23" s="29">
        <v>3.1415926535897931</v>
      </c>
      <c r="N23" s="29">
        <v>-4.9850000000000003</v>
      </c>
      <c r="O23" s="29">
        <v>-1.73</v>
      </c>
      <c r="P23" s="27">
        <v>0.16700000000000001</v>
      </c>
      <c r="Q23" s="29">
        <f t="shared" si="45"/>
        <v>-12.889000000071448</v>
      </c>
      <c r="R23" s="317">
        <f t="shared" si="46"/>
        <v>-16.299994883108766</v>
      </c>
      <c r="S23" s="317">
        <f t="shared" si="47"/>
        <v>-20.099993782514506</v>
      </c>
      <c r="T23" s="317">
        <f t="shared" si="48"/>
        <v>-18.20000941594299</v>
      </c>
      <c r="U23" s="414">
        <v>14.0067</v>
      </c>
      <c r="V23" s="414">
        <v>14.0067</v>
      </c>
      <c r="W23" s="414">
        <v>15.9994</v>
      </c>
      <c r="X23" s="29">
        <v>-12.888999999999999</v>
      </c>
      <c r="Y23" s="317">
        <f t="shared" si="0"/>
        <v>-16.3</v>
      </c>
      <c r="Z23" s="317">
        <f t="shared" si="1"/>
        <v>-18.2</v>
      </c>
      <c r="AA23" s="335">
        <f t="shared" si="2"/>
        <v>-20.100000000000001</v>
      </c>
      <c r="AB23" s="253">
        <f t="shared" si="3"/>
        <v>1.5349968633311483E-10</v>
      </c>
      <c r="AC23" s="30" t="b">
        <f t="shared" si="4"/>
        <v>1</v>
      </c>
      <c r="AD23" s="31">
        <f t="shared" si="5"/>
        <v>-4.9850000002501904</v>
      </c>
      <c r="AE23" s="31">
        <f t="shared" si="6"/>
        <v>-1.7300000013863646</v>
      </c>
      <c r="AF23" s="31">
        <f t="shared" si="7"/>
        <v>0.16699999960994399</v>
      </c>
      <c r="AG23" s="31">
        <f t="shared" ref="AG23:AG33" si="72">MAX($AK23:$AN23)</f>
        <v>-12.889000000071448</v>
      </c>
      <c r="AH23" s="31">
        <f t="shared" si="9"/>
        <v>-16.299994883108766</v>
      </c>
      <c r="AI23" s="31">
        <f t="shared" si="10"/>
        <v>-18.20000941594299</v>
      </c>
      <c r="AJ23" s="31">
        <f t="shared" si="11"/>
        <v>-20.099993782514506</v>
      </c>
      <c r="AK23" s="31">
        <f t="shared" si="12"/>
        <v>-12.889000000071448</v>
      </c>
      <c r="AL23" s="31">
        <f t="shared" si="13"/>
        <v>-16.299994883108766</v>
      </c>
      <c r="AM23" s="31">
        <f t="shared" si="14"/>
        <v>-20.099993782514506</v>
      </c>
      <c r="AN23" s="31">
        <f t="shared" si="15"/>
        <v>-18.20000941594299</v>
      </c>
      <c r="AO23" s="30" t="s">
        <v>387</v>
      </c>
      <c r="AP23" s="30">
        <v>-16.3</v>
      </c>
      <c r="AQ23" s="30">
        <v>-18.2</v>
      </c>
      <c r="AR23" s="246">
        <v>-20.100000000000001</v>
      </c>
      <c r="AS23" s="241">
        <v>0.88959476976184426</v>
      </c>
      <c r="AT23" s="35">
        <v>1.2644495942764302</v>
      </c>
      <c r="AU23" s="37">
        <v>1.6958659293958229</v>
      </c>
      <c r="AV23" s="37">
        <v>0.6858854157532317</v>
      </c>
      <c r="AW23" s="37">
        <v>1.1633843559678101</v>
      </c>
      <c r="AX23" s="27">
        <v>0.73693886431671751</v>
      </c>
      <c r="AY23" s="27">
        <v>0.95887725146076608</v>
      </c>
      <c r="AZ23" s="29">
        <v>1.1806404538309696</v>
      </c>
      <c r="BA23" s="29">
        <v>0.88346953226343472</v>
      </c>
      <c r="BB23" s="235">
        <v>0.51027996084157978</v>
      </c>
      <c r="BC23" s="32">
        <f t="shared" si="66"/>
        <v>97.165960374411497</v>
      </c>
      <c r="BD23" s="32">
        <f t="shared" si="67"/>
        <v>39.298339552235966</v>
      </c>
      <c r="BE23" s="32">
        <f t="shared" si="68"/>
        <v>66.657013548500927</v>
      </c>
      <c r="BF23" s="32">
        <f t="shared" si="69"/>
        <v>67.645715126924685</v>
      </c>
      <c r="BG23" s="32">
        <f t="shared" si="70"/>
        <v>50.619075527091724</v>
      </c>
      <c r="BH23" s="32">
        <f t="shared" si="71"/>
        <v>29.236888126323436</v>
      </c>
      <c r="BI23" s="419">
        <f t="shared" si="22"/>
        <v>180</v>
      </c>
      <c r="BJ23" s="242">
        <f t="shared" ref="BJ23:BJ33" si="73">SUMXMY2(BM23:BO23,BP23:BR23)^0.5</f>
        <v>1.4312909671643645</v>
      </c>
      <c r="BK23" s="27">
        <f t="shared" si="24"/>
        <v>0.81473857671635297</v>
      </c>
      <c r="BL23" s="27">
        <f t="shared" ref="BL23:BL33" si="74">SUMSQ(BM23:BO23)^0.5</f>
        <v>1.5214656956755357</v>
      </c>
      <c r="BM23" s="29">
        <f t="shared" si="26"/>
        <v>-1.2392714254762975</v>
      </c>
      <c r="BN23" s="29">
        <f t="shared" si="27"/>
        <v>0.88264613357527788</v>
      </c>
      <c r="BO23" s="29">
        <f>0</f>
        <v>0</v>
      </c>
      <c r="BP23" s="29">
        <f t="shared" si="28"/>
        <v>-0.97850514848712244</v>
      </c>
      <c r="BQ23" s="29">
        <f t="shared" si="29"/>
        <v>-0.31732430030427417</v>
      </c>
      <c r="BR23" s="33">
        <f t="shared" si="30"/>
        <v>-0.73529976151663912</v>
      </c>
      <c r="BS23" s="27">
        <f t="shared" ref="BS23:BS33" si="75">SUMXMY2(BV23:BX23,BY23:CA23)^0.5</f>
        <v>1.4081060935811338</v>
      </c>
      <c r="BT23" s="27">
        <f t="shared" ref="BT23:BT33" si="76">SUMSQ(BY23:CA23)^0.5</f>
        <v>0.93855392113398461</v>
      </c>
      <c r="BU23" s="27">
        <f t="shared" si="33"/>
        <v>1.1320728667354345</v>
      </c>
      <c r="BV23" s="29">
        <f t="shared" si="34"/>
        <v>0.2802818586986271</v>
      </c>
      <c r="BW23" s="29">
        <f t="shared" si="35"/>
        <v>0.68155775208331115</v>
      </c>
      <c r="BX23" s="29">
        <f>0</f>
        <v>0</v>
      </c>
      <c r="BY23" s="29">
        <f t="shared" si="36"/>
        <v>0.57581807106359761</v>
      </c>
      <c r="BZ23" s="29">
        <f t="shared" si="37"/>
        <v>-0.64674133184541549</v>
      </c>
      <c r="CA23" s="33">
        <f t="shared" si="38"/>
        <v>-0.36199815137013291</v>
      </c>
      <c r="CC23" s="354" t="str">
        <f t="shared" si="39"/>
        <v>1.0</v>
      </c>
      <c r="CD23" s="354" t="str">
        <f t="shared" si="40"/>
        <v>2.0</v>
      </c>
      <c r="CE23" s="354" t="str">
        <f t="shared" si="41"/>
        <v>1.1283</v>
      </c>
      <c r="CF23" s="354" t="str">
        <f t="shared" si="42"/>
        <v>1.1842</v>
      </c>
      <c r="CG23" s="354" t="str">
        <f t="shared" si="43"/>
        <v>3.141592653589793</v>
      </c>
      <c r="CH23" s="354" t="str">
        <f t="shared" si="54"/>
        <v>0.889594769761844</v>
      </c>
      <c r="CI23" s="354" t="str">
        <f t="shared" si="55"/>
        <v>1.26444959427643</v>
      </c>
      <c r="CJ23" s="354" t="str">
        <f t="shared" si="56"/>
        <v>1.695865929395823</v>
      </c>
      <c r="CK23" s="354" t="str">
        <f t="shared" si="57"/>
        <v>0.685885415753232</v>
      </c>
      <c r="CL23" s="354" t="str">
        <f t="shared" si="58"/>
        <v>1.16338435596781</v>
      </c>
      <c r="CM23" s="354" t="str">
        <f t="shared" si="59"/>
        <v>0.736938864316718</v>
      </c>
      <c r="CN23" s="354" t="str">
        <f t="shared" si="60"/>
        <v>0.958877251460766</v>
      </c>
      <c r="CO23" s="354" t="str">
        <f t="shared" si="61"/>
        <v>1.18064045383097</v>
      </c>
      <c r="CP23" s="354" t="str">
        <f t="shared" si="62"/>
        <v>0.883469532263435</v>
      </c>
      <c r="CQ23" s="354" t="str">
        <f t="shared" si="63"/>
        <v>0.51027996084158</v>
      </c>
      <c r="CT23" s="394" t="str">
        <f ca="1">Rotation!BA102</f>
        <v>-</v>
      </c>
      <c r="CU23" s="394" t="str">
        <f ca="1">Rotation!BB102</f>
        <v>-</v>
      </c>
      <c r="CV23" s="394">
        <v>0.54846698722671983</v>
      </c>
      <c r="CW23" s="398" t="e">
        <f t="shared" ca="1" si="64"/>
        <v>#VALUE!</v>
      </c>
      <c r="CX23" s="394" t="str">
        <f ca="1">Rotation!BC102</f>
        <v>-</v>
      </c>
      <c r="CY23" s="394" t="str">
        <f ca="1">Rotation!BD102</f>
        <v>-</v>
      </c>
      <c r="CZ23" s="394">
        <v>0.45818911519035554</v>
      </c>
      <c r="DA23" s="398" t="e">
        <f t="shared" ca="1" si="65"/>
        <v>#VALUE!</v>
      </c>
    </row>
    <row r="24" spans="1:105" s="56" customFormat="1" ht="15" customHeight="1">
      <c r="A24" s="536" t="s">
        <v>368</v>
      </c>
      <c r="B24" s="35">
        <v>-13.61806</v>
      </c>
      <c r="C24" s="36">
        <v>4</v>
      </c>
      <c r="D24" s="35">
        <v>-11.260300000000001</v>
      </c>
      <c r="E24" s="36">
        <v>2</v>
      </c>
      <c r="F24" s="36">
        <v>-10.36</v>
      </c>
      <c r="G24" s="257">
        <v>4</v>
      </c>
      <c r="H24" s="267" t="s">
        <v>19</v>
      </c>
      <c r="I24" s="262">
        <v>2</v>
      </c>
      <c r="J24" s="36">
        <v>2</v>
      </c>
      <c r="K24" s="37">
        <v>1.1599999999999999</v>
      </c>
      <c r="L24" s="37">
        <v>1.56</v>
      </c>
      <c r="M24" s="37">
        <v>3.1415926535897931</v>
      </c>
      <c r="N24" s="37">
        <v>-6.51</v>
      </c>
      <c r="O24" s="37">
        <v>-3.16</v>
      </c>
      <c r="P24" s="35">
        <v>0.71199999999999997</v>
      </c>
      <c r="Q24" s="318">
        <f t="shared" si="45"/>
        <v>-16.100003484718968</v>
      </c>
      <c r="R24" s="318">
        <f t="shared" si="46"/>
        <v>-15.449999928562811</v>
      </c>
      <c r="S24" s="318">
        <f t="shared" si="47"/>
        <v>-17.999995987298824</v>
      </c>
      <c r="T24" s="37">
        <f t="shared" si="48"/>
        <v>-11.180000000029294</v>
      </c>
      <c r="U24" s="414">
        <v>15.9994</v>
      </c>
      <c r="V24" s="37">
        <v>12.0107</v>
      </c>
      <c r="W24" s="413">
        <v>32.064999999999998</v>
      </c>
      <c r="X24" s="37">
        <v>-11.18</v>
      </c>
      <c r="Y24" s="318">
        <f t="shared" si="0"/>
        <v>-15.45</v>
      </c>
      <c r="Z24" s="318">
        <f t="shared" si="1"/>
        <v>-16.100000000000001</v>
      </c>
      <c r="AA24" s="334">
        <f t="shared" si="2"/>
        <v>-18</v>
      </c>
      <c r="AB24" s="253">
        <f t="shared" si="3"/>
        <v>2.8250140286971275E-11</v>
      </c>
      <c r="AC24" s="30" t="b">
        <f t="shared" si="4"/>
        <v>1</v>
      </c>
      <c r="AD24" s="31">
        <f t="shared" si="5"/>
        <v>-6.5099999999092155</v>
      </c>
      <c r="AE24" s="31">
        <f t="shared" si="6"/>
        <v>-3.1600000000373472</v>
      </c>
      <c r="AF24" s="31">
        <f t="shared" si="7"/>
        <v>0.71200000003793062</v>
      </c>
      <c r="AG24" s="31">
        <f t="shared" si="72"/>
        <v>-11.180000000029294</v>
      </c>
      <c r="AH24" s="31">
        <f t="shared" si="9"/>
        <v>-15.449999928562811</v>
      </c>
      <c r="AI24" s="31">
        <f t="shared" si="10"/>
        <v>-16.100003484718968</v>
      </c>
      <c r="AJ24" s="31">
        <f t="shared" si="11"/>
        <v>-17.999995987298824</v>
      </c>
      <c r="AK24" s="31">
        <f t="shared" si="12"/>
        <v>-16.100003484718968</v>
      </c>
      <c r="AL24" s="31">
        <f t="shared" si="13"/>
        <v>-15.449999928562811</v>
      </c>
      <c r="AM24" s="31">
        <f t="shared" si="14"/>
        <v>-17.999995987298824</v>
      </c>
      <c r="AN24" s="31">
        <f t="shared" si="15"/>
        <v>-11.180000000029294</v>
      </c>
      <c r="AO24" s="30" t="s">
        <v>388</v>
      </c>
      <c r="AP24" s="30">
        <v>-15.45</v>
      </c>
      <c r="AQ24" s="30">
        <v>-16.100000000000001</v>
      </c>
      <c r="AR24" s="246">
        <v>-18</v>
      </c>
      <c r="AS24" s="241">
        <v>1.1351053395567392</v>
      </c>
      <c r="AT24" s="35">
        <v>0.83301881102362663</v>
      </c>
      <c r="AU24" s="37">
        <v>0.8149164781196333</v>
      </c>
      <c r="AV24" s="37">
        <v>1.474330161228147</v>
      </c>
      <c r="AW24" s="37">
        <v>0.79872471097134068</v>
      </c>
      <c r="AX24" s="35">
        <v>1.1541643005835363</v>
      </c>
      <c r="AY24" s="35">
        <v>1.1707028355047004</v>
      </c>
      <c r="AZ24" s="37">
        <v>0.67418262680373298</v>
      </c>
      <c r="BA24" s="37">
        <v>1.391359767849869</v>
      </c>
      <c r="BB24" s="235">
        <v>0.29810315090034373</v>
      </c>
      <c r="BC24" s="38">
        <f t="shared" si="66"/>
        <v>46.691274851920085</v>
      </c>
      <c r="BD24" s="38">
        <f t="shared" si="67"/>
        <v>84.472895847215028</v>
      </c>
      <c r="BE24" s="38">
        <f t="shared" si="68"/>
        <v>45.763554931464341</v>
      </c>
      <c r="BF24" s="38">
        <f t="shared" si="69"/>
        <v>38.627819136897351</v>
      </c>
      <c r="BG24" s="38">
        <f t="shared" si="70"/>
        <v>79.719042482099496</v>
      </c>
      <c r="BH24" s="38">
        <f t="shared" si="71"/>
        <v>17.080052406141203</v>
      </c>
      <c r="BI24" s="417">
        <f t="shared" si="22"/>
        <v>180</v>
      </c>
      <c r="BJ24" s="241">
        <f t="shared" si="73"/>
        <v>1.5543387706318661</v>
      </c>
      <c r="BK24" s="35">
        <f t="shared" si="24"/>
        <v>1.3613884411705908</v>
      </c>
      <c r="BL24" s="35">
        <f t="shared" si="74"/>
        <v>0.90978448177634674</v>
      </c>
      <c r="BM24" s="37">
        <f t="shared" si="26"/>
        <v>-0.38139813422018765</v>
      </c>
      <c r="BN24" s="37">
        <f t="shared" si="27"/>
        <v>0.82598018529164219</v>
      </c>
      <c r="BO24" s="37">
        <f>0</f>
        <v>0</v>
      </c>
      <c r="BP24" s="37">
        <f t="shared" si="28"/>
        <v>-8.0233556795829802E-2</v>
      </c>
      <c r="BQ24" s="37">
        <f t="shared" si="29"/>
        <v>-0.57842957121258121</v>
      </c>
      <c r="BR24" s="39">
        <f t="shared" si="30"/>
        <v>-0.59405567670878823</v>
      </c>
      <c r="BS24" s="35">
        <f t="shared" si="75"/>
        <v>1.9064764959851339</v>
      </c>
      <c r="BT24" s="35">
        <f t="shared" si="76"/>
        <v>1.775457086005038</v>
      </c>
      <c r="BU24" s="35">
        <f t="shared" si="33"/>
        <v>0.97597997408332882</v>
      </c>
      <c r="BV24" s="37">
        <f t="shared" si="34"/>
        <v>0.9016533086313423</v>
      </c>
      <c r="BW24" s="37">
        <f t="shared" si="35"/>
        <v>0.72049742801458827</v>
      </c>
      <c r="BX24" s="37">
        <f>0</f>
        <v>0</v>
      </c>
      <c r="BY24" s="37">
        <f t="shared" si="36"/>
        <v>1.3510585689701142</v>
      </c>
      <c r="BZ24" s="37">
        <f t="shared" si="37"/>
        <v>-1.1011020503309168</v>
      </c>
      <c r="CA24" s="39">
        <f t="shared" si="38"/>
        <v>-0.33832363531828424</v>
      </c>
      <c r="CC24" s="354" t="str">
        <f t="shared" si="39"/>
        <v>2.0</v>
      </c>
      <c r="CD24" s="354" t="str">
        <f t="shared" si="40"/>
        <v>2.0</v>
      </c>
      <c r="CE24" s="354" t="str">
        <f t="shared" si="41"/>
        <v>1.16</v>
      </c>
      <c r="CF24" s="354" t="str">
        <f t="shared" si="42"/>
        <v>1.56</v>
      </c>
      <c r="CG24" s="354" t="str">
        <f t="shared" si="43"/>
        <v>3.141592653589793</v>
      </c>
      <c r="CH24" s="354" t="str">
        <f t="shared" si="54"/>
        <v>1.135105339556739</v>
      </c>
      <c r="CI24" s="354" t="str">
        <f t="shared" si="55"/>
        <v>0.833018811023627</v>
      </c>
      <c r="CJ24" s="354" t="str">
        <f t="shared" si="56"/>
        <v>0.814916478119633</v>
      </c>
      <c r="CK24" s="354" t="str">
        <f t="shared" si="57"/>
        <v>1.474330161228147</v>
      </c>
      <c r="CL24" s="354" t="str">
        <f t="shared" si="58"/>
        <v>0.798724710971341</v>
      </c>
      <c r="CM24" s="354" t="str">
        <f t="shared" si="59"/>
        <v>1.154164300583536</v>
      </c>
      <c r="CN24" s="354" t="str">
        <f t="shared" si="60"/>
        <v>1.1707028355047</v>
      </c>
      <c r="CO24" s="354" t="str">
        <f t="shared" si="61"/>
        <v>0.674182626803733</v>
      </c>
      <c r="CP24" s="354" t="str">
        <f t="shared" si="62"/>
        <v>1.391359767849869</v>
      </c>
      <c r="CQ24" s="354" t="str">
        <f t="shared" si="63"/>
        <v>0.298103150900344</v>
      </c>
      <c r="CT24" s="394" t="str">
        <f ca="1">Rotation!BA103</f>
        <v>-</v>
      </c>
      <c r="CU24" s="394" t="str">
        <f ca="1">Rotation!BB103</f>
        <v>-</v>
      </c>
      <c r="CV24" s="394">
        <v>0.49808954227176278</v>
      </c>
      <c r="CW24" s="398" t="e">
        <f t="shared" ca="1" si="64"/>
        <v>#VALUE!</v>
      </c>
      <c r="CX24" s="394" t="str">
        <f ca="1">Rotation!BC103</f>
        <v>-</v>
      </c>
      <c r="CY24" s="394" t="str">
        <f ca="1">Rotation!BD103</f>
        <v>-</v>
      </c>
      <c r="CZ24" s="394">
        <v>0.28119938657386107</v>
      </c>
      <c r="DA24" s="398" t="e">
        <f t="shared" ca="1" si="65"/>
        <v>#VALUE!</v>
      </c>
    </row>
    <row r="25" spans="1:105" s="56" customFormat="1" ht="15" customHeight="1">
      <c r="A25" s="536"/>
      <c r="B25" s="35">
        <v>-13.61806</v>
      </c>
      <c r="C25" s="36">
        <v>4</v>
      </c>
      <c r="D25" s="35">
        <v>-11.260300000000001</v>
      </c>
      <c r="E25" s="36">
        <v>2</v>
      </c>
      <c r="F25" s="36">
        <v>-10.36</v>
      </c>
      <c r="G25" s="257">
        <v>4</v>
      </c>
      <c r="H25" s="267" t="s">
        <v>19</v>
      </c>
      <c r="I25" s="262">
        <v>2</v>
      </c>
      <c r="J25" s="36">
        <v>2</v>
      </c>
      <c r="K25" s="37">
        <v>1.1599999999999999</v>
      </c>
      <c r="L25" s="37">
        <v>1.56</v>
      </c>
      <c r="M25" s="37">
        <v>3.1415926535897931</v>
      </c>
      <c r="N25" s="37">
        <v>-6.51</v>
      </c>
      <c r="O25" s="37">
        <v>-3.16</v>
      </c>
      <c r="P25" s="35">
        <v>0.65</v>
      </c>
      <c r="Q25" s="318">
        <f t="shared" si="45"/>
        <v>-18.000003694123219</v>
      </c>
      <c r="R25" s="318">
        <f t="shared" si="46"/>
        <v>-15.450007080722106</v>
      </c>
      <c r="S25" s="318">
        <f t="shared" si="47"/>
        <v>-16.099997127285967</v>
      </c>
      <c r="T25" s="37">
        <f t="shared" si="48"/>
        <v>-11.180000000008215</v>
      </c>
      <c r="U25" s="414">
        <v>15.9994</v>
      </c>
      <c r="V25" s="37">
        <v>12.0107</v>
      </c>
      <c r="W25" s="413">
        <v>32.064999999999998</v>
      </c>
      <c r="X25" s="37">
        <v>-11.18</v>
      </c>
      <c r="Y25" s="318">
        <f t="shared" si="0"/>
        <v>-15.45</v>
      </c>
      <c r="Z25" s="318">
        <f t="shared" si="1"/>
        <v>-16.100000000000001</v>
      </c>
      <c r="AA25" s="334">
        <f t="shared" si="2"/>
        <v>-18</v>
      </c>
      <c r="AB25" s="253">
        <f t="shared" si="3"/>
        <v>7.2035657831421242E-11</v>
      </c>
      <c r="AC25" s="30" t="b">
        <f t="shared" si="4"/>
        <v>1</v>
      </c>
      <c r="AD25" s="31">
        <f t="shared" si="5"/>
        <v>-6.5099999999574933</v>
      </c>
      <c r="AE25" s="31">
        <f t="shared" si="6"/>
        <v>-3.1600000000011472</v>
      </c>
      <c r="AF25" s="31">
        <f t="shared" si="7"/>
        <v>0.65000000000453628</v>
      </c>
      <c r="AG25" s="31">
        <f t="shared" si="72"/>
        <v>-11.180000000008215</v>
      </c>
      <c r="AH25" s="31">
        <f t="shared" si="9"/>
        <v>-15.450007080722106</v>
      </c>
      <c r="AI25" s="31">
        <f t="shared" si="10"/>
        <v>-16.099997127285967</v>
      </c>
      <c r="AJ25" s="31">
        <f t="shared" si="11"/>
        <v>-18.000003694123219</v>
      </c>
      <c r="AK25" s="31">
        <f t="shared" si="12"/>
        <v>-18.000003694123219</v>
      </c>
      <c r="AL25" s="31">
        <f t="shared" si="13"/>
        <v>-15.450007080722106</v>
      </c>
      <c r="AM25" s="31">
        <f t="shared" si="14"/>
        <v>-16.099997127285967</v>
      </c>
      <c r="AN25" s="31">
        <f t="shared" si="15"/>
        <v>-11.180000000008215</v>
      </c>
      <c r="AO25" s="30" t="s">
        <v>388</v>
      </c>
      <c r="AP25" s="30">
        <v>-15.45</v>
      </c>
      <c r="AQ25" s="30">
        <v>-16.100000000000001</v>
      </c>
      <c r="AR25" s="246">
        <v>-18</v>
      </c>
      <c r="AS25" s="241">
        <v>1.0873667968351899</v>
      </c>
      <c r="AT25" s="35">
        <v>0.81929761241620114</v>
      </c>
      <c r="AU25" s="37">
        <v>0.76221867005127852</v>
      </c>
      <c r="AV25" s="37">
        <v>1.5404378718102083</v>
      </c>
      <c r="AW25" s="37">
        <v>0.87963961007497249</v>
      </c>
      <c r="AX25" s="35">
        <v>1.1138050823906793</v>
      </c>
      <c r="AY25" s="35">
        <v>1.2096369335747799</v>
      </c>
      <c r="AZ25" s="37">
        <v>0.83745320282018687</v>
      </c>
      <c r="BA25" s="37">
        <v>1.2940532280507633</v>
      </c>
      <c r="BB25" s="235">
        <v>0.33498541593246228</v>
      </c>
      <c r="BC25" s="38">
        <f t="shared" si="66"/>
        <v>43.671912860012895</v>
      </c>
      <c r="BD25" s="38">
        <f t="shared" si="67"/>
        <v>88.26058865683946</v>
      </c>
      <c r="BE25" s="38">
        <f t="shared" si="68"/>
        <v>50.399637149829331</v>
      </c>
      <c r="BF25" s="38">
        <f t="shared" si="69"/>
        <v>47.982534061310041</v>
      </c>
      <c r="BG25" s="38">
        <f t="shared" si="70"/>
        <v>74.143788432588977</v>
      </c>
      <c r="BH25" s="38">
        <f t="shared" si="71"/>
        <v>19.193250531364534</v>
      </c>
      <c r="BI25" s="417">
        <f t="shared" si="22"/>
        <v>180</v>
      </c>
      <c r="BJ25" s="241">
        <f t="shared" si="73"/>
        <v>1.4628263868622513</v>
      </c>
      <c r="BK25" s="35">
        <f t="shared" si="24"/>
        <v>1.3996974625183303</v>
      </c>
      <c r="BL25" s="35">
        <f t="shared" si="74"/>
        <v>0.83862369181549812</v>
      </c>
      <c r="BM25" s="37">
        <f t="shared" si="26"/>
        <v>-0.37350135586837696</v>
      </c>
      <c r="BN25" s="37">
        <f t="shared" si="27"/>
        <v>0.75085713264158294</v>
      </c>
      <c r="BO25" s="37">
        <f>0</f>
        <v>0</v>
      </c>
      <c r="BP25" s="37">
        <f t="shared" si="28"/>
        <v>-2.4868789280446293E-2</v>
      </c>
      <c r="BQ25" s="37">
        <f t="shared" si="29"/>
        <v>-0.5220033098624226</v>
      </c>
      <c r="BR25" s="39">
        <f t="shared" si="30"/>
        <v>-0.63098547172124975</v>
      </c>
      <c r="BS25" s="35">
        <f t="shared" si="75"/>
        <v>2.0227866929273643</v>
      </c>
      <c r="BT25" s="35">
        <f t="shared" si="76"/>
        <v>1.6928246486169209</v>
      </c>
      <c r="BU25" s="35">
        <f t="shared" si="33"/>
        <v>1.1610760921902452</v>
      </c>
      <c r="BV25" s="37">
        <f t="shared" si="34"/>
        <v>0.74553335567421053</v>
      </c>
      <c r="BW25" s="37">
        <f t="shared" si="35"/>
        <v>0.82749125502113863</v>
      </c>
      <c r="BX25" s="37">
        <f>0</f>
        <v>0</v>
      </c>
      <c r="BY25" s="37">
        <f t="shared" si="36"/>
        <v>1.2294980063771812</v>
      </c>
      <c r="BZ25" s="37">
        <f t="shared" si="37"/>
        <v>-1.0989315539603606</v>
      </c>
      <c r="CA25" s="39">
        <f t="shared" si="38"/>
        <v>-0.38254330864596942</v>
      </c>
      <c r="CC25" s="354" t="str">
        <f t="shared" si="39"/>
        <v>2.0</v>
      </c>
      <c r="CD25" s="354" t="str">
        <f t="shared" si="40"/>
        <v>2.0</v>
      </c>
      <c r="CE25" s="354" t="str">
        <f t="shared" si="41"/>
        <v>1.16</v>
      </c>
      <c r="CF25" s="354" t="str">
        <f t="shared" si="42"/>
        <v>1.56</v>
      </c>
      <c r="CG25" s="354" t="str">
        <f t="shared" si="43"/>
        <v>3.141592653589793</v>
      </c>
      <c r="CH25" s="354" t="str">
        <f t="shared" si="54"/>
        <v>1.0873667968351899</v>
      </c>
      <c r="CI25" s="354" t="str">
        <f t="shared" si="55"/>
        <v>0.819297612416201</v>
      </c>
      <c r="CJ25" s="354" t="str">
        <f t="shared" si="56"/>
        <v>0.762218670051279</v>
      </c>
      <c r="CK25" s="354" t="str">
        <f t="shared" si="57"/>
        <v>1.540437871810208</v>
      </c>
      <c r="CL25" s="354" t="str">
        <f t="shared" si="58"/>
        <v>0.879639610074972</v>
      </c>
      <c r="CM25" s="354" t="str">
        <f t="shared" si="59"/>
        <v>1.113805082390679</v>
      </c>
      <c r="CN25" s="354" t="str">
        <f t="shared" si="60"/>
        <v>1.20963693357478</v>
      </c>
      <c r="CO25" s="354" t="str">
        <f t="shared" si="61"/>
        <v>0.837453202820187</v>
      </c>
      <c r="CP25" s="354" t="str">
        <f t="shared" si="62"/>
        <v>1.294053228050763</v>
      </c>
      <c r="CQ25" s="354" t="str">
        <f t="shared" si="63"/>
        <v>0.334985415932462</v>
      </c>
      <c r="CT25" s="394" t="str">
        <f ca="1">Rotation!BA104</f>
        <v>-</v>
      </c>
      <c r="CU25" s="394" t="str">
        <f ca="1">Rotation!BB104</f>
        <v>-</v>
      </c>
      <c r="CV25" s="394">
        <v>0.45672964741150507</v>
      </c>
      <c r="CW25" s="398" t="e">
        <f t="shared" ca="1" si="64"/>
        <v>#VALUE!</v>
      </c>
      <c r="CX25" s="394" t="str">
        <f ca="1">Rotation!BC104</f>
        <v>-</v>
      </c>
      <c r="CY25" s="394" t="str">
        <f ca="1">Rotation!BD104</f>
        <v>-</v>
      </c>
      <c r="CZ25" s="394">
        <v>0.33587353591635016</v>
      </c>
      <c r="DA25" s="398" t="e">
        <f t="shared" ca="1" si="65"/>
        <v>#VALUE!</v>
      </c>
    </row>
    <row r="26" spans="1:105" s="56" customFormat="1" ht="15" customHeight="1">
      <c r="A26" s="536"/>
      <c r="B26" s="35">
        <v>-13.61806</v>
      </c>
      <c r="C26" s="36">
        <v>4</v>
      </c>
      <c r="D26" s="35">
        <v>-11.260300000000001</v>
      </c>
      <c r="E26" s="36">
        <v>2</v>
      </c>
      <c r="F26" s="36">
        <v>-10.36</v>
      </c>
      <c r="G26" s="257">
        <v>4</v>
      </c>
      <c r="H26" s="267" t="s">
        <v>19</v>
      </c>
      <c r="I26" s="262">
        <v>2</v>
      </c>
      <c r="J26" s="36">
        <v>1</v>
      </c>
      <c r="K26" s="37">
        <v>1.1599999999999999</v>
      </c>
      <c r="L26" s="37">
        <v>1.56</v>
      </c>
      <c r="M26" s="37">
        <v>3.1415926535897931</v>
      </c>
      <c r="N26" s="37">
        <v>-6.51</v>
      </c>
      <c r="O26" s="37">
        <v>-3.16</v>
      </c>
      <c r="P26" s="35">
        <v>0.71199999999999997</v>
      </c>
      <c r="Q26" s="318">
        <f t="shared" si="45"/>
        <v>-16.100001877371621</v>
      </c>
      <c r="R26" s="318">
        <f t="shared" si="46"/>
        <v>-15.450001939462311</v>
      </c>
      <c r="S26" s="318">
        <f t="shared" si="47"/>
        <v>-18.000000376702175</v>
      </c>
      <c r="T26" s="37">
        <f t="shared" si="48"/>
        <v>-11.180000000012592</v>
      </c>
      <c r="U26" s="414">
        <v>15.9994</v>
      </c>
      <c r="V26" s="37">
        <v>12.0107</v>
      </c>
      <c r="W26" s="413">
        <v>32.064999999999998</v>
      </c>
      <c r="X26" s="37">
        <v>-11.18</v>
      </c>
      <c r="Y26" s="318">
        <f t="shared" si="0"/>
        <v>-15.45</v>
      </c>
      <c r="Z26" s="318">
        <f t="shared" si="1"/>
        <v>-16.100000000000001</v>
      </c>
      <c r="AA26" s="334">
        <f t="shared" si="2"/>
        <v>-18</v>
      </c>
      <c r="AB26" s="253">
        <f t="shared" si="3"/>
        <v>7.4279427914567465E-12</v>
      </c>
      <c r="AC26" s="30" t="b">
        <f t="shared" si="4"/>
        <v>1</v>
      </c>
      <c r="AD26" s="31">
        <f t="shared" si="5"/>
        <v>-6.5099999999362295</v>
      </c>
      <c r="AE26" s="31">
        <f t="shared" si="6"/>
        <v>-3.159999999994751</v>
      </c>
      <c r="AF26" s="31">
        <f t="shared" si="7"/>
        <v>0.71199999997259422</v>
      </c>
      <c r="AG26" s="31">
        <f t="shared" si="72"/>
        <v>-11.180000000012592</v>
      </c>
      <c r="AH26" s="31">
        <f t="shared" si="9"/>
        <v>-15.450001939462311</v>
      </c>
      <c r="AI26" s="31">
        <f t="shared" si="10"/>
        <v>-16.100001877371621</v>
      </c>
      <c r="AJ26" s="31">
        <f t="shared" si="11"/>
        <v>-18.000000376702175</v>
      </c>
      <c r="AK26" s="31">
        <f t="shared" si="12"/>
        <v>-16.100001877371621</v>
      </c>
      <c r="AL26" s="31">
        <f t="shared" si="13"/>
        <v>-15.450001939462311</v>
      </c>
      <c r="AM26" s="31">
        <f t="shared" si="14"/>
        <v>-18.000000376702175</v>
      </c>
      <c r="AN26" s="31">
        <f t="shared" si="15"/>
        <v>-11.180000000012592</v>
      </c>
      <c r="AO26" s="30" t="s">
        <v>388</v>
      </c>
      <c r="AP26" s="30">
        <v>-15.45</v>
      </c>
      <c r="AQ26" s="30">
        <v>-16.100000000000001</v>
      </c>
      <c r="AR26" s="246">
        <v>-18</v>
      </c>
      <c r="AS26" s="241">
        <v>0.82297041053342213</v>
      </c>
      <c r="AT26" s="35">
        <v>0.74140561691370599</v>
      </c>
      <c r="AU26" s="37">
        <v>1.4054524093866567</v>
      </c>
      <c r="AV26" s="37">
        <v>2.2017864071045539</v>
      </c>
      <c r="AW26" s="37">
        <v>1.0675947006924105</v>
      </c>
      <c r="AX26" s="35">
        <v>0.73646281300895733</v>
      </c>
      <c r="AY26" s="35">
        <v>1.1465893077002511</v>
      </c>
      <c r="AZ26" s="37">
        <v>1.8086709418597284</v>
      </c>
      <c r="BA26" s="37">
        <v>1.4629959496312179</v>
      </c>
      <c r="BB26" s="235">
        <v>0.25108806703515435</v>
      </c>
      <c r="BC26" s="38">
        <f t="shared" si="66"/>
        <v>80.526491364348189</v>
      </c>
      <c r="BD26" s="38">
        <f t="shared" si="67"/>
        <v>126.15306851636423</v>
      </c>
      <c r="BE26" s="38">
        <f t="shared" si="68"/>
        <v>61.168670580207468</v>
      </c>
      <c r="BF26" s="38">
        <f t="shared" si="69"/>
        <v>103.62921149651393</v>
      </c>
      <c r="BG26" s="38">
        <f t="shared" si="70"/>
        <v>83.823493358602761</v>
      </c>
      <c r="BH26" s="38">
        <f t="shared" si="71"/>
        <v>14.386286527212237</v>
      </c>
      <c r="BI26" s="417">
        <f t="shared" si="22"/>
        <v>180</v>
      </c>
      <c r="BJ26" s="241">
        <f t="shared" si="73"/>
        <v>1.9034801705160365</v>
      </c>
      <c r="BK26" s="35">
        <f t="shared" si="24"/>
        <v>1.7058788941375325</v>
      </c>
      <c r="BL26" s="35">
        <f t="shared" si="74"/>
        <v>1.3071446131521605</v>
      </c>
      <c r="BM26" s="37">
        <f t="shared" si="26"/>
        <v>-1.0245460099479147</v>
      </c>
      <c r="BN26" s="37">
        <f t="shared" si="27"/>
        <v>0.8117465818791717</v>
      </c>
      <c r="BO26" s="37">
        <f>0</f>
        <v>0</v>
      </c>
      <c r="BP26" s="37">
        <f t="shared" si="28"/>
        <v>0.43738815201409392</v>
      </c>
      <c r="BQ26" s="37">
        <f t="shared" si="29"/>
        <v>-0.28868545284774244</v>
      </c>
      <c r="BR26" s="39">
        <f t="shared" si="30"/>
        <v>-0.52443741531567201</v>
      </c>
      <c r="BS26" s="35">
        <f t="shared" si="75"/>
        <v>2.4464184354731615</v>
      </c>
      <c r="BT26" s="35">
        <f t="shared" si="76"/>
        <v>1.8339500845299488</v>
      </c>
      <c r="BU26" s="35">
        <f t="shared" si="33"/>
        <v>1.8754778374862753</v>
      </c>
      <c r="BV26" s="37">
        <f t="shared" si="34"/>
        <v>-0.17353834742215679</v>
      </c>
      <c r="BW26" s="37">
        <f t="shared" si="35"/>
        <v>0.71572474941073072</v>
      </c>
      <c r="BX26" s="37">
        <f>0</f>
        <v>0</v>
      </c>
      <c r="BY26" s="37">
        <f t="shared" si="36"/>
        <v>1.436636497440662</v>
      </c>
      <c r="BZ26" s="37">
        <f t="shared" si="37"/>
        <v>-1.1041882567337453</v>
      </c>
      <c r="CA26" s="39">
        <f t="shared" si="38"/>
        <v>-0.2832256705528744</v>
      </c>
      <c r="CC26" s="354" t="str">
        <f t="shared" si="39"/>
        <v>2.0</v>
      </c>
      <c r="CD26" s="354" t="str">
        <f t="shared" si="40"/>
        <v>1.0</v>
      </c>
      <c r="CE26" s="354" t="str">
        <f t="shared" si="41"/>
        <v>1.16</v>
      </c>
      <c r="CF26" s="354" t="str">
        <f t="shared" si="42"/>
        <v>1.56</v>
      </c>
      <c r="CG26" s="354" t="str">
        <f t="shared" si="43"/>
        <v>3.141592653589793</v>
      </c>
      <c r="CH26" s="354" t="str">
        <f t="shared" si="54"/>
        <v>0.822970410533422</v>
      </c>
      <c r="CI26" s="354" t="str">
        <f t="shared" si="55"/>
        <v>0.741405616913706</v>
      </c>
      <c r="CJ26" s="354" t="str">
        <f t="shared" si="56"/>
        <v>1.405452409386657</v>
      </c>
      <c r="CK26" s="354" t="str">
        <f t="shared" si="57"/>
        <v>2.201786407104554</v>
      </c>
      <c r="CL26" s="354" t="str">
        <f t="shared" si="58"/>
        <v>1.0675947006924105</v>
      </c>
      <c r="CM26" s="354" t="str">
        <f t="shared" si="59"/>
        <v>0.736462813008957</v>
      </c>
      <c r="CN26" s="354" t="str">
        <f t="shared" si="60"/>
        <v>1.146589307700251</v>
      </c>
      <c r="CO26" s="354" t="str">
        <f t="shared" si="61"/>
        <v>1.808670941859728</v>
      </c>
      <c r="CP26" s="354" t="str">
        <f t="shared" si="62"/>
        <v>1.462995949631218</v>
      </c>
      <c r="CQ26" s="354" t="str">
        <f t="shared" si="63"/>
        <v>0.251088067035154</v>
      </c>
      <c r="CT26" s="394" t="str">
        <f ca="1">Rotation!BA105</f>
        <v>-</v>
      </c>
      <c r="CU26" s="394" t="str">
        <f ca="1">Rotation!BB105</f>
        <v>-</v>
      </c>
      <c r="CV26" s="394">
        <v>0.64772588116054275</v>
      </c>
      <c r="CW26" s="398" t="e">
        <f t="shared" ca="1" si="64"/>
        <v>#VALUE!</v>
      </c>
      <c r="CX26" s="394" t="str">
        <f ca="1">Rotation!BC105</f>
        <v>-</v>
      </c>
      <c r="CY26" s="394" t="str">
        <f ca="1">Rotation!BD105</f>
        <v>-</v>
      </c>
      <c r="CZ26" s="394">
        <v>0.28274496061731952</v>
      </c>
      <c r="DA26" s="398" t="e">
        <f t="shared" ca="1" si="65"/>
        <v>#VALUE!</v>
      </c>
    </row>
    <row r="27" spans="1:105" s="56" customFormat="1" ht="15" customHeight="1">
      <c r="A27" s="536"/>
      <c r="B27" s="35">
        <v>-13.61806</v>
      </c>
      <c r="C27" s="36">
        <v>4</v>
      </c>
      <c r="D27" s="35">
        <v>-11.260300000000001</v>
      </c>
      <c r="E27" s="36">
        <v>2</v>
      </c>
      <c r="F27" s="36">
        <v>-10.36</v>
      </c>
      <c r="G27" s="257">
        <v>4</v>
      </c>
      <c r="H27" s="267" t="s">
        <v>19</v>
      </c>
      <c r="I27" s="262">
        <v>2</v>
      </c>
      <c r="J27" s="36">
        <v>1</v>
      </c>
      <c r="K27" s="37">
        <v>1.1599999999999999</v>
      </c>
      <c r="L27" s="37">
        <v>1.56</v>
      </c>
      <c r="M27" s="37">
        <v>3.1415926535897931</v>
      </c>
      <c r="N27" s="37">
        <v>-6.51</v>
      </c>
      <c r="O27" s="37">
        <v>-3.16</v>
      </c>
      <c r="P27" s="35">
        <v>0.65</v>
      </c>
      <c r="Q27" s="318">
        <f t="shared" si="45"/>
        <v>-16.099999851476017</v>
      </c>
      <c r="R27" s="318">
        <f t="shared" si="46"/>
        <v>-15.450001406196005</v>
      </c>
      <c r="S27" s="318">
        <f t="shared" si="47"/>
        <v>-18.000002589808375</v>
      </c>
      <c r="T27" s="37">
        <f t="shared" si="48"/>
        <v>-11.180000000021026</v>
      </c>
      <c r="U27" s="414">
        <v>15.9994</v>
      </c>
      <c r="V27" s="37">
        <v>12.0107</v>
      </c>
      <c r="W27" s="413">
        <v>32.064999999999998</v>
      </c>
      <c r="X27" s="37">
        <v>-11.18</v>
      </c>
      <c r="Y27" s="318">
        <f t="shared" si="0"/>
        <v>-15.45</v>
      </c>
      <c r="Z27" s="318">
        <f t="shared" si="1"/>
        <v>-16.100000000000001</v>
      </c>
      <c r="AA27" s="334">
        <f t="shared" si="2"/>
        <v>-18</v>
      </c>
      <c r="AB27" s="253">
        <f t="shared" si="3"/>
        <v>8.7065540098514054E-12</v>
      </c>
      <c r="AC27" s="30" t="b">
        <f t="shared" si="4"/>
        <v>1</v>
      </c>
      <c r="AD27" s="31">
        <f t="shared" si="5"/>
        <v>-6.5099999998999047</v>
      </c>
      <c r="AE27" s="31">
        <f t="shared" si="6"/>
        <v>-3.159999999992738</v>
      </c>
      <c r="AF27" s="31">
        <f t="shared" si="7"/>
        <v>0.64999999999410452</v>
      </c>
      <c r="AG27" s="31">
        <f t="shared" si="72"/>
        <v>-11.180000000021026</v>
      </c>
      <c r="AH27" s="31">
        <f t="shared" si="9"/>
        <v>-15.450001406196005</v>
      </c>
      <c r="AI27" s="31">
        <f t="shared" si="10"/>
        <v>-16.099999851476017</v>
      </c>
      <c r="AJ27" s="31">
        <f t="shared" si="11"/>
        <v>-18.000002589808375</v>
      </c>
      <c r="AK27" s="31">
        <f t="shared" si="12"/>
        <v>-16.099999851476017</v>
      </c>
      <c r="AL27" s="31">
        <f t="shared" si="13"/>
        <v>-15.450001406196005</v>
      </c>
      <c r="AM27" s="31">
        <f t="shared" si="14"/>
        <v>-18.000002589808375</v>
      </c>
      <c r="AN27" s="31">
        <f t="shared" si="15"/>
        <v>-11.180000000021026</v>
      </c>
      <c r="AO27" s="30" t="s">
        <v>388</v>
      </c>
      <c r="AP27" s="30">
        <v>-15.45</v>
      </c>
      <c r="AQ27" s="30">
        <v>-16.100000000000001</v>
      </c>
      <c r="AR27" s="246">
        <v>-18</v>
      </c>
      <c r="AS27" s="241">
        <v>0.81393905966474922</v>
      </c>
      <c r="AT27" s="35">
        <v>0.74254508942105613</v>
      </c>
      <c r="AU27" s="37">
        <v>1.4446297572331275</v>
      </c>
      <c r="AV27" s="37">
        <v>2.1848583307890488</v>
      </c>
      <c r="AW27" s="37">
        <v>0.99898739886964238</v>
      </c>
      <c r="AX27" s="35">
        <v>0.7386920796442914</v>
      </c>
      <c r="AY27" s="35">
        <v>1.1390357246386551</v>
      </c>
      <c r="AZ27" s="37">
        <v>1.7826865446528526</v>
      </c>
      <c r="BA27" s="37">
        <v>1.4876549243925239</v>
      </c>
      <c r="BB27" s="235">
        <v>0.19800192393487445</v>
      </c>
      <c r="BC27" s="38">
        <f t="shared" si="66"/>
        <v>82.771188048466911</v>
      </c>
      <c r="BD27" s="38">
        <f t="shared" si="67"/>
        <v>125.18316118821042</v>
      </c>
      <c r="BE27" s="38">
        <f t="shared" si="68"/>
        <v>57.237761741982652</v>
      </c>
      <c r="BF27" s="38">
        <f t="shared" si="69"/>
        <v>102.14041520336843</v>
      </c>
      <c r="BG27" s="38">
        <f t="shared" si="70"/>
        <v>85.236348539545205</v>
      </c>
      <c r="BH27" s="38">
        <f t="shared" si="71"/>
        <v>11.344674576938663</v>
      </c>
      <c r="BI27" s="417">
        <f t="shared" si="22"/>
        <v>180</v>
      </c>
      <c r="BJ27" s="241">
        <f t="shared" si="73"/>
        <v>1.9383516811187136</v>
      </c>
      <c r="BK27" s="35">
        <f t="shared" si="24"/>
        <v>1.6998770724211927</v>
      </c>
      <c r="BL27" s="35">
        <f t="shared" si="74"/>
        <v>1.3305950356819671</v>
      </c>
      <c r="BM27" s="37">
        <f t="shared" si="26"/>
        <v>-1.0575803259196377</v>
      </c>
      <c r="BN27" s="37">
        <f t="shared" si="27"/>
        <v>0.80746950605531143</v>
      </c>
      <c r="BO27" s="37">
        <f>0</f>
        <v>0</v>
      </c>
      <c r="BP27" s="37">
        <f t="shared" si="28"/>
        <v>0.42784864289651764</v>
      </c>
      <c r="BQ27" s="37">
        <f t="shared" si="29"/>
        <v>-0.32842247448106399</v>
      </c>
      <c r="BR27" s="39">
        <f t="shared" si="30"/>
        <v>-0.51035029817828792</v>
      </c>
      <c r="BS27" s="35">
        <f t="shared" si="75"/>
        <v>2.4585147746397902</v>
      </c>
      <c r="BT27" s="35">
        <f t="shared" si="76"/>
        <v>1.8536114644005193</v>
      </c>
      <c r="BU27" s="35">
        <f t="shared" si="33"/>
        <v>1.8611736605469777</v>
      </c>
      <c r="BV27" s="37">
        <f t="shared" si="34"/>
        <v>-0.1553530148027657</v>
      </c>
      <c r="BW27" s="37">
        <f t="shared" si="35"/>
        <v>0.72217132961707897</v>
      </c>
      <c r="BX27" s="37">
        <f>0</f>
        <v>0</v>
      </c>
      <c r="BY27" s="37">
        <f t="shared" si="36"/>
        <v>1.4654080381262604</v>
      </c>
      <c r="BZ27" s="37">
        <f t="shared" si="37"/>
        <v>-1.112923117018489</v>
      </c>
      <c r="CA27" s="39">
        <f t="shared" si="38"/>
        <v>-0.2232865386847874</v>
      </c>
      <c r="CC27" s="354" t="str">
        <f t="shared" si="39"/>
        <v>2.0</v>
      </c>
      <c r="CD27" s="354" t="str">
        <f t="shared" si="40"/>
        <v>1.0</v>
      </c>
      <c r="CE27" s="354" t="str">
        <f t="shared" si="41"/>
        <v>1.16</v>
      </c>
      <c r="CF27" s="354" t="str">
        <f t="shared" si="42"/>
        <v>1.56</v>
      </c>
      <c r="CG27" s="354" t="str">
        <f t="shared" si="43"/>
        <v>3.141592653589793</v>
      </c>
      <c r="CH27" s="354" t="str">
        <f t="shared" si="54"/>
        <v>0.813939059664749</v>
      </c>
      <c r="CI27" s="354" t="str">
        <f t="shared" si="55"/>
        <v>0.742545089421056</v>
      </c>
      <c r="CJ27" s="354" t="str">
        <f t="shared" si="56"/>
        <v>1.444629757233127</v>
      </c>
      <c r="CK27" s="354" t="str">
        <f t="shared" si="57"/>
        <v>2.184858330789049</v>
      </c>
      <c r="CL27" s="354" t="str">
        <f t="shared" si="58"/>
        <v>0.998987398869642</v>
      </c>
      <c r="CM27" s="354" t="str">
        <f t="shared" si="59"/>
        <v>0.738692079644291</v>
      </c>
      <c r="CN27" s="354" t="str">
        <f t="shared" si="60"/>
        <v>1.139035724638655</v>
      </c>
      <c r="CO27" s="354" t="str">
        <f t="shared" si="61"/>
        <v>1.782686544652853</v>
      </c>
      <c r="CP27" s="354" t="str">
        <f t="shared" si="62"/>
        <v>1.487654924392524</v>
      </c>
      <c r="CQ27" s="354" t="str">
        <f t="shared" si="63"/>
        <v>0.198001923934874</v>
      </c>
      <c r="CT27" s="394" t="str">
        <f ca="1">Rotation!BA106</f>
        <v>-</v>
      </c>
      <c r="CU27" s="394" t="str">
        <f ca="1">Rotation!BB106</f>
        <v>-</v>
      </c>
      <c r="CV27" s="394">
        <v>0.63901901912207937</v>
      </c>
      <c r="CW27" s="398" t="e">
        <f t="shared" ca="1" si="64"/>
        <v>#VALUE!</v>
      </c>
      <c r="CX27" s="394" t="str">
        <f ca="1">Rotation!BC106</f>
        <v>-</v>
      </c>
      <c r="CY27" s="394" t="str">
        <f ca="1">Rotation!BD106</f>
        <v>-</v>
      </c>
      <c r="CZ27" s="394">
        <v>0.28812901955527187</v>
      </c>
      <c r="DA27" s="398" t="e">
        <f t="shared" ca="1" si="65"/>
        <v>#VALUE!</v>
      </c>
    </row>
    <row r="28" spans="1:105" s="56" customFormat="1" ht="15" customHeight="1">
      <c r="A28" s="536" t="s">
        <v>369</v>
      </c>
      <c r="B28" s="35">
        <v>-13.61806</v>
      </c>
      <c r="C28" s="36">
        <v>4</v>
      </c>
      <c r="D28" s="35">
        <v>-11.260300000000001</v>
      </c>
      <c r="E28" s="36">
        <v>2</v>
      </c>
      <c r="F28" s="36">
        <v>-9.75</v>
      </c>
      <c r="G28" s="257">
        <v>4</v>
      </c>
      <c r="H28" s="267" t="s">
        <v>19</v>
      </c>
      <c r="I28" s="262">
        <v>2</v>
      </c>
      <c r="J28" s="36">
        <v>2</v>
      </c>
      <c r="K28" s="37">
        <v>1.1533</v>
      </c>
      <c r="L28" s="37">
        <v>1.7098</v>
      </c>
      <c r="M28" s="37">
        <v>3.1415926535897931</v>
      </c>
      <c r="N28" s="37">
        <v>-6.6</v>
      </c>
      <c r="O28" s="37">
        <v>-2.69</v>
      </c>
      <c r="P28" s="35">
        <v>2.98</v>
      </c>
      <c r="Q28" s="37">
        <f t="shared" si="45"/>
        <v>-17.583525943402726</v>
      </c>
      <c r="R28" s="37">
        <f t="shared" si="46"/>
        <v>-9.5857656564150506</v>
      </c>
      <c r="S28" s="37">
        <f t="shared" si="47"/>
        <v>-18.866297145572034</v>
      </c>
      <c r="T28" s="37">
        <f t="shared" si="48"/>
        <v>-9.5800000000174297</v>
      </c>
      <c r="U28" s="414">
        <v>15.9994</v>
      </c>
      <c r="V28" s="37">
        <v>12.0107</v>
      </c>
      <c r="W28" s="37">
        <v>78.971000000000004</v>
      </c>
      <c r="X28" s="37">
        <v>-9.58</v>
      </c>
      <c r="Y28" s="37">
        <f t="shared" si="0"/>
        <v>-9.5857656564150506</v>
      </c>
      <c r="Z28" s="37">
        <f t="shared" si="1"/>
        <v>-17.583525943402726</v>
      </c>
      <c r="AA28" s="39">
        <f t="shared" si="2"/>
        <v>-18.866297145572034</v>
      </c>
      <c r="AB28" s="253">
        <f t="shared" si="3"/>
        <v>1.7478708678093826E-20</v>
      </c>
      <c r="AC28" s="30" t="b">
        <f t="shared" si="4"/>
        <v>1</v>
      </c>
      <c r="AD28" s="31">
        <f t="shared" si="5"/>
        <v>-6.6000000001289907</v>
      </c>
      <c r="AE28" s="31">
        <f t="shared" si="6"/>
        <v>-2.6899999999800719</v>
      </c>
      <c r="AF28" s="31">
        <f t="shared" si="7"/>
        <v>2.9799999999882059</v>
      </c>
      <c r="AG28" s="31">
        <f t="shared" si="72"/>
        <v>-9.5800000000174297</v>
      </c>
      <c r="AH28" s="31">
        <f t="shared" si="9"/>
        <v>-9.5857656564150506</v>
      </c>
      <c r="AI28" s="31">
        <f t="shared" si="10"/>
        <v>-17.583525943402726</v>
      </c>
      <c r="AJ28" s="31">
        <f t="shared" si="11"/>
        <v>-18.866297145572034</v>
      </c>
      <c r="AK28" s="31">
        <f t="shared" si="12"/>
        <v>-17.583525943402726</v>
      </c>
      <c r="AL28" s="31">
        <f t="shared" si="13"/>
        <v>-9.5857656564150506</v>
      </c>
      <c r="AM28" s="31">
        <f t="shared" si="14"/>
        <v>-18.866297145572034</v>
      </c>
      <c r="AN28" s="31">
        <f t="shared" si="15"/>
        <v>-9.5800000000174297</v>
      </c>
      <c r="AO28" s="30"/>
      <c r="AP28" s="30"/>
      <c r="AQ28" s="30"/>
      <c r="AR28" s="246"/>
      <c r="AS28" s="241">
        <v>0.93768447011373401</v>
      </c>
      <c r="AT28" s="35">
        <v>1.2197517019927535</v>
      </c>
      <c r="AU28" s="37">
        <v>0.95380239407036871</v>
      </c>
      <c r="AV28" s="37">
        <v>1.2637352972654101</v>
      </c>
      <c r="AW28" s="37">
        <v>0.56382967531712425</v>
      </c>
      <c r="AX28" s="35">
        <v>0.83837222871979888</v>
      </c>
      <c r="AY28" s="35">
        <v>1.3893356057076507</v>
      </c>
      <c r="AZ28" s="37">
        <v>0.97932910057445133</v>
      </c>
      <c r="BA28" s="37">
        <v>1.2938987057284268</v>
      </c>
      <c r="BB28" s="235">
        <v>0.48696955903413919</v>
      </c>
      <c r="BC28" s="38">
        <f t="shared" si="66"/>
        <v>54.648851669705905</v>
      </c>
      <c r="BD28" s="38">
        <f t="shared" si="67"/>
        <v>72.406698955018484</v>
      </c>
      <c r="BE28" s="38">
        <f t="shared" si="68"/>
        <v>32.305060759902744</v>
      </c>
      <c r="BF28" s="38">
        <f t="shared" si="69"/>
        <v>56.111424217258985</v>
      </c>
      <c r="BG28" s="38">
        <f t="shared" si="70"/>
        <v>74.134934955678531</v>
      </c>
      <c r="BH28" s="38">
        <f t="shared" si="71"/>
        <v>27.901300484002967</v>
      </c>
      <c r="BI28" s="417">
        <f t="shared" si="22"/>
        <v>180</v>
      </c>
      <c r="BJ28" s="241">
        <f t="shared" si="73"/>
        <v>1.870444764354213</v>
      </c>
      <c r="BK28" s="35">
        <f t="shared" si="24"/>
        <v>1.4026750300351243</v>
      </c>
      <c r="BL28" s="35">
        <f t="shared" si="74"/>
        <v>0.97874965079209397</v>
      </c>
      <c r="BM28" s="37">
        <f t="shared" si="26"/>
        <v>-0.61076892544575201</v>
      </c>
      <c r="BN28" s="37">
        <f t="shared" si="27"/>
        <v>0.76479552733752787</v>
      </c>
      <c r="BO28" s="37">
        <f>0</f>
        <v>0</v>
      </c>
      <c r="BP28" s="37">
        <f t="shared" si="28"/>
        <v>-0.36868024999140825</v>
      </c>
      <c r="BQ28" s="37">
        <f t="shared" si="29"/>
        <v>-0.9827302524465944</v>
      </c>
      <c r="BR28" s="39">
        <f t="shared" si="30"/>
        <v>-0.6213777745516369</v>
      </c>
      <c r="BS28" s="35">
        <f t="shared" si="75"/>
        <v>2.1582959714075867</v>
      </c>
      <c r="BT28" s="35">
        <f t="shared" si="76"/>
        <v>1.8854397634808193</v>
      </c>
      <c r="BU28" s="35">
        <f t="shared" si="33"/>
        <v>1.4239945124335469</v>
      </c>
      <c r="BV28" s="37">
        <f t="shared" si="34"/>
        <v>0.46745925325995669</v>
      </c>
      <c r="BW28" s="37">
        <f t="shared" si="35"/>
        <v>0.69595246995053228</v>
      </c>
      <c r="BX28" s="37">
        <f>0</f>
        <v>0</v>
      </c>
      <c r="BY28" s="37">
        <f t="shared" si="36"/>
        <v>1.3299934835733898</v>
      </c>
      <c r="BZ28" s="37">
        <f t="shared" si="37"/>
        <v>-1.1810619237054418</v>
      </c>
      <c r="CA28" s="39">
        <f t="shared" si="38"/>
        <v>-0.62537442203861215</v>
      </c>
      <c r="CC28" s="354" t="str">
        <f t="shared" si="39"/>
        <v>2.0</v>
      </c>
      <c r="CD28" s="354" t="str">
        <f t="shared" si="40"/>
        <v>2.0</v>
      </c>
      <c r="CE28" s="354" t="str">
        <f t="shared" si="41"/>
        <v>1.1533</v>
      </c>
      <c r="CF28" s="354" t="str">
        <f t="shared" si="42"/>
        <v>1.7098</v>
      </c>
      <c r="CG28" s="354" t="str">
        <f t="shared" si="43"/>
        <v>3.141592653589793</v>
      </c>
      <c r="CH28" s="354" t="str">
        <f t="shared" si="54"/>
        <v>0.937684470113734</v>
      </c>
      <c r="CI28" s="354" t="str">
        <f t="shared" si="55"/>
        <v>1.219751701992754</v>
      </c>
      <c r="CJ28" s="354" t="str">
        <f t="shared" si="56"/>
        <v>0.953802394070369</v>
      </c>
      <c r="CK28" s="354" t="str">
        <f t="shared" si="57"/>
        <v>1.26373529726541</v>
      </c>
      <c r="CL28" s="354" t="str">
        <f t="shared" si="58"/>
        <v>0.563829675317124</v>
      </c>
      <c r="CM28" s="354" t="str">
        <f t="shared" si="59"/>
        <v>0.838372228719799</v>
      </c>
      <c r="CN28" s="354" t="str">
        <f t="shared" si="60"/>
        <v>1.389335605707651</v>
      </c>
      <c r="CO28" s="354" t="str">
        <f t="shared" si="61"/>
        <v>0.979329100574451</v>
      </c>
      <c r="CP28" s="354" t="str">
        <f t="shared" si="62"/>
        <v>1.293898705728427</v>
      </c>
      <c r="CQ28" s="354" t="str">
        <f t="shared" si="63"/>
        <v>0.486969559034139</v>
      </c>
      <c r="CT28" s="394" t="str">
        <f ca="1">Rotation!BA107</f>
        <v>-</v>
      </c>
      <c r="CU28" s="394" t="str">
        <f ca="1">Rotation!BB107</f>
        <v>-</v>
      </c>
      <c r="CV28" s="394">
        <v>0.30200411533675092</v>
      </c>
      <c r="CW28" s="398" t="e">
        <f t="shared" ca="1" si="64"/>
        <v>#VALUE!</v>
      </c>
      <c r="CX28" s="394" t="str">
        <f ca="1">Rotation!BC107</f>
        <v>-</v>
      </c>
      <c r="CY28" s="394" t="str">
        <f ca="1">Rotation!BD107</f>
        <v>-</v>
      </c>
      <c r="CZ28" s="394">
        <v>0.21335722113458408</v>
      </c>
      <c r="DA28" s="398" t="e">
        <f t="shared" ca="1" si="65"/>
        <v>#VALUE!</v>
      </c>
    </row>
    <row r="29" spans="1:105" s="56" customFormat="1" ht="15" customHeight="1">
      <c r="A29" s="536"/>
      <c r="B29" s="35">
        <v>-13.61806</v>
      </c>
      <c r="C29" s="36">
        <v>4</v>
      </c>
      <c r="D29" s="35">
        <v>-11.260300000000001</v>
      </c>
      <c r="E29" s="36">
        <v>2</v>
      </c>
      <c r="F29" s="36">
        <v>-9.75</v>
      </c>
      <c r="G29" s="257">
        <v>4</v>
      </c>
      <c r="H29" s="267" t="s">
        <v>19</v>
      </c>
      <c r="I29" s="262">
        <v>2</v>
      </c>
      <c r="J29" s="36">
        <v>2</v>
      </c>
      <c r="K29" s="37">
        <v>1.1533</v>
      </c>
      <c r="L29" s="37">
        <v>1.7098</v>
      </c>
      <c r="M29" s="37">
        <v>3.1415926535897931</v>
      </c>
      <c r="N29" s="37">
        <v>-6.6</v>
      </c>
      <c r="O29" s="37">
        <v>-2.69</v>
      </c>
      <c r="P29" s="35">
        <v>0.754</v>
      </c>
      <c r="Q29" s="37">
        <f t="shared" si="45"/>
        <v>-20.01877456303847</v>
      </c>
      <c r="R29" s="37">
        <f t="shared" si="46"/>
        <v>-10.380246680040964</v>
      </c>
      <c r="S29" s="37">
        <f t="shared" si="47"/>
        <v>-14.444552310682086</v>
      </c>
      <c r="T29" s="37">
        <f t="shared" si="48"/>
        <v>-10.370000000003357</v>
      </c>
      <c r="U29" s="414">
        <v>15.9994</v>
      </c>
      <c r="V29" s="37">
        <v>12.0107</v>
      </c>
      <c r="W29" s="37">
        <v>78.971000000000004</v>
      </c>
      <c r="X29" s="37">
        <v>-10.37</v>
      </c>
      <c r="Y29" s="37">
        <f t="shared" si="0"/>
        <v>-10.380246680040964</v>
      </c>
      <c r="Z29" s="37">
        <f t="shared" si="1"/>
        <v>-14.444552310682086</v>
      </c>
      <c r="AA29" s="39">
        <f t="shared" si="2"/>
        <v>-20.01877456303847</v>
      </c>
      <c r="AB29" s="253">
        <f t="shared" si="3"/>
        <v>2.1971816403030642E-21</v>
      </c>
      <c r="AC29" s="30" t="b">
        <f t="shared" si="4"/>
        <v>1</v>
      </c>
      <c r="AD29" s="31">
        <f t="shared" si="5"/>
        <v>-6.6000000000456778</v>
      </c>
      <c r="AE29" s="31">
        <f t="shared" si="6"/>
        <v>-2.6900000000058224</v>
      </c>
      <c r="AF29" s="31">
        <f t="shared" si="7"/>
        <v>0.75400000000809431</v>
      </c>
      <c r="AG29" s="31">
        <f t="shared" si="72"/>
        <v>-10.370000000003357</v>
      </c>
      <c r="AH29" s="31">
        <f t="shared" si="9"/>
        <v>-10.380246680040964</v>
      </c>
      <c r="AI29" s="31">
        <f t="shared" si="10"/>
        <v>-14.444552310682086</v>
      </c>
      <c r="AJ29" s="31">
        <f t="shared" si="11"/>
        <v>-20.01877456303847</v>
      </c>
      <c r="AK29" s="31">
        <f t="shared" si="12"/>
        <v>-20.01877456303847</v>
      </c>
      <c r="AL29" s="31">
        <f t="shared" si="13"/>
        <v>-10.380246680040964</v>
      </c>
      <c r="AM29" s="31">
        <f t="shared" si="14"/>
        <v>-14.444552310682086</v>
      </c>
      <c r="AN29" s="31">
        <f t="shared" si="15"/>
        <v>-10.370000000003357</v>
      </c>
      <c r="AO29" s="30"/>
      <c r="AP29" s="30"/>
      <c r="AQ29" s="30"/>
      <c r="AR29" s="246"/>
      <c r="AS29" s="241">
        <v>0.82562245838489001</v>
      </c>
      <c r="AT29" s="35">
        <v>1.1296189009679114</v>
      </c>
      <c r="AU29" s="37">
        <v>0.95633612964632997</v>
      </c>
      <c r="AV29" s="37">
        <v>1.3459750990524464</v>
      </c>
      <c r="AW29" s="37">
        <v>0.65023233803604652</v>
      </c>
      <c r="AX29" s="35">
        <v>1.1030772179808426</v>
      </c>
      <c r="AY29" s="35">
        <v>1.3811702068529192</v>
      </c>
      <c r="AZ29" s="37">
        <v>1.01615314500702</v>
      </c>
      <c r="BA29" s="37">
        <v>1.1640647176793115</v>
      </c>
      <c r="BB29" s="235">
        <v>0.38655501572307394</v>
      </c>
      <c r="BC29" s="38">
        <f t="shared" si="66"/>
        <v>54.794024024610636</v>
      </c>
      <c r="BD29" s="38">
        <f t="shared" si="67"/>
        <v>77.118692505408106</v>
      </c>
      <c r="BE29" s="38">
        <f t="shared" si="68"/>
        <v>37.255568672389337</v>
      </c>
      <c r="BF29" s="38">
        <f t="shared" si="69"/>
        <v>58.221286547847392</v>
      </c>
      <c r="BG29" s="38">
        <f t="shared" si="70"/>
        <v>66.695995403112249</v>
      </c>
      <c r="BH29" s="38">
        <f t="shared" si="71"/>
        <v>22.147970950545314</v>
      </c>
      <c r="BI29" s="417">
        <f t="shared" si="22"/>
        <v>180</v>
      </c>
      <c r="BJ29" s="241">
        <f t="shared" si="73"/>
        <v>1.7410657008555768</v>
      </c>
      <c r="BK29" s="35">
        <f t="shared" si="24"/>
        <v>1.4231207196050779</v>
      </c>
      <c r="BL29" s="35">
        <f t="shared" si="74"/>
        <v>0.95595210041801215</v>
      </c>
      <c r="BM29" s="37">
        <f t="shared" si="26"/>
        <v>-0.67731416999223959</v>
      </c>
      <c r="BN29" s="37">
        <f t="shared" si="27"/>
        <v>0.67460353795494787</v>
      </c>
      <c r="BO29" s="37">
        <f>0</f>
        <v>0</v>
      </c>
      <c r="BP29" s="37">
        <f t="shared" si="28"/>
        <v>-0.2518283052348379</v>
      </c>
      <c r="BQ29" s="37">
        <f t="shared" si="29"/>
        <v>-0.87648536327310789</v>
      </c>
      <c r="BR29" s="39">
        <f t="shared" si="30"/>
        <v>-0.66662941284833011</v>
      </c>
      <c r="BS29" s="35">
        <f t="shared" si="75"/>
        <v>2.243007014129156</v>
      </c>
      <c r="BT29" s="35">
        <f t="shared" si="76"/>
        <v>1.721209735417669</v>
      </c>
      <c r="BU29" s="35">
        <f t="shared" si="33"/>
        <v>1.4675372734518575</v>
      </c>
      <c r="BV29" s="37">
        <f t="shared" si="34"/>
        <v>0.58092459347813874</v>
      </c>
      <c r="BW29" s="37">
        <f t="shared" si="35"/>
        <v>0.93771315737842487</v>
      </c>
      <c r="BX29" s="37">
        <f>0</f>
        <v>0</v>
      </c>
      <c r="BY29" s="37">
        <f t="shared" si="36"/>
        <v>1.163395675809576</v>
      </c>
      <c r="BZ29" s="37">
        <f t="shared" si="37"/>
        <v>-1.174894724478234</v>
      </c>
      <c r="CA29" s="39">
        <f t="shared" si="38"/>
        <v>-0.47822153987180066</v>
      </c>
      <c r="CC29" s="354" t="str">
        <f t="shared" si="39"/>
        <v>2.0</v>
      </c>
      <c r="CD29" s="354" t="str">
        <f t="shared" si="40"/>
        <v>2.0</v>
      </c>
      <c r="CE29" s="354" t="str">
        <f t="shared" si="41"/>
        <v>1.1533</v>
      </c>
      <c r="CF29" s="354" t="str">
        <f t="shared" si="42"/>
        <v>1.7098</v>
      </c>
      <c r="CG29" s="354" t="str">
        <f t="shared" si="43"/>
        <v>3.141592653589793</v>
      </c>
      <c r="CH29" s="354" t="str">
        <f t="shared" si="54"/>
        <v>0.82562245838489</v>
      </c>
      <c r="CI29" s="354" t="str">
        <f t="shared" si="55"/>
        <v>1.129618900967911</v>
      </c>
      <c r="CJ29" s="354" t="str">
        <f t="shared" si="56"/>
        <v>0.95633612964633</v>
      </c>
      <c r="CK29" s="354" t="str">
        <f t="shared" si="57"/>
        <v>1.345975099052446</v>
      </c>
      <c r="CL29" s="354" t="str">
        <f t="shared" si="58"/>
        <v>0.650232338036047</v>
      </c>
      <c r="CM29" s="354" t="str">
        <f t="shared" si="59"/>
        <v>1.103077217980843</v>
      </c>
      <c r="CN29" s="354" t="str">
        <f t="shared" si="60"/>
        <v>1.381170206852919</v>
      </c>
      <c r="CO29" s="354" t="str">
        <f t="shared" si="61"/>
        <v>1.01615314500702</v>
      </c>
      <c r="CP29" s="354" t="str">
        <f t="shared" si="62"/>
        <v>1.164064717679312</v>
      </c>
      <c r="CQ29" s="354" t="str">
        <f t="shared" si="63"/>
        <v>0.386555015723074</v>
      </c>
      <c r="CT29" s="394" t="str">
        <f ca="1">Rotation!BA108</f>
        <v>-</v>
      </c>
      <c r="CU29" s="394" t="str">
        <f ca="1">Rotation!BB108</f>
        <v>-</v>
      </c>
      <c r="CV29" s="394">
        <v>0.27288022488510205</v>
      </c>
      <c r="CW29" s="398" t="e">
        <f t="shared" ca="1" si="64"/>
        <v>#VALUE!</v>
      </c>
      <c r="CX29" s="394" t="str">
        <f ca="1">Rotation!BC108</f>
        <v>-</v>
      </c>
      <c r="CY29" s="394" t="str">
        <f ca="1">Rotation!BD108</f>
        <v>-</v>
      </c>
      <c r="CZ29" s="394">
        <v>0.35334935857784555</v>
      </c>
      <c r="DA29" s="398" t="e">
        <f t="shared" ca="1" si="65"/>
        <v>#VALUE!</v>
      </c>
    </row>
    <row r="30" spans="1:105" s="56" customFormat="1" ht="15" customHeight="1">
      <c r="A30" s="536" t="s">
        <v>383</v>
      </c>
      <c r="B30" s="35">
        <v>-13.59844</v>
      </c>
      <c r="C30" s="36">
        <v>1</v>
      </c>
      <c r="D30" s="35">
        <v>-14.534140000000001</v>
      </c>
      <c r="E30" s="36">
        <v>3</v>
      </c>
      <c r="F30" s="36">
        <v>-13.61806</v>
      </c>
      <c r="G30" s="257">
        <v>4</v>
      </c>
      <c r="H30" s="241" t="s">
        <v>60</v>
      </c>
      <c r="I30" s="262">
        <v>1</v>
      </c>
      <c r="J30" s="36">
        <v>2</v>
      </c>
      <c r="K30" s="37">
        <v>1.0628</v>
      </c>
      <c r="L30" s="37">
        <v>1.2116</v>
      </c>
      <c r="M30" s="37">
        <v>1.8954275676658419</v>
      </c>
      <c r="N30" s="37">
        <v>-4.9800000000000004</v>
      </c>
      <c r="O30" s="37">
        <v>-2.1246200000000002</v>
      </c>
      <c r="P30" s="35">
        <v>1.62</v>
      </c>
      <c r="Q30" s="37">
        <f t="shared" si="45"/>
        <v>-10.100000000781485</v>
      </c>
      <c r="R30" s="37">
        <f t="shared" si="46"/>
        <v>-16.214337318939986</v>
      </c>
      <c r="S30" s="37">
        <f t="shared" si="47"/>
        <v>-17.266104776594844</v>
      </c>
      <c r="T30" s="37">
        <f t="shared" si="48"/>
        <v>-17.881745215574988</v>
      </c>
      <c r="U30" s="412">
        <v>1.00782503224</v>
      </c>
      <c r="V30" s="414">
        <v>14.0067</v>
      </c>
      <c r="W30" s="414">
        <v>15.9994</v>
      </c>
      <c r="X30" s="37">
        <v>-10.1</v>
      </c>
      <c r="Y30" s="37">
        <f t="shared" si="0"/>
        <v>-16.214337318939986</v>
      </c>
      <c r="Z30" s="37">
        <f t="shared" si="1"/>
        <v>-17.266104776594844</v>
      </c>
      <c r="AA30" s="39">
        <f t="shared" si="2"/>
        <v>-17.881745215574988</v>
      </c>
      <c r="AB30" s="253">
        <f t="shared" si="3"/>
        <v>4.1135341937439094E-18</v>
      </c>
      <c r="AC30" s="30" t="b">
        <f t="shared" si="4"/>
        <v>1</v>
      </c>
      <c r="AD30" s="31">
        <f t="shared" si="5"/>
        <v>-4.9799999993687578</v>
      </c>
      <c r="AE30" s="31">
        <f t="shared" si="6"/>
        <v>-2.1246199991157293</v>
      </c>
      <c r="AF30" s="31">
        <f t="shared" si="7"/>
        <v>1.6200000015239466</v>
      </c>
      <c r="AG30" s="31">
        <f t="shared" si="72"/>
        <v>-10.100000000781485</v>
      </c>
      <c r="AH30" s="31">
        <f t="shared" si="9"/>
        <v>-16.214337318939986</v>
      </c>
      <c r="AI30" s="31">
        <f t="shared" si="10"/>
        <v>-17.266104776594844</v>
      </c>
      <c r="AJ30" s="31">
        <f t="shared" si="11"/>
        <v>-17.881745215574988</v>
      </c>
      <c r="AK30" s="31">
        <f t="shared" si="12"/>
        <v>-10.100000000781485</v>
      </c>
      <c r="AL30" s="31">
        <f t="shared" si="13"/>
        <v>-16.214337318939986</v>
      </c>
      <c r="AM30" s="31">
        <f t="shared" si="14"/>
        <v>-17.266104776594844</v>
      </c>
      <c r="AN30" s="31">
        <f t="shared" si="15"/>
        <v>-17.881745215574988</v>
      </c>
      <c r="AO30" s="30"/>
      <c r="AP30" s="30"/>
      <c r="AQ30" s="30"/>
      <c r="AR30" s="246"/>
      <c r="AS30" s="241">
        <v>1.1550850022750938</v>
      </c>
      <c r="AT30" s="35">
        <v>0.93589637789003755</v>
      </c>
      <c r="AU30" s="37">
        <v>1.2365083861868653</v>
      </c>
      <c r="AV30" s="37">
        <v>1.0427709852741796</v>
      </c>
      <c r="AW30" s="37">
        <v>0.50366863989668453</v>
      </c>
      <c r="AX30" s="35">
        <v>0.89141978327508076</v>
      </c>
      <c r="AY30" s="35">
        <v>0.87851774680956507</v>
      </c>
      <c r="AZ30" s="37">
        <v>1.0710449730580991</v>
      </c>
      <c r="BA30" s="37">
        <v>1.0383054335604527</v>
      </c>
      <c r="BB30" s="235">
        <v>0.52559032944416684</v>
      </c>
      <c r="BC30" s="38">
        <f t="shared" si="66"/>
        <v>70.846711861039878</v>
      </c>
      <c r="BD30" s="38">
        <f t="shared" si="67"/>
        <v>59.746376454909004</v>
      </c>
      <c r="BE30" s="38">
        <f t="shared" si="68"/>
        <v>28.858087339174496</v>
      </c>
      <c r="BF30" s="38">
        <f t="shared" si="69"/>
        <v>61.366356624932045</v>
      </c>
      <c r="BG30" s="38">
        <f t="shared" si="70"/>
        <v>59.490519188515044</v>
      </c>
      <c r="BH30" s="38">
        <f t="shared" si="71"/>
        <v>30.114107630041282</v>
      </c>
      <c r="BI30" s="417">
        <f t="shared" si="22"/>
        <v>108.6</v>
      </c>
      <c r="BJ30" s="241">
        <f t="shared" si="73"/>
        <v>1.8532042838330629</v>
      </c>
      <c r="BK30" s="35">
        <f t="shared" si="24"/>
        <v>1.0015781510857755</v>
      </c>
      <c r="BL30" s="35">
        <f t="shared" si="74"/>
        <v>1.2877136454689206</v>
      </c>
      <c r="BM30" s="37">
        <f t="shared" si="26"/>
        <v>-0.68382052608487176</v>
      </c>
      <c r="BN30" s="37">
        <f t="shared" si="27"/>
        <v>1.0911443171422679</v>
      </c>
      <c r="BO30" s="37">
        <f>0</f>
        <v>0</v>
      </c>
      <c r="BP30" s="37">
        <f t="shared" si="28"/>
        <v>-0.47153136875013696</v>
      </c>
      <c r="BQ30" s="37">
        <f t="shared" si="29"/>
        <v>-0.70803801465873439</v>
      </c>
      <c r="BR30" s="39">
        <f t="shared" si="30"/>
        <v>-0.39018248068106809</v>
      </c>
      <c r="BS30" s="35">
        <f t="shared" si="75"/>
        <v>1.5244879151784609</v>
      </c>
      <c r="BT30" s="35">
        <f t="shared" si="76"/>
        <v>1.0765707304475656</v>
      </c>
      <c r="BU30" s="35">
        <f t="shared" si="33"/>
        <v>1.1079140833810055</v>
      </c>
      <c r="BV30" s="37">
        <f t="shared" si="34"/>
        <v>-0.60528325906286673</v>
      </c>
      <c r="BW30" s="37">
        <f t="shared" si="35"/>
        <v>0.65441684445957415</v>
      </c>
      <c r="BX30" s="37">
        <f>0</f>
        <v>0</v>
      </c>
      <c r="BY30" s="37">
        <f t="shared" si="36"/>
        <v>0.86472047235433147</v>
      </c>
      <c r="BZ30" s="37">
        <f t="shared" si="37"/>
        <v>0.51677460722607593</v>
      </c>
      <c r="CA30" s="39">
        <f t="shared" si="38"/>
        <v>-0.37974603049148742</v>
      </c>
      <c r="CC30" s="354" t="str">
        <f t="shared" si="39"/>
        <v>1.0</v>
      </c>
      <c r="CD30" s="354" t="str">
        <f t="shared" si="40"/>
        <v>2.0</v>
      </c>
      <c r="CE30" s="354" t="str">
        <f t="shared" si="41"/>
        <v>1.0628</v>
      </c>
      <c r="CF30" s="354" t="str">
        <f t="shared" si="42"/>
        <v>1.2116</v>
      </c>
      <c r="CG30" s="354" t="str">
        <f t="shared" si="43"/>
        <v>1.895427567665842</v>
      </c>
      <c r="CH30" s="354" t="str">
        <f t="shared" si="54"/>
        <v>1.155085002275094</v>
      </c>
      <c r="CI30" s="354" t="str">
        <f t="shared" si="55"/>
        <v>0.935896377890038</v>
      </c>
      <c r="CJ30" s="354" t="str">
        <f t="shared" si="56"/>
        <v>1.236508386186865</v>
      </c>
      <c r="CK30" s="354" t="str">
        <f t="shared" si="57"/>
        <v>1.0427709852741796</v>
      </c>
      <c r="CL30" s="354" t="str">
        <f t="shared" si="58"/>
        <v>0.503668639896685</v>
      </c>
      <c r="CM30" s="354" t="str">
        <f t="shared" si="59"/>
        <v>0.891419783275081</v>
      </c>
      <c r="CN30" s="354" t="str">
        <f t="shared" si="60"/>
        <v>0.878517746809565</v>
      </c>
      <c r="CO30" s="354" t="str">
        <f t="shared" si="61"/>
        <v>1.0710449730580991</v>
      </c>
      <c r="CP30" s="354" t="str">
        <f t="shared" si="62"/>
        <v>1.0383054335604527</v>
      </c>
      <c r="CQ30" s="354" t="str">
        <f t="shared" si="63"/>
        <v>0.525590329444167</v>
      </c>
      <c r="CT30" s="394" t="str">
        <f ca="1">Rotation!BA109</f>
        <v>-</v>
      </c>
      <c r="CU30" s="394" t="str">
        <f ca="1">Rotation!BB109</f>
        <v>-</v>
      </c>
      <c r="CV30" s="394">
        <v>0.6456002018083008</v>
      </c>
      <c r="CW30" s="398" t="e">
        <f t="shared" ca="1" si="64"/>
        <v>#VALUE!</v>
      </c>
      <c r="CX30" s="394" t="str">
        <f ca="1">Rotation!BC109</f>
        <v>-</v>
      </c>
      <c r="CY30" s="394" t="str">
        <f ca="1">Rotation!BD109</f>
        <v>-</v>
      </c>
      <c r="CZ30" s="394">
        <v>0.5165591621348613</v>
      </c>
      <c r="DA30" s="398" t="e">
        <f t="shared" ca="1" si="65"/>
        <v>#VALUE!</v>
      </c>
    </row>
    <row r="31" spans="1:105" s="56" customFormat="1" ht="15" customHeight="1">
      <c r="A31" s="536"/>
      <c r="B31" s="35">
        <v>-13.59844</v>
      </c>
      <c r="C31" s="36">
        <v>1</v>
      </c>
      <c r="D31" s="35">
        <v>-14.534140000000001</v>
      </c>
      <c r="E31" s="36">
        <v>3</v>
      </c>
      <c r="F31" s="36">
        <v>-13.61806</v>
      </c>
      <c r="G31" s="257">
        <v>4</v>
      </c>
      <c r="H31" s="241" t="s">
        <v>60</v>
      </c>
      <c r="I31" s="262">
        <v>1</v>
      </c>
      <c r="J31" s="36">
        <v>2</v>
      </c>
      <c r="K31" s="37">
        <v>1.0900000000000001</v>
      </c>
      <c r="L31" s="37">
        <v>1.2090000000000001</v>
      </c>
      <c r="M31" s="37">
        <v>1.885828256779873</v>
      </c>
      <c r="N31" s="37">
        <v>-4.9800000000000004</v>
      </c>
      <c r="O31" s="37">
        <v>-2.1246200000000002</v>
      </c>
      <c r="P31" s="35">
        <v>1.67</v>
      </c>
      <c r="Q31" s="37">
        <f t="shared" si="45"/>
        <v>-10.100000000006162</v>
      </c>
      <c r="R31" s="37">
        <f t="shared" si="46"/>
        <v>-16.680621013267825</v>
      </c>
      <c r="S31" s="37">
        <f t="shared" si="47"/>
        <v>-16.915964127114382</v>
      </c>
      <c r="T31" s="37">
        <f t="shared" si="48"/>
        <v>-17.194866375687489</v>
      </c>
      <c r="U31" s="412">
        <v>1.00782503224</v>
      </c>
      <c r="V31" s="414">
        <v>14.0067</v>
      </c>
      <c r="W31" s="414">
        <v>15.9994</v>
      </c>
      <c r="X31" s="37">
        <v>-10.1</v>
      </c>
      <c r="Y31" s="37">
        <f t="shared" si="0"/>
        <v>-16.680621013267825</v>
      </c>
      <c r="Z31" s="37">
        <f t="shared" si="1"/>
        <v>-16.915964127114382</v>
      </c>
      <c r="AA31" s="39">
        <f t="shared" si="2"/>
        <v>-17.194866375687489</v>
      </c>
      <c r="AB31" s="253">
        <f t="shared" si="3"/>
        <v>1.1168088465009001E-18</v>
      </c>
      <c r="AC31" s="30" t="b">
        <f t="shared" si="4"/>
        <v>1</v>
      </c>
      <c r="AD31" s="31">
        <f t="shared" si="5"/>
        <v>-4.9799999994005324</v>
      </c>
      <c r="AE31" s="31">
        <f t="shared" si="6"/>
        <v>-2.1246199992266215</v>
      </c>
      <c r="AF31" s="31">
        <f t="shared" si="7"/>
        <v>1.6700000003991169</v>
      </c>
      <c r="AG31" s="31">
        <f t="shared" si="72"/>
        <v>-10.100000000006162</v>
      </c>
      <c r="AH31" s="31">
        <f t="shared" si="9"/>
        <v>-16.680621013267825</v>
      </c>
      <c r="AI31" s="31">
        <f t="shared" si="10"/>
        <v>-16.915964127114382</v>
      </c>
      <c r="AJ31" s="31">
        <f t="shared" si="11"/>
        <v>-17.194866375687489</v>
      </c>
      <c r="AK31" s="31">
        <f t="shared" si="12"/>
        <v>-10.100000000006162</v>
      </c>
      <c r="AL31" s="31">
        <f t="shared" si="13"/>
        <v>-16.680621013267825</v>
      </c>
      <c r="AM31" s="31">
        <f t="shared" si="14"/>
        <v>-16.915964127114382</v>
      </c>
      <c r="AN31" s="31">
        <f t="shared" si="15"/>
        <v>-17.194866375687489</v>
      </c>
      <c r="AO31" s="30"/>
      <c r="AP31" s="30"/>
      <c r="AQ31" s="30"/>
      <c r="AR31" s="246"/>
      <c r="AS31" s="241">
        <v>1.1634261520167148</v>
      </c>
      <c r="AT31" s="35">
        <v>0.90190810560079449</v>
      </c>
      <c r="AU31" s="37">
        <v>1.2469194273469302</v>
      </c>
      <c r="AV31" s="37">
        <v>1.076798519464776</v>
      </c>
      <c r="AW31" s="37">
        <v>0.5095995387696296</v>
      </c>
      <c r="AX31" s="35">
        <v>0.91299467891676178</v>
      </c>
      <c r="AY31" s="35">
        <v>0.91121431418232346</v>
      </c>
      <c r="AZ31" s="37">
        <v>1.0603915770623622</v>
      </c>
      <c r="BA31" s="37">
        <v>1.0374510797246623</v>
      </c>
      <c r="BB31" s="235">
        <v>0.51619712464707801</v>
      </c>
      <c r="BC31" s="38">
        <f t="shared" si="66"/>
        <v>71.443220579848585</v>
      </c>
      <c r="BD31" s="38">
        <f t="shared" si="67"/>
        <v>61.696010551267292</v>
      </c>
      <c r="BE31" s="38">
        <f t="shared" si="68"/>
        <v>29.197902813313146</v>
      </c>
      <c r="BF31" s="38">
        <f t="shared" si="69"/>
        <v>60.755961996894747</v>
      </c>
      <c r="BG31" s="38">
        <f t="shared" si="70"/>
        <v>59.441568319513443</v>
      </c>
      <c r="BH31" s="38">
        <f t="shared" si="71"/>
        <v>29.575916639066055</v>
      </c>
      <c r="BI31" s="417">
        <f t="shared" si="22"/>
        <v>108.05</v>
      </c>
      <c r="BJ31" s="241">
        <f t="shared" si="73"/>
        <v>1.8604946221168406</v>
      </c>
      <c r="BK31" s="35">
        <f t="shared" si="24"/>
        <v>1.034062172964505</v>
      </c>
      <c r="BL31" s="35">
        <f t="shared" si="74"/>
        <v>1.3170069520502714</v>
      </c>
      <c r="BM31" s="37">
        <f t="shared" si="26"/>
        <v>-0.71974628465703039</v>
      </c>
      <c r="BN31" s="37">
        <f t="shared" si="27"/>
        <v>1.1029381657514383</v>
      </c>
      <c r="BO31" s="37">
        <f>0</f>
        <v>0</v>
      </c>
      <c r="BP31" s="37">
        <f t="shared" si="28"/>
        <v>-0.42763929054694511</v>
      </c>
      <c r="BQ31" s="37">
        <f t="shared" si="29"/>
        <v>-0.6931840445814198</v>
      </c>
      <c r="BR31" s="39">
        <f t="shared" si="30"/>
        <v>-0.38737417114033756</v>
      </c>
      <c r="BS31" s="35">
        <f t="shared" si="75"/>
        <v>1.5580100538481483</v>
      </c>
      <c r="BT31" s="35">
        <f t="shared" si="76"/>
        <v>1.0824922755195912</v>
      </c>
      <c r="BU31" s="35">
        <f t="shared" si="33"/>
        <v>1.1030639772517474</v>
      </c>
      <c r="BV31" s="37">
        <f t="shared" si="34"/>
        <v>-0.61922598579102672</v>
      </c>
      <c r="BW31" s="37">
        <f t="shared" si="35"/>
        <v>0.67090868398870207</v>
      </c>
      <c r="BX31" s="37">
        <f>0</f>
        <v>0</v>
      </c>
      <c r="BY31" s="37">
        <f t="shared" si="36"/>
        <v>0.87989375846592011</v>
      </c>
      <c r="BZ31" s="37">
        <f t="shared" si="37"/>
        <v>0.49757862603854613</v>
      </c>
      <c r="CA31" s="39">
        <f t="shared" si="38"/>
        <v>-0.38728802109269012</v>
      </c>
      <c r="CC31" s="354" t="str">
        <f t="shared" si="39"/>
        <v>1.0</v>
      </c>
      <c r="CD31" s="354" t="str">
        <f t="shared" si="40"/>
        <v>2.0</v>
      </c>
      <c r="CE31" s="354" t="str">
        <f t="shared" si="41"/>
        <v>1.0900000000000001</v>
      </c>
      <c r="CF31" s="354" t="str">
        <f t="shared" si="42"/>
        <v>1.209</v>
      </c>
      <c r="CG31" s="354" t="str">
        <f t="shared" si="43"/>
        <v>1.885828256779873</v>
      </c>
      <c r="CH31" s="354" t="str">
        <f t="shared" si="54"/>
        <v>1.163426152016715</v>
      </c>
      <c r="CI31" s="354" t="str">
        <f t="shared" si="55"/>
        <v>0.901908105600794</v>
      </c>
      <c r="CJ31" s="354" t="str">
        <f t="shared" si="56"/>
        <v>1.24691942734693</v>
      </c>
      <c r="CK31" s="354" t="str">
        <f t="shared" si="57"/>
        <v>1.076798519464776</v>
      </c>
      <c r="CL31" s="354" t="str">
        <f t="shared" si="58"/>
        <v>0.50959953876963</v>
      </c>
      <c r="CM31" s="354" t="str">
        <f t="shared" si="59"/>
        <v>0.912994678916762</v>
      </c>
      <c r="CN31" s="354" t="str">
        <f t="shared" si="60"/>
        <v>0.911214314182323</v>
      </c>
      <c r="CO31" s="354" t="str">
        <f t="shared" si="61"/>
        <v>1.0603915770623622</v>
      </c>
      <c r="CP31" s="354" t="str">
        <f t="shared" si="62"/>
        <v>1.0374510797246623</v>
      </c>
      <c r="CQ31" s="354" t="str">
        <f t="shared" si="63"/>
        <v>0.516197124647078</v>
      </c>
      <c r="CT31" s="394" t="str">
        <f ca="1">Rotation!BA110</f>
        <v>-</v>
      </c>
      <c r="CU31" s="394" t="str">
        <f ca="1">Rotation!BB110</f>
        <v>-</v>
      </c>
      <c r="CV31" s="394">
        <v>0.65860274453235723</v>
      </c>
      <c r="CW31" s="398" t="e">
        <f t="shared" ca="1" si="64"/>
        <v>#VALUE!</v>
      </c>
      <c r="CX31" s="394" t="str">
        <f ca="1">Rotation!BC110</f>
        <v>-</v>
      </c>
      <c r="CY31" s="394" t="str">
        <f ca="1">Rotation!BD110</f>
        <v>-</v>
      </c>
      <c r="CZ31" s="394">
        <v>0.50757684863819297</v>
      </c>
      <c r="DA31" s="398" t="e">
        <f t="shared" ca="1" si="65"/>
        <v>#VALUE!</v>
      </c>
    </row>
    <row r="32" spans="1:105" s="56" customFormat="1" ht="15" customHeight="1">
      <c r="A32" s="536" t="s">
        <v>384</v>
      </c>
      <c r="B32" s="35">
        <v>-13.59844</v>
      </c>
      <c r="C32" s="36">
        <v>1</v>
      </c>
      <c r="D32" s="35">
        <v>-11.260300000000001</v>
      </c>
      <c r="E32" s="36">
        <v>2</v>
      </c>
      <c r="F32" s="36">
        <v>-14.534140000000001</v>
      </c>
      <c r="G32" s="257">
        <v>3</v>
      </c>
      <c r="H32" s="241" t="s">
        <v>60</v>
      </c>
      <c r="I32" s="262">
        <v>1</v>
      </c>
      <c r="J32" s="36">
        <v>3</v>
      </c>
      <c r="K32" s="37">
        <v>1.069</v>
      </c>
      <c r="L32" s="37">
        <v>1.1559999999999999</v>
      </c>
      <c r="M32" s="37">
        <v>3.1415926535897931</v>
      </c>
      <c r="N32" s="37">
        <v>-5.62</v>
      </c>
      <c r="O32" s="37">
        <v>-9.7101000000000006</v>
      </c>
      <c r="P32" s="35">
        <v>2.6640000000000001</v>
      </c>
      <c r="Q32" s="37">
        <f t="shared" si="45"/>
        <v>-13.600000002491267</v>
      </c>
      <c r="R32" s="37">
        <f t="shared" si="46"/>
        <v>-13.969613914255827</v>
      </c>
      <c r="S32" s="37">
        <f t="shared" si="47"/>
        <v>-19.211502196855154</v>
      </c>
      <c r="T32" s="37">
        <f t="shared" si="48"/>
        <v>-19.863225028288223</v>
      </c>
      <c r="U32" s="412">
        <v>1.00782503224</v>
      </c>
      <c r="V32" s="37">
        <v>12.0107</v>
      </c>
      <c r="W32" s="414">
        <v>14.0067</v>
      </c>
      <c r="X32" s="37">
        <v>-13.6</v>
      </c>
      <c r="Y32" s="37">
        <f t="shared" si="0"/>
        <v>-13.969613914255827</v>
      </c>
      <c r="Z32" s="37">
        <f t="shared" si="1"/>
        <v>-19.211502196855154</v>
      </c>
      <c r="AA32" s="39">
        <f t="shared" si="2"/>
        <v>-19.863225028288223</v>
      </c>
      <c r="AB32" s="253">
        <f t="shared" si="3"/>
        <v>4.189498595648488E-16</v>
      </c>
      <c r="AC32" s="30" t="b">
        <f t="shared" si="4"/>
        <v>1</v>
      </c>
      <c r="AD32" s="31">
        <f t="shared" si="5"/>
        <v>-5.6199999908937217</v>
      </c>
      <c r="AE32" s="31">
        <f t="shared" si="6"/>
        <v>-9.710100010619648</v>
      </c>
      <c r="AF32" s="31">
        <f t="shared" si="7"/>
        <v>2.6640000147323533</v>
      </c>
      <c r="AG32" s="31">
        <f t="shared" si="72"/>
        <v>-13.600000002491267</v>
      </c>
      <c r="AH32" s="31">
        <f t="shared" si="9"/>
        <v>-13.969613914255827</v>
      </c>
      <c r="AI32" s="31">
        <f t="shared" si="10"/>
        <v>-19.211502196855154</v>
      </c>
      <c r="AJ32" s="31">
        <f t="shared" si="11"/>
        <v>-19.863225028288223</v>
      </c>
      <c r="AK32" s="31">
        <f t="shared" si="12"/>
        <v>-13.600000002491267</v>
      </c>
      <c r="AL32" s="31">
        <f t="shared" si="13"/>
        <v>-13.969613914255827</v>
      </c>
      <c r="AM32" s="31">
        <f t="shared" si="14"/>
        <v>-19.211502196855154</v>
      </c>
      <c r="AN32" s="31">
        <f t="shared" si="15"/>
        <v>-19.863225028288223</v>
      </c>
      <c r="AO32" s="30"/>
      <c r="AP32" s="30"/>
      <c r="AQ32" s="30"/>
      <c r="AR32" s="246"/>
      <c r="AS32" s="241">
        <v>1.0146219321847754</v>
      </c>
      <c r="AT32" s="35">
        <v>0.96947290224117333</v>
      </c>
      <c r="AU32" s="37">
        <v>1.1318437451434564</v>
      </c>
      <c r="AV32" s="37">
        <v>1.1882129515840443</v>
      </c>
      <c r="AW32" s="37">
        <v>0.30094669192612306</v>
      </c>
      <c r="AX32" s="35">
        <v>0.7001971598274993</v>
      </c>
      <c r="AY32" s="35">
        <v>0.73667278415098014</v>
      </c>
      <c r="AZ32" s="37">
        <v>1.4814246570360672</v>
      </c>
      <c r="BA32" s="37">
        <v>1.205759886161053</v>
      </c>
      <c r="BB32" s="235">
        <v>0.65666911307803721</v>
      </c>
      <c r="BC32" s="38">
        <f t="shared" si="66"/>
        <v>64.849869665000824</v>
      </c>
      <c r="BD32" s="38">
        <f t="shared" si="67"/>
        <v>68.079587288548169</v>
      </c>
      <c r="BE32" s="38">
        <f t="shared" si="68"/>
        <v>17.242975305790658</v>
      </c>
      <c r="BF32" s="38">
        <f t="shared" si="69"/>
        <v>84.879380514782099</v>
      </c>
      <c r="BG32" s="38">
        <f t="shared" si="70"/>
        <v>69.084952583202934</v>
      </c>
      <c r="BH32" s="38">
        <f t="shared" si="71"/>
        <v>37.624368715970547</v>
      </c>
      <c r="BI32" s="417">
        <f t="shared" si="22"/>
        <v>180</v>
      </c>
      <c r="BJ32" s="241">
        <f t="shared" si="73"/>
        <v>1.8183267981657412</v>
      </c>
      <c r="BK32" s="35">
        <f t="shared" si="24"/>
        <v>1.1440495995585613</v>
      </c>
      <c r="BL32" s="35">
        <f t="shared" si="74"/>
        <v>1.1181684648991035</v>
      </c>
      <c r="BM32" s="37">
        <f t="shared" si="26"/>
        <v>-0.63779422386550566</v>
      </c>
      <c r="BN32" s="37">
        <f t="shared" si="27"/>
        <v>0.91843303724257175</v>
      </c>
      <c r="BO32" s="37">
        <f>0</f>
        <v>0</v>
      </c>
      <c r="BP32" s="37">
        <f t="shared" si="28"/>
        <v>-0.3619219934189985</v>
      </c>
      <c r="BQ32" s="37">
        <f t="shared" si="29"/>
        <v>-0.8589616067029987</v>
      </c>
      <c r="BR32" s="39">
        <f t="shared" si="30"/>
        <v>-0.26659920680629373</v>
      </c>
      <c r="BS32" s="35">
        <f t="shared" si="75"/>
        <v>1.5523763407752502</v>
      </c>
      <c r="BT32" s="35">
        <f t="shared" si="76"/>
        <v>1.1273922327404378</v>
      </c>
      <c r="BU32" s="35">
        <f t="shared" si="33"/>
        <v>1.2969675157462732</v>
      </c>
      <c r="BV32" s="37">
        <f t="shared" si="34"/>
        <v>6.2494518049064474E-2</v>
      </c>
      <c r="BW32" s="37">
        <f t="shared" si="35"/>
        <v>0.69740267983734605</v>
      </c>
      <c r="BX32" s="37">
        <f>0</f>
        <v>0</v>
      </c>
      <c r="BY32" s="37">
        <f t="shared" si="36"/>
        <v>0.89302009322435671</v>
      </c>
      <c r="BZ32" s="37">
        <f t="shared" si="37"/>
        <v>-0.54502279455712943</v>
      </c>
      <c r="CA32" s="39">
        <f t="shared" si="38"/>
        <v>-0.42009345740462045</v>
      </c>
      <c r="CC32" s="354" t="str">
        <f t="shared" si="39"/>
        <v>1.0</v>
      </c>
      <c r="CD32" s="354" t="str">
        <f t="shared" si="40"/>
        <v>3.0</v>
      </c>
      <c r="CE32" s="354" t="str">
        <f t="shared" si="41"/>
        <v>1.069</v>
      </c>
      <c r="CF32" s="354" t="str">
        <f t="shared" si="42"/>
        <v>1.156</v>
      </c>
      <c r="CG32" s="354" t="str">
        <f t="shared" si="43"/>
        <v>3.141592653589793</v>
      </c>
      <c r="CH32" s="354" t="str">
        <f t="shared" si="54"/>
        <v>1.0146219321847754</v>
      </c>
      <c r="CI32" s="354" t="str">
        <f t="shared" si="55"/>
        <v>0.969472902241173</v>
      </c>
      <c r="CJ32" s="354" t="str">
        <f t="shared" si="56"/>
        <v>1.131843745143456</v>
      </c>
      <c r="CK32" s="354" t="str">
        <f t="shared" si="57"/>
        <v>1.188212951584044</v>
      </c>
      <c r="CL32" s="354" t="str">
        <f t="shared" si="58"/>
        <v>0.300946691926123</v>
      </c>
      <c r="CM32" s="354" t="str">
        <f t="shared" si="59"/>
        <v>0.700197159827499</v>
      </c>
      <c r="CN32" s="354" t="str">
        <f t="shared" si="60"/>
        <v>0.73667278415098</v>
      </c>
      <c r="CO32" s="354" t="str">
        <f t="shared" si="61"/>
        <v>1.481424657036067</v>
      </c>
      <c r="CP32" s="354" t="str">
        <f t="shared" si="62"/>
        <v>1.205759886161053</v>
      </c>
      <c r="CQ32" s="354" t="str">
        <f t="shared" si="63"/>
        <v>0.656669113078037</v>
      </c>
      <c r="CT32" s="394" t="str">
        <f ca="1">Rotation!BA111</f>
        <v>-</v>
      </c>
      <c r="CU32" s="394" t="str">
        <f ca="1">Rotation!BB111</f>
        <v>-</v>
      </c>
      <c r="CV32" s="394">
        <v>0.51047968119459641</v>
      </c>
      <c r="CW32" s="398" t="e">
        <f t="shared" ca="1" si="64"/>
        <v>#VALUE!</v>
      </c>
      <c r="CX32" s="394" t="str">
        <f ca="1">Rotation!BC111</f>
        <v>-</v>
      </c>
      <c r="CY32" s="394" t="str">
        <f ca="1">Rotation!BD111</f>
        <v>-</v>
      </c>
      <c r="CZ32" s="394">
        <v>0.50668662678919585</v>
      </c>
      <c r="DA32" s="398" t="e">
        <f t="shared" ca="1" si="65"/>
        <v>#VALUE!</v>
      </c>
    </row>
    <row r="33" spans="1:105" s="56" customFormat="1" ht="15" customHeight="1" thickBot="1">
      <c r="A33" s="558"/>
      <c r="B33" s="40">
        <v>-13.59844</v>
      </c>
      <c r="C33" s="41">
        <v>1</v>
      </c>
      <c r="D33" s="40">
        <v>-11.260300000000001</v>
      </c>
      <c r="E33" s="41">
        <v>2</v>
      </c>
      <c r="F33" s="41">
        <v>-14.534140000000001</v>
      </c>
      <c r="G33" s="260">
        <v>3</v>
      </c>
      <c r="H33" s="244" t="s">
        <v>60</v>
      </c>
      <c r="I33" s="265">
        <v>1</v>
      </c>
      <c r="J33" s="41">
        <v>3</v>
      </c>
      <c r="K33" s="42">
        <v>0.98599999999999999</v>
      </c>
      <c r="L33" s="42">
        <v>1.173</v>
      </c>
      <c r="M33" s="42">
        <v>3.1415926535897931</v>
      </c>
      <c r="N33" s="42">
        <v>-5.62</v>
      </c>
      <c r="O33" s="42">
        <v>-9.7101000000000006</v>
      </c>
      <c r="P33" s="40">
        <v>3.05</v>
      </c>
      <c r="Q33" s="42">
        <f t="shared" si="45"/>
        <v>-12.500000000044803</v>
      </c>
      <c r="R33" s="42">
        <f t="shared" si="46"/>
        <v>-13.134377132839631</v>
      </c>
      <c r="S33" s="42">
        <f t="shared" si="47"/>
        <v>-17.729799324020348</v>
      </c>
      <c r="T33" s="42">
        <f t="shared" si="48"/>
        <v>-18.537444813065832</v>
      </c>
      <c r="U33" s="412">
        <v>1.00782503224</v>
      </c>
      <c r="V33" s="37">
        <v>12.0107</v>
      </c>
      <c r="W33" s="414">
        <v>14.0067</v>
      </c>
      <c r="X33" s="42">
        <v>-12.5</v>
      </c>
      <c r="Y33" s="42">
        <f t="shared" si="0"/>
        <v>-13.134377132839631</v>
      </c>
      <c r="Z33" s="42">
        <f t="shared" si="1"/>
        <v>-17.729799324020348</v>
      </c>
      <c r="AA33" s="46">
        <f t="shared" si="2"/>
        <v>-18.537444813065832</v>
      </c>
      <c r="AB33" s="255">
        <f t="shared" si="3"/>
        <v>5.2496135555027417E-17</v>
      </c>
      <c r="AC33" s="43" t="b">
        <f t="shared" si="4"/>
        <v>1</v>
      </c>
      <c r="AD33" s="44">
        <f t="shared" si="5"/>
        <v>-5.6199999930148126</v>
      </c>
      <c r="AE33" s="44">
        <f t="shared" si="6"/>
        <v>-9.71009999959327</v>
      </c>
      <c r="AF33" s="44">
        <f t="shared" si="7"/>
        <v>3.0500000018803863</v>
      </c>
      <c r="AG33" s="44">
        <f t="shared" si="72"/>
        <v>-12.500000000044803</v>
      </c>
      <c r="AH33" s="44">
        <f t="shared" si="9"/>
        <v>-13.134377132839631</v>
      </c>
      <c r="AI33" s="44">
        <f t="shared" si="10"/>
        <v>-17.729799324020348</v>
      </c>
      <c r="AJ33" s="44">
        <f t="shared" si="11"/>
        <v>-18.537444813065832</v>
      </c>
      <c r="AK33" s="44">
        <f t="shared" si="12"/>
        <v>-12.500000000044803</v>
      </c>
      <c r="AL33" s="44">
        <f t="shared" si="13"/>
        <v>-13.134377132839631</v>
      </c>
      <c r="AM33" s="44">
        <f t="shared" si="14"/>
        <v>-17.729799324020348</v>
      </c>
      <c r="AN33" s="44">
        <f t="shared" si="15"/>
        <v>-18.537444813065832</v>
      </c>
      <c r="AO33" s="43"/>
      <c r="AP33" s="43"/>
      <c r="AQ33" s="43"/>
      <c r="AR33" s="248"/>
      <c r="AS33" s="244">
        <v>1.0505992294017819</v>
      </c>
      <c r="AT33" s="40">
        <v>1.0260691108015572</v>
      </c>
      <c r="AU33" s="40">
        <v>1.110232396857064</v>
      </c>
      <c r="AV33" s="40">
        <v>1.0982338549428547</v>
      </c>
      <c r="AW33" s="40">
        <v>0.3411638034474811</v>
      </c>
      <c r="AX33" s="40">
        <v>0.7770882455831053</v>
      </c>
      <c r="AY33" s="40">
        <v>0.79701920212578725</v>
      </c>
      <c r="AZ33" s="42">
        <v>1.3466866300099216</v>
      </c>
      <c r="BA33" s="42">
        <v>1.1668629627547051</v>
      </c>
      <c r="BB33" s="42">
        <v>0.55822922757351934</v>
      </c>
      <c r="BC33" s="45">
        <f t="shared" si="66"/>
        <v>63.61163061860325</v>
      </c>
      <c r="BD33" s="45">
        <f t="shared" si="67"/>
        <v>62.924164806608239</v>
      </c>
      <c r="BE33" s="45">
        <f t="shared" si="68"/>
        <v>19.547246060171432</v>
      </c>
      <c r="BF33" s="45">
        <f t="shared" si="69"/>
        <v>77.159460226264343</v>
      </c>
      <c r="BG33" s="45">
        <f t="shared" si="70"/>
        <v>66.856323035975578</v>
      </c>
      <c r="BH33" s="45">
        <f t="shared" si="71"/>
        <v>31.98417874081062</v>
      </c>
      <c r="BI33" s="420">
        <f t="shared" si="22"/>
        <v>180</v>
      </c>
      <c r="BJ33" s="244">
        <f t="shared" si="73"/>
        <v>1.8285724369136964</v>
      </c>
      <c r="BK33" s="40">
        <f t="shared" si="24"/>
        <v>1.0507236814701966</v>
      </c>
      <c r="BL33" s="40">
        <f t="shared" si="74"/>
        <v>1.0747764597141796</v>
      </c>
      <c r="BM33" s="42">
        <f t="shared" si="26"/>
        <v>-0.51905765595138309</v>
      </c>
      <c r="BN33" s="42">
        <f t="shared" si="27"/>
        <v>0.94112889029824232</v>
      </c>
      <c r="BO33" s="42">
        <f>0</f>
        <v>0</v>
      </c>
      <c r="BP33" s="42">
        <f t="shared" si="28"/>
        <v>-0.46703527654098126</v>
      </c>
      <c r="BQ33" s="42">
        <f t="shared" si="29"/>
        <v>-0.86096144057698365</v>
      </c>
      <c r="BR33" s="46">
        <f t="shared" si="30"/>
        <v>-0.30568164558408212</v>
      </c>
      <c r="BS33" s="40">
        <f t="shared" si="75"/>
        <v>1.5890647392233155</v>
      </c>
      <c r="BT33" s="40">
        <f t="shared" si="76"/>
        <v>1.1297181210494021</v>
      </c>
      <c r="BU33" s="40">
        <f t="shared" si="33"/>
        <v>1.2548480474611758</v>
      </c>
      <c r="BV33" s="42">
        <f t="shared" si="34"/>
        <v>0.17269885729168913</v>
      </c>
      <c r="BW33" s="42">
        <f t="shared" si="35"/>
        <v>0.75765509706829881</v>
      </c>
      <c r="BX33" s="42">
        <f>0</f>
        <v>0</v>
      </c>
      <c r="BY33" s="42">
        <f t="shared" si="36"/>
        <v>0.85974101639819489</v>
      </c>
      <c r="BZ33" s="42">
        <f t="shared" si="37"/>
        <v>-0.62162199979541533</v>
      </c>
      <c r="CA33" s="46">
        <f t="shared" si="38"/>
        <v>-0.38819390402264048</v>
      </c>
      <c r="CC33" s="354" t="str">
        <f t="shared" si="39"/>
        <v>1.0</v>
      </c>
      <c r="CD33" s="354" t="str">
        <f t="shared" si="40"/>
        <v>3.0</v>
      </c>
      <c r="CE33" s="354" t="str">
        <f t="shared" si="41"/>
        <v>0.986</v>
      </c>
      <c r="CF33" s="354" t="str">
        <f t="shared" si="42"/>
        <v>1.173</v>
      </c>
      <c r="CG33" s="354" t="str">
        <f t="shared" si="43"/>
        <v>3.141592653589793</v>
      </c>
      <c r="CH33" s="354" t="str">
        <f t="shared" si="54"/>
        <v>1.0505992294017819</v>
      </c>
      <c r="CI33" s="354" t="str">
        <f t="shared" si="55"/>
        <v>1.0260691108015572</v>
      </c>
      <c r="CJ33" s="354" t="str">
        <f t="shared" si="56"/>
        <v>1.110232396857064</v>
      </c>
      <c r="CK33" s="354" t="str">
        <f t="shared" si="57"/>
        <v>1.0982338549428547</v>
      </c>
      <c r="CL33" s="354" t="str">
        <f t="shared" si="58"/>
        <v>0.341163803447481</v>
      </c>
      <c r="CM33" s="354" t="str">
        <f t="shared" si="59"/>
        <v>0.777088245583105</v>
      </c>
      <c r="CN33" s="354" t="str">
        <f t="shared" si="60"/>
        <v>0.797019202125787</v>
      </c>
      <c r="CO33" s="354" t="str">
        <f t="shared" si="61"/>
        <v>1.346686630009922</v>
      </c>
      <c r="CP33" s="354" t="str">
        <f t="shared" si="62"/>
        <v>1.166862962754705</v>
      </c>
      <c r="CQ33" s="354" t="str">
        <f t="shared" si="63"/>
        <v>0.558229227573519</v>
      </c>
      <c r="CT33" s="394" t="str">
        <f ca="1">Rotation!BA113</f>
        <v>-</v>
      </c>
      <c r="CU33" s="394" t="str">
        <f ca="1">Rotation!BB113</f>
        <v>-</v>
      </c>
      <c r="CV33" s="394">
        <v>0.5148195165892101</v>
      </c>
      <c r="CW33" s="398" t="e">
        <f t="shared" ca="1" si="64"/>
        <v>#VALUE!</v>
      </c>
      <c r="CX33" s="394" t="str">
        <f ca="1">Rotation!BC113</f>
        <v>-</v>
      </c>
      <c r="CY33" s="394" t="str">
        <f ca="1">Rotation!BD113</f>
        <v>-</v>
      </c>
      <c r="CZ33" s="394">
        <v>0.5166151134382404</v>
      </c>
      <c r="DA33" s="398" t="e">
        <f t="shared" ca="1" si="65"/>
        <v>#VALUE!</v>
      </c>
    </row>
    <row r="36" spans="1:105">
      <c r="AE36" s="1">
        <f>COUNT($AS$22:$BB$29)</f>
        <v>80</v>
      </c>
      <c r="AF36" s="1">
        <f>COUNT($AS$11:$BB$33)</f>
        <v>230</v>
      </c>
      <c r="AG36" s="1">
        <f>COUNT($AS$10:$BB$21)</f>
        <v>120</v>
      </c>
    </row>
    <row r="37" spans="1:105">
      <c r="AE37" s="1" t="b">
        <f t="array" ref="AE37">$AD$22:$AG$29=ABC!$N$22:$X$29</f>
        <v>0</v>
      </c>
      <c r="AF37" s="1" t="b">
        <f t="array" ref="AF37">$AD$11:$AG$33=ABC!$N$11:$X$33</f>
        <v>0</v>
      </c>
      <c r="AG37" s="1" t="b">
        <f t="array" ref="AG37">$AD$10:$AG$21=ABC!$N$10:$X$21</f>
        <v>1</v>
      </c>
    </row>
    <row r="38" spans="1:105">
      <c r="AE38" s="1">
        <f>{1000;1000;0.000001;0.05;FALSE;FALSE;FALSE;1;1;1;0.00000001;FALSE}</f>
        <v>1000</v>
      </c>
      <c r="AF38" s="1">
        <f>{1000;1000;0.000001;0.05;FALSE;FALSE;FALSE;1;1;1;0.00000001;FALSE}</f>
        <v>1000</v>
      </c>
      <c r="AG38" s="1">
        <f>{1000;1000;0.000001;0.05;FALSE;FALSE;FALSE;1;1;1;0.00000001;FALSE}</f>
        <v>1000</v>
      </c>
    </row>
    <row r="48" spans="1:105">
      <c r="A48" s="1"/>
    </row>
    <row r="49" spans="2:82" s="56" customFormat="1">
      <c r="B49" s="1"/>
      <c r="C49" s="2"/>
      <c r="D49" s="1"/>
      <c r="E49" s="2"/>
      <c r="F49" s="2"/>
      <c r="G49" s="2"/>
      <c r="H49" s="409"/>
      <c r="I49" s="409"/>
      <c r="J49" s="409"/>
      <c r="K49" s="409"/>
      <c r="L49" s="409"/>
      <c r="M49" s="409"/>
      <c r="N49" s="409"/>
      <c r="O49" s="409"/>
      <c r="P49" s="409"/>
      <c r="Q49" s="409"/>
      <c r="R49" s="409"/>
      <c r="S49" s="409"/>
      <c r="T49" s="409"/>
      <c r="U49" s="409"/>
      <c r="V49" s="409"/>
      <c r="W49" s="409"/>
      <c r="X49" s="409"/>
      <c r="Y49" s="409"/>
      <c r="Z49" s="409"/>
      <c r="AA49" s="1"/>
      <c r="AB49" s="1"/>
      <c r="AC49" s="1"/>
      <c r="AD49" s="1"/>
      <c r="AE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U49" s="1"/>
      <c r="AV49" s="1"/>
      <c r="AW49" s="1"/>
      <c r="AZ49" s="1"/>
      <c r="BA49" s="1"/>
      <c r="BB49" s="1"/>
      <c r="BI49" s="313"/>
      <c r="CB49" s="1"/>
      <c r="CC49" s="1"/>
      <c r="CD49" s="1"/>
    </row>
    <row r="50" spans="2:82" s="56" customFormat="1">
      <c r="B50" s="1"/>
      <c r="C50" s="2"/>
      <c r="D50" s="1"/>
      <c r="E50" s="2"/>
      <c r="F50" s="2"/>
      <c r="G50" s="2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1"/>
      <c r="AB50" s="1"/>
      <c r="AC50" s="1"/>
      <c r="AD50" s="1"/>
      <c r="AE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U50" s="1"/>
      <c r="AV50" s="1"/>
      <c r="AW50" s="1"/>
      <c r="AZ50" s="1"/>
      <c r="BA50" s="1"/>
      <c r="BB50" s="1"/>
      <c r="BI50" s="313"/>
      <c r="CB50" s="1"/>
      <c r="CC50" s="1"/>
      <c r="CD50" s="1"/>
    </row>
  </sheetData>
  <mergeCells count="15">
    <mergeCell ref="CC2:CQ2"/>
    <mergeCell ref="BJ2:BR2"/>
    <mergeCell ref="BS2:CA2"/>
    <mergeCell ref="A32:A33"/>
    <mergeCell ref="A22:A23"/>
    <mergeCell ref="A24:A27"/>
    <mergeCell ref="A28:A29"/>
    <mergeCell ref="A4:A6"/>
    <mergeCell ref="A7:A8"/>
    <mergeCell ref="A30:A31"/>
    <mergeCell ref="A18:A20"/>
    <mergeCell ref="AB2:AR2"/>
    <mergeCell ref="B2:G2"/>
    <mergeCell ref="H2:AA2"/>
    <mergeCell ref="AS2:BI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7" min="1" max="51" man="1"/>
  </colBreaks>
  <ignoredErrors>
    <ignoredError sqref="AY4:AY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S5" sqref="S5"/>
    </sheetView>
  </sheetViews>
  <sheetFormatPr defaultRowHeight="15" outlineLevelCol="1"/>
  <cols>
    <col min="1" max="1" width="9.42578125" style="238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38" bestFit="1" customWidth="1"/>
    <col min="7" max="7" width="3.7109375" style="238" bestFit="1" customWidth="1"/>
    <col min="8" max="8" width="8.42578125" style="238" bestFit="1" customWidth="1" collapsed="1"/>
    <col min="9" max="9" width="8.28515625" style="238" customWidth="1" collapsed="1"/>
    <col min="10" max="10" width="8.140625" style="238" hidden="1" customWidth="1" outlineLevel="1"/>
    <col min="11" max="13" width="8.140625" style="239" hidden="1" customWidth="1" outlineLevel="1"/>
    <col min="14" max="14" width="8.42578125" style="238" bestFit="1" customWidth="1"/>
    <col min="15" max="15" width="8.28515625" style="238" bestFit="1" customWidth="1"/>
    <col min="16" max="16" width="7.7109375" style="238" bestFit="1" customWidth="1"/>
    <col min="17" max="18" width="8.7109375" style="353" customWidth="1"/>
    <col min="19" max="19" width="9.42578125" style="353" bestFit="1" customWidth="1"/>
    <col min="20" max="20" width="9.42578125" style="353" bestFit="1" customWidth="1" collapsed="1"/>
    <col min="21" max="21" width="8.7109375" style="238" hidden="1" customWidth="1" outlineLevel="1"/>
    <col min="22" max="22" width="7.140625" style="238" hidden="1" customWidth="1" outlineLevel="1"/>
    <col min="23" max="23" width="7.140625" style="1" hidden="1" customWidth="1" outlineLevel="1"/>
    <col min="24" max="24" width="7.140625" style="238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38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38" customWidth="1" collapsed="1"/>
    <col min="43" max="43" width="7.7109375" style="238" customWidth="1"/>
    <col min="44" max="44" width="7.7109375" style="269" customWidth="1"/>
    <col min="45" max="45" width="7.7109375" style="271" customWidth="1" collapsed="1"/>
    <col min="46" max="48" width="7.7109375" style="1" hidden="1" customWidth="1" outlineLevel="1"/>
    <col min="49" max="50" width="7.7109375" style="271" hidden="1" customWidth="1" outlineLevel="1"/>
    <col min="51" max="51" width="7.7109375" style="1" hidden="1" customWidth="1" outlineLevel="1"/>
    <col min="52" max="52" width="7.7109375" style="238" customWidth="1" collapsed="1"/>
    <col min="53" max="55" width="7.7109375" style="238" customWidth="1"/>
    <col min="56" max="56" width="7.7109375" style="272" customWidth="1"/>
    <col min="57" max="57" width="7.7109375" style="238" customWidth="1"/>
    <col min="58" max="58" width="7.7109375" style="313" customWidth="1"/>
    <col min="59" max="59" width="7.7109375" style="313" customWidth="1" collapsed="1"/>
    <col min="60" max="60" width="5.7109375" style="238" hidden="1" customWidth="1" outlineLevel="1"/>
    <col min="61" max="61" width="6.5703125" style="238" hidden="1" customWidth="1" outlineLevel="1"/>
    <col min="62" max="62" width="6.5703125" style="1" hidden="1" customWidth="1" outlineLevel="1"/>
    <col min="63" max="68" width="6.28515625" style="238" hidden="1" customWidth="1" outlineLevel="1"/>
    <col min="69" max="69" width="5.7109375" style="238" hidden="1" customWidth="1" outlineLevel="1"/>
    <col min="70" max="71" width="6" style="238" hidden="1" customWidth="1" outlineLevel="1"/>
    <col min="72" max="77" width="6.28515625" style="266" hidden="1" customWidth="1" outlineLevel="1"/>
    <col min="78" max="83" width="6.28515625" style="238" hidden="1" customWidth="1" outlineLevel="1"/>
    <col min="84" max="104" width="6.28515625" style="270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38" customFormat="1" ht="15.75" customHeight="1" thickBot="1">
      <c r="B1" s="10"/>
      <c r="C1" s="10"/>
      <c r="D1" s="10"/>
      <c r="E1" s="2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13"/>
      <c r="BG1" s="313"/>
      <c r="BI1" s="1"/>
      <c r="BJ1" s="1"/>
      <c r="BK1" s="1"/>
      <c r="BL1" s="1"/>
      <c r="BM1" s="1"/>
      <c r="BP1" s="1"/>
      <c r="BT1" s="266"/>
      <c r="BU1" s="266"/>
      <c r="BV1" s="1"/>
      <c r="BW1" s="1"/>
      <c r="BX1" s="1"/>
      <c r="BY1" s="1"/>
      <c r="BZ1" s="1"/>
      <c r="CA1" s="1"/>
      <c r="CB1" s="1"/>
      <c r="CE1" s="1"/>
      <c r="CF1" s="270"/>
      <c r="CG1" s="270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0"/>
      <c r="CV1" s="270"/>
      <c r="CW1" s="1"/>
      <c r="CX1" s="270"/>
      <c r="CY1" s="270"/>
      <c r="CZ1" s="1"/>
      <c r="DB1" s="400" t="e">
        <f ca="1">SUMXMY2(DB4:DB12,DC4:DC12)+SUMXMY2(DF4:DF12,DG4:DG12)</f>
        <v>#DIV/0!</v>
      </c>
    </row>
    <row r="2" spans="1:115" s="238" customFormat="1" ht="15" customHeight="1" thickBot="1">
      <c r="A2" s="368" t="s">
        <v>403</v>
      </c>
      <c r="B2" s="568" t="s">
        <v>61</v>
      </c>
      <c r="C2" s="569"/>
      <c r="D2" s="569"/>
      <c r="E2" s="570"/>
      <c r="F2" s="548" t="s">
        <v>72</v>
      </c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49"/>
      <c r="U2" s="371"/>
      <c r="V2" s="371"/>
      <c r="W2" s="371"/>
      <c r="X2" s="372"/>
      <c r="Y2" s="563" t="s">
        <v>71</v>
      </c>
      <c r="Z2" s="564"/>
      <c r="AA2" s="564"/>
      <c r="AB2" s="564"/>
      <c r="AC2" s="564"/>
      <c r="AD2" s="564"/>
      <c r="AE2" s="564"/>
      <c r="AF2" s="564"/>
      <c r="AG2" s="564"/>
      <c r="AH2" s="564"/>
      <c r="AI2" s="564"/>
      <c r="AJ2" s="564"/>
      <c r="AK2" s="564"/>
      <c r="AL2" s="564"/>
      <c r="AM2" s="564"/>
      <c r="AN2" s="564"/>
      <c r="AO2" s="565"/>
      <c r="AP2" s="548" t="s">
        <v>62</v>
      </c>
      <c r="AQ2" s="524"/>
      <c r="AR2" s="524"/>
      <c r="AS2" s="524"/>
      <c r="AT2" s="524"/>
      <c r="AU2" s="524"/>
      <c r="AV2" s="524"/>
      <c r="AW2" s="524"/>
      <c r="AX2" s="524"/>
      <c r="AY2" s="524"/>
      <c r="AZ2" s="524"/>
      <c r="BA2" s="524"/>
      <c r="BB2" s="524"/>
      <c r="BC2" s="524"/>
      <c r="BD2" s="524"/>
      <c r="BE2" s="524"/>
      <c r="BF2" s="524"/>
      <c r="BG2" s="547"/>
      <c r="BH2" s="340" t="s">
        <v>438</v>
      </c>
      <c r="BI2" s="289"/>
      <c r="BJ2" s="289"/>
      <c r="BK2" s="560" t="s">
        <v>443</v>
      </c>
      <c r="BL2" s="566"/>
      <c r="BM2" s="566"/>
      <c r="BN2" s="566"/>
      <c r="BO2" s="566"/>
      <c r="BP2" s="566"/>
      <c r="BQ2" s="560" t="s">
        <v>389</v>
      </c>
      <c r="BR2" s="567"/>
      <c r="BS2" s="567"/>
      <c r="BT2" s="560" t="s">
        <v>390</v>
      </c>
      <c r="BU2" s="560"/>
      <c r="BV2" s="560"/>
      <c r="BW2" s="560"/>
      <c r="BX2" s="560"/>
      <c r="BY2" s="560"/>
      <c r="BZ2" s="560"/>
      <c r="CA2" s="560"/>
      <c r="CB2" s="560"/>
      <c r="CC2" s="560"/>
      <c r="CD2" s="560"/>
      <c r="CE2" s="560"/>
      <c r="CF2" s="560" t="s">
        <v>459</v>
      </c>
      <c r="CG2" s="560"/>
      <c r="CH2" s="560"/>
      <c r="CI2" s="560"/>
      <c r="CJ2" s="560"/>
      <c r="CK2" s="560"/>
      <c r="CL2" s="560"/>
      <c r="CM2" s="560"/>
      <c r="CN2" s="560"/>
      <c r="CO2" s="560"/>
      <c r="CP2" s="560"/>
      <c r="CQ2" s="560"/>
      <c r="CR2" s="560"/>
      <c r="CS2" s="560"/>
      <c r="CT2" s="560"/>
      <c r="CU2" s="560"/>
      <c r="CV2" s="560"/>
      <c r="CW2" s="560"/>
      <c r="CX2" s="560"/>
      <c r="CY2" s="560"/>
      <c r="CZ2" s="561"/>
    </row>
    <row r="3" spans="1:115" s="238" customFormat="1" ht="33" customHeight="1">
      <c r="A3" s="290" t="s">
        <v>0</v>
      </c>
      <c r="B3" s="291" t="s">
        <v>431</v>
      </c>
      <c r="C3" s="292" t="s">
        <v>432</v>
      </c>
      <c r="D3" s="291" t="s">
        <v>433</v>
      </c>
      <c r="E3" s="293" t="s">
        <v>434</v>
      </c>
      <c r="F3" s="290" t="s">
        <v>364</v>
      </c>
      <c r="G3" s="294" t="s">
        <v>427</v>
      </c>
      <c r="H3" s="294" t="s">
        <v>363</v>
      </c>
      <c r="I3" s="294" t="s">
        <v>428</v>
      </c>
      <c r="J3" s="295" t="s">
        <v>429</v>
      </c>
      <c r="K3" s="295" t="s">
        <v>430</v>
      </c>
      <c r="L3" s="295" t="s">
        <v>425</v>
      </c>
      <c r="M3" s="295" t="s">
        <v>426</v>
      </c>
      <c r="N3" s="295" t="s">
        <v>435</v>
      </c>
      <c r="O3" s="295" t="s">
        <v>436</v>
      </c>
      <c r="P3" s="294" t="s">
        <v>494</v>
      </c>
      <c r="Q3" s="294" t="s">
        <v>455</v>
      </c>
      <c r="R3" s="294" t="s">
        <v>456</v>
      </c>
      <c r="S3" s="294" t="s">
        <v>515</v>
      </c>
      <c r="T3" s="294" t="s">
        <v>516</v>
      </c>
      <c r="U3" s="294" t="s">
        <v>38</v>
      </c>
      <c r="V3" s="294" t="s">
        <v>397</v>
      </c>
      <c r="W3" s="294" t="s">
        <v>396</v>
      </c>
      <c r="X3" s="296" t="s">
        <v>398</v>
      </c>
      <c r="Y3" s="297" t="s">
        <v>5</v>
      </c>
      <c r="Z3" s="298" t="s">
        <v>4</v>
      </c>
      <c r="AA3" s="298" t="s">
        <v>394</v>
      </c>
      <c r="AB3" s="298" t="s">
        <v>437</v>
      </c>
      <c r="AC3" s="298" t="s">
        <v>30</v>
      </c>
      <c r="AD3" s="298" t="s">
        <v>41</v>
      </c>
      <c r="AE3" s="298" t="s">
        <v>400</v>
      </c>
      <c r="AF3" s="298" t="s">
        <v>401</v>
      </c>
      <c r="AG3" s="298" t="s">
        <v>402</v>
      </c>
      <c r="AH3" s="294" t="s">
        <v>455</v>
      </c>
      <c r="AI3" s="294" t="s">
        <v>456</v>
      </c>
      <c r="AJ3" s="294" t="s">
        <v>482</v>
      </c>
      <c r="AK3" s="294" t="s">
        <v>483</v>
      </c>
      <c r="AL3" s="299" t="s">
        <v>36</v>
      </c>
      <c r="AM3" s="298" t="s">
        <v>42</v>
      </c>
      <c r="AN3" s="298" t="s">
        <v>385</v>
      </c>
      <c r="AO3" s="341" t="s">
        <v>386</v>
      </c>
      <c r="AP3" s="290" t="s">
        <v>458</v>
      </c>
      <c r="AQ3" s="339" t="s">
        <v>457</v>
      </c>
      <c r="AR3" s="300" t="s">
        <v>488</v>
      </c>
      <c r="AS3" s="300" t="s">
        <v>489</v>
      </c>
      <c r="AT3" s="294" t="s">
        <v>420</v>
      </c>
      <c r="AU3" s="294" t="s">
        <v>421</v>
      </c>
      <c r="AV3" s="294" t="s">
        <v>422</v>
      </c>
      <c r="AW3" s="300" t="s">
        <v>439</v>
      </c>
      <c r="AX3" s="300" t="s">
        <v>484</v>
      </c>
      <c r="AY3" s="294" t="s">
        <v>440</v>
      </c>
      <c r="AZ3" s="294" t="s">
        <v>411</v>
      </c>
      <c r="BA3" s="294" t="s">
        <v>412</v>
      </c>
      <c r="BB3" s="294" t="s">
        <v>413</v>
      </c>
      <c r="BC3" s="294" t="s">
        <v>441</v>
      </c>
      <c r="BD3" s="294" t="s">
        <v>490</v>
      </c>
      <c r="BE3" s="294" t="s">
        <v>442</v>
      </c>
      <c r="BF3" s="295" t="s">
        <v>511</v>
      </c>
      <c r="BG3" s="345" t="s">
        <v>510</v>
      </c>
      <c r="BH3" s="339" t="s">
        <v>43</v>
      </c>
      <c r="BI3" s="294" t="s">
        <v>486</v>
      </c>
      <c r="BJ3" s="294" t="s">
        <v>485</v>
      </c>
      <c r="BK3" s="294" t="s">
        <v>450</v>
      </c>
      <c r="BL3" s="294" t="s">
        <v>451</v>
      </c>
      <c r="BM3" s="294" t="s">
        <v>452</v>
      </c>
      <c r="BN3" s="294" t="s">
        <v>444</v>
      </c>
      <c r="BO3" s="294" t="s">
        <v>445</v>
      </c>
      <c r="BP3" s="294" t="s">
        <v>446</v>
      </c>
      <c r="BQ3" s="294" t="s">
        <v>43</v>
      </c>
      <c r="BR3" s="301" t="s">
        <v>55</v>
      </c>
      <c r="BS3" s="301" t="s">
        <v>56</v>
      </c>
      <c r="BT3" s="294" t="s">
        <v>453</v>
      </c>
      <c r="BU3" s="294" t="s">
        <v>454</v>
      </c>
      <c r="BV3" s="294" t="s">
        <v>478</v>
      </c>
      <c r="BW3" s="294" t="s">
        <v>450</v>
      </c>
      <c r="BX3" s="294" t="s">
        <v>451</v>
      </c>
      <c r="BY3" s="294" t="s">
        <v>452</v>
      </c>
      <c r="BZ3" s="294" t="s">
        <v>444</v>
      </c>
      <c r="CA3" s="294" t="s">
        <v>445</v>
      </c>
      <c r="CB3" s="294" t="s">
        <v>446</v>
      </c>
      <c r="CC3" s="294" t="s">
        <v>447</v>
      </c>
      <c r="CD3" s="294" t="s">
        <v>448</v>
      </c>
      <c r="CE3" s="294" t="s">
        <v>449</v>
      </c>
      <c r="CF3" s="294" t="s">
        <v>460</v>
      </c>
      <c r="CG3" s="294" t="s">
        <v>461</v>
      </c>
      <c r="CH3" s="294" t="s">
        <v>462</v>
      </c>
      <c r="CI3" s="294" t="s">
        <v>463</v>
      </c>
      <c r="CJ3" s="294" t="s">
        <v>464</v>
      </c>
      <c r="CK3" s="294" t="s">
        <v>465</v>
      </c>
      <c r="CL3" s="294" t="s">
        <v>466</v>
      </c>
      <c r="CM3" s="294" t="s">
        <v>467</v>
      </c>
      <c r="CN3" s="294" t="s">
        <v>468</v>
      </c>
      <c r="CO3" s="294" t="s">
        <v>469</v>
      </c>
      <c r="CP3" s="294" t="s">
        <v>470</v>
      </c>
      <c r="CQ3" s="294" t="s">
        <v>471</v>
      </c>
      <c r="CR3" s="294" t="s">
        <v>472</v>
      </c>
      <c r="CS3" s="294" t="s">
        <v>473</v>
      </c>
      <c r="CT3" s="294" t="s">
        <v>474</v>
      </c>
      <c r="CU3" s="294" t="s">
        <v>475</v>
      </c>
      <c r="CV3" s="294" t="s">
        <v>476</v>
      </c>
      <c r="CW3" s="294" t="s">
        <v>477</v>
      </c>
      <c r="CX3" s="294" t="s">
        <v>479</v>
      </c>
      <c r="CY3" s="294" t="s">
        <v>480</v>
      </c>
      <c r="CZ3" s="296" t="s">
        <v>481</v>
      </c>
      <c r="DB3" s="393" t="s">
        <v>554</v>
      </c>
      <c r="DC3" s="399" t="s">
        <v>555</v>
      </c>
      <c r="DD3" s="397" t="s">
        <v>558</v>
      </c>
      <c r="DE3" s="398"/>
      <c r="DF3" s="399" t="s">
        <v>565</v>
      </c>
      <c r="DG3" s="399" t="s">
        <v>564</v>
      </c>
      <c r="DH3" s="399" t="s">
        <v>566</v>
      </c>
      <c r="DI3" s="398"/>
    </row>
    <row r="4" spans="1:115" s="238" customFormat="1" ht="15" customHeight="1">
      <c r="A4" s="562" t="s">
        <v>404</v>
      </c>
      <c r="B4" s="273">
        <v>-13.59844</v>
      </c>
      <c r="C4" s="274">
        <v>1</v>
      </c>
      <c r="D4" s="273">
        <v>-13.61806</v>
      </c>
      <c r="E4" s="285">
        <v>4</v>
      </c>
      <c r="F4" s="287">
        <v>1</v>
      </c>
      <c r="G4" s="275">
        <v>1</v>
      </c>
      <c r="H4" s="276">
        <v>0.95</v>
      </c>
      <c r="I4" s="276">
        <v>1.4750000000000001</v>
      </c>
      <c r="J4" s="277">
        <f t="shared" ref="J4:K12" si="0">RADIANS(L4)</f>
        <v>1.6545721308906243</v>
      </c>
      <c r="K4" s="277">
        <f t="shared" si="0"/>
        <v>2.0909044438892068</v>
      </c>
      <c r="L4" s="277">
        <v>94.8</v>
      </c>
      <c r="M4" s="277">
        <v>119.8</v>
      </c>
      <c r="N4" s="275">
        <v>-3.88</v>
      </c>
      <c r="O4" s="275">
        <v>-2.1829999999999998</v>
      </c>
      <c r="P4" s="276">
        <v>1.77</v>
      </c>
      <c r="Q4" s="363">
        <f>AH4</f>
        <v>-10.580000000001572</v>
      </c>
      <c r="R4" s="363">
        <f>AI4</f>
        <v>-13.422072586883299</v>
      </c>
      <c r="S4" s="363">
        <f>AJ4</f>
        <v>-10.986026491216782</v>
      </c>
      <c r="T4" s="363">
        <f>AK4</f>
        <v>-13.906620472376543</v>
      </c>
      <c r="U4" s="276">
        <v>-10.58</v>
      </c>
      <c r="V4" s="37">
        <f t="shared" ref="V4:V12" si="1">IF(AM4&lt;0,AM4,LARGE($AH4:$AK4,MID(V$3,3,1)))</f>
        <v>-10.986026491216782</v>
      </c>
      <c r="W4" s="37">
        <f t="shared" ref="W4:W12" si="2">IF(AN4&lt;0,AN4,LARGE($AH4:$AK4,MID(W$3,3,1)))</f>
        <v>-13.422072586883299</v>
      </c>
      <c r="X4" s="39">
        <f t="shared" ref="X4:X12" si="3">IF(AO4&lt;0,AO4,LARGE($AH4:$AK4,MID(X$3,3,1)))</f>
        <v>-13.906620472376543</v>
      </c>
      <c r="Y4" s="253">
        <f>SUMXMY2(Q4:T4,AH4:AK4)+SUMXMY2(N4:P4,AA4:AC4)</f>
        <v>9.6485698235709415E-12</v>
      </c>
      <c r="Z4" s="30" t="b">
        <f t="shared" ref="Z4:Z12" si="4">AND(ABS(AA4-$N4)&lt;0.0001,ABS(O4-$AB4)&lt;0.0001,ABS(AC4-P4)&lt;0.0001,ABS(AD4-$U4)&lt;0.0001,MAX(AH4:AK4)=AD4)</f>
        <v>1</v>
      </c>
      <c r="AA4" s="31">
        <f t="shared" ref="AA4:AA12" si="5">-(14.3998434*AQ4*AP4/(H4^3)*(SIN(AU4)*SIN(AT4)*COS(AV4)-2*COS(AU4)*COS(AT4)))*F4</f>
        <v>-3.8799999999037871</v>
      </c>
      <c r="AB4" s="31">
        <f t="shared" ref="AB4:AB12" si="6">-(14.3998434*AR4*AS4/(I4^3)*(SIN(AW4)*SIN(AX4)*COS(AY4)-2*COS(AW4)*COS(AX4)))*G4</f>
        <v>-2.1830000000048897</v>
      </c>
      <c r="AC4" s="31">
        <f>4.803*SUMSQ(CX4:CZ4)^0.5</f>
        <v>1.7700031062147084</v>
      </c>
      <c r="AD4" s="31">
        <f t="shared" ref="AD4:AD12" si="7">MAX($AH4:$AK4)</f>
        <v>-10.580000000001572</v>
      </c>
      <c r="AE4" s="31">
        <f t="shared" ref="AE4:AE12" si="8">LARGE($AH4:$AK4,MID(V$3,3,1))</f>
        <v>-10.986026491216782</v>
      </c>
      <c r="AF4" s="31">
        <f t="shared" ref="AF4:AG12" si="9">LARGE($AH4:$AK4,MID(W$3,3,1))</f>
        <v>-13.422072586883299</v>
      </c>
      <c r="AG4" s="31">
        <f t="shared" si="9"/>
        <v>-13.906620472376543</v>
      </c>
      <c r="AH4" s="31">
        <f t="shared" ref="AH4:AH12" si="10">-14.3998434/AP4-14.3998434/BR4+14.3998434/H4</f>
        <v>-10.580000000001572</v>
      </c>
      <c r="AI4" s="31">
        <f t="shared" ref="AI4:AI12" si="11">-14.3998434/AQ4-14.3998434/BS4+14.3998434/$H4</f>
        <v>-13.422072586883299</v>
      </c>
      <c r="AJ4" s="31">
        <f t="shared" ref="AJ4:AJ12" si="12">-14.3998434/BJ4-14.3998434/AR4+14.3998434/I4</f>
        <v>-10.986026491216782</v>
      </c>
      <c r="AK4" s="31">
        <f t="shared" ref="AK4:AK12" si="13">-14.3998434/BI4-14.3998434/AS4+14.3998434/I4</f>
        <v>-13.906620472376543</v>
      </c>
      <c r="AL4" s="273"/>
      <c r="AM4" s="273"/>
      <c r="AN4" s="273"/>
      <c r="AO4" s="342"/>
      <c r="AP4" s="241">
        <v>0.98363846946336453</v>
      </c>
      <c r="AQ4" s="322">
        <v>1.0101469620494492</v>
      </c>
      <c r="AR4" s="35">
        <v>1.2358589811349328</v>
      </c>
      <c r="AS4" s="35">
        <v>1.1948546606838915</v>
      </c>
      <c r="AT4" s="37">
        <v>1.0724204890672184</v>
      </c>
      <c r="AU4" s="37">
        <v>1.0754136241152994</v>
      </c>
      <c r="AV4" s="37">
        <v>0.47575129111853903</v>
      </c>
      <c r="AW4" s="37">
        <v>1.2361804030011518</v>
      </c>
      <c r="AX4" s="37">
        <v>0.94417301195581049</v>
      </c>
      <c r="AY4" s="37">
        <v>0.36526619567730334</v>
      </c>
      <c r="AZ4" s="38">
        <f t="shared" ref="AZ4:AZ12" si="14">DEGREES(AT4)</f>
        <v>61.445167886907257</v>
      </c>
      <c r="BA4" s="38">
        <f t="shared" ref="BA4:BA12" si="15">DEGREES(AU4)</f>
        <v>61.616661892674983</v>
      </c>
      <c r="BB4" s="38">
        <f>DEGREES(AV4)</f>
        <v>27.258541078992053</v>
      </c>
      <c r="BC4" s="38">
        <f t="shared" ref="BC4:BD12" si="16">DEGREES(AW4)</f>
        <v>70.827919808747239</v>
      </c>
      <c r="BD4" s="38">
        <f t="shared" si="16"/>
        <v>54.097128715222958</v>
      </c>
      <c r="BE4" s="38">
        <f>DEGREES(AY4)</f>
        <v>20.928211411109157</v>
      </c>
      <c r="BF4" s="38">
        <f t="shared" ref="BF4:BF12" si="17">DEGREES(J4)</f>
        <v>94.8</v>
      </c>
      <c r="BG4" s="250">
        <f t="shared" ref="BG4:BG12" si="18">DEGREES(K4)</f>
        <v>119.8</v>
      </c>
      <c r="BH4" s="322">
        <f>SUMXMY2(BK4:BM4,BN4:BP4)^0.5</f>
        <v>2.1320428477690823</v>
      </c>
      <c r="BI4" s="35">
        <f t="shared" ref="BI4:BI12" si="19">SQRT((-I4-BN4)^2+(BO4)^2+BP4^2)</f>
        <v>1.2394764352687138</v>
      </c>
      <c r="BJ4" s="35">
        <f>SUMSQ(BK4:BM4)^0.5</f>
        <v>1.5829319477452364</v>
      </c>
      <c r="BK4" s="37">
        <f t="shared" ref="BK4:BK12" si="20">-(I4-AR4*COS(AW4))</f>
        <v>-1.069135976251069</v>
      </c>
      <c r="BL4" s="37">
        <f t="shared" ref="BL4:BL12" si="21">AR4*SIN(AW4)</f>
        <v>1.1673139318444723</v>
      </c>
      <c r="BM4" s="37">
        <f>0</f>
        <v>0</v>
      </c>
      <c r="BN4" s="37">
        <f t="shared" ref="BN4:BN12" si="22">-AS4*COS(AX4)</f>
        <v>-0.70067824629545061</v>
      </c>
      <c r="BO4" s="37">
        <f t="shared" ref="BO4:BO12" si="23">-AS4*SIN(AX4)*COS(AY4)</f>
        <v>-0.90399680736265442</v>
      </c>
      <c r="BP4" s="37">
        <f t="shared" ref="BP4:BP12" si="24">-AS4*SIN(AX4)*SIN(AY4)</f>
        <v>-0.34571292657995462</v>
      </c>
      <c r="BQ4" s="35">
        <f>SUMXMY2(BZ4:CB4,CC4:CE4)^0.5</f>
        <v>1.740598181598374</v>
      </c>
      <c r="BR4" s="35">
        <f>SUMSQ(CC4:CE4)^0.5</f>
        <v>1.297474413112395</v>
      </c>
      <c r="BS4" s="35">
        <f t="shared" ref="BS4:BS12" si="25">SQRT((-H4*COS(J4)-BZ4)^2+(H4*SIN(J4)-CA4)^2+CB4^2)</f>
        <v>1.0052523176391073</v>
      </c>
      <c r="BT4" s="37">
        <f t="shared" ref="BT4:BT12" si="26">-CC4-I4</f>
        <v>-2.2804986071738544</v>
      </c>
      <c r="BU4" s="37">
        <f t="shared" ref="BU4:BU12" si="27">CD4*COS(K4)+CE4*SIN(K4)</f>
        <v>-0.80906462231478593</v>
      </c>
      <c r="BV4" s="37">
        <f t="shared" ref="BV4:BV12" si="28">-CD4*SIN(K4)+CE4*COS(K4)</f>
        <v>-0.61646271861400281</v>
      </c>
      <c r="BW4" s="37">
        <f t="shared" ref="BW4:BW12" si="29">-BZ4-I4</f>
        <v>-0.62958425674764873</v>
      </c>
      <c r="BX4" s="37">
        <f t="shared" ref="BX4:BX12" si="30">CA4*COS(K4)+CB4*SIN(K4)</f>
        <v>-0.27476373279117372</v>
      </c>
      <c r="BY4" s="37">
        <f t="shared" ref="BY4:BY12" si="31">-CA4*SIN(K4)+CB4*COS(K4)</f>
        <v>-0.47976452259568564</v>
      </c>
      <c r="BZ4" s="37">
        <f t="shared" ref="BZ4:BZ12" si="32">-AQ4*COS(J4-AU4)</f>
        <v>-0.84541574325235136</v>
      </c>
      <c r="CA4" s="37">
        <f t="shared" ref="CA4:CA12" si="33">AQ4*SIN(J4-AU4)</f>
        <v>0.55287349909251904</v>
      </c>
      <c r="CB4" s="37">
        <f>0</f>
        <v>0</v>
      </c>
      <c r="CC4" s="37">
        <f t="shared" ref="CC4:CC12" si="34">(-H4*COS(J4)-AP4*SIN(J4-AT4-PI()/2))*(COS(J4)^2*(1-COS(AV4))+COS(AV4))+(H4*SIN(J4)-AP4*COS(J4-AT4-PI()/2))*(-SIN(J4)*COS(J4)*(1-COS(AV4)))</f>
        <v>0.80549860717385424</v>
      </c>
      <c r="CD4" s="37">
        <f t="shared" ref="CD4:CD12" si="35">(-I4*COS(J4)-AP4*SIN(J4-AT4-PI()/2))*(-SIN(J4)*COS(J4)*(1-COS(AV4)))+(I4*SIN(J4)-AP4*COS(J4-AT4-PI()/2))*(SIN(J4)^2*(1-COS(AV4))+COS(AV4))</f>
        <v>0.9370291005821646</v>
      </c>
      <c r="CE4" s="37">
        <f t="shared" ref="CE4:CE12" si="36">(-I4*COS(J4)-AP4*SIN(J4-AT4-PI()/2))*(-SIN(J4)*SIN(AV4))+(I4*SIN(J4)-AP4*COS(J4-AT4-PI()/2))*(-COS(J4)*SIN(AV4))</f>
        <v>-0.39571240969233479</v>
      </c>
      <c r="CF4" s="37">
        <f>-$I4-CU4</f>
        <v>-1.5151504060598597</v>
      </c>
      <c r="CG4" s="37">
        <f t="shared" ref="CG4:CG12" si="37">CV4*COS(K4)+CW4*SIN(K4)</f>
        <v>-0.23762235124597716</v>
      </c>
      <c r="CH4" s="37">
        <f t="shared" ref="CH4:CH12" si="38">-CV4*SIN(K4)+CW4*COS(K4)</f>
        <v>-0.41491201457157045</v>
      </c>
      <c r="CI4" s="37">
        <f>-$I4-CR4</f>
        <v>-1.515181424903844</v>
      </c>
      <c r="CJ4" s="37">
        <f t="shared" ref="CJ4:CJ12" si="39">CS4*COS(K4)+CT4*SIN(K4)</f>
        <v>-0.23780593022720828</v>
      </c>
      <c r="CK4" s="37">
        <f t="shared" ref="CK4:CK12" si="40">-CS4*SIN(K4)+CT4*COS(K4)</f>
        <v>-0.41523256154257804</v>
      </c>
      <c r="CL4" s="37">
        <f>BN4</f>
        <v>-0.70067824629545061</v>
      </c>
      <c r="CM4" s="37">
        <f>0</f>
        <v>0</v>
      </c>
      <c r="CN4" s="37">
        <f>0</f>
        <v>0</v>
      </c>
      <c r="CO4" s="37">
        <f>BK4</f>
        <v>-1.069135976251069</v>
      </c>
      <c r="CP4" s="37">
        <f>0</f>
        <v>0</v>
      </c>
      <c r="CQ4" s="37">
        <f>0</f>
        <v>0</v>
      </c>
      <c r="CR4" s="37">
        <f t="shared" ref="CR4:CR12" si="41">COS(PI()-J4)*AQ4*COS(AU4)</f>
        <v>4.0181424903844014E-2</v>
      </c>
      <c r="CS4" s="37">
        <f t="shared" ref="CS4:CS12" si="42">SIN(PI()-J4)*AQ4*COS(AU4)</f>
        <v>0.47850782712139489</v>
      </c>
      <c r="CT4" s="37">
        <f>0</f>
        <v>0</v>
      </c>
      <c r="CU4" s="37">
        <f t="shared" ref="CU4:CU12" si="43">H4*COS(PI()-J4)-COS(PI()-J4)*AP4*COS(AT4)</f>
        <v>4.0150406059859707E-2</v>
      </c>
      <c r="CV4" s="37">
        <f t="shared" ref="CV4:CV12" si="44">H4*SIN(PI()-J4)-SIN(PI()-J4)*AP4*COS(AT4)</f>
        <v>0.47813843356030861</v>
      </c>
      <c r="CW4" s="37">
        <f>0</f>
        <v>0</v>
      </c>
      <c r="CX4" s="37">
        <f>CF4-CI4+CL4-CO4+CR4-CU4</f>
        <v>0.36851976764358702</v>
      </c>
      <c r="CY4" s="37">
        <f t="shared" ref="CY4:CZ12" si="45">CG4-CJ4+CM4-CP4+CS4-CV4</f>
        <v>5.5297254231739812E-4</v>
      </c>
      <c r="CZ4" s="39">
        <f t="shared" si="45"/>
        <v>3.2054697100758478E-4</v>
      </c>
      <c r="DA4" s="15"/>
      <c r="DB4" s="394" t="str">
        <f ca="1">Rotation!BA137</f>
        <v>-</v>
      </c>
      <c r="DC4" s="394" t="str">
        <f ca="1">Rotation!BB137</f>
        <v>-</v>
      </c>
      <c r="DD4" s="394">
        <v>0.48591247394716403</v>
      </c>
      <c r="DE4" s="398" t="e">
        <f ca="1">N(ROUND(DB4,3)=ROUND(DC4,3))</f>
        <v>#VALUE!</v>
      </c>
      <c r="DF4" s="394" t="str">
        <f ca="1">Rotation!BC137</f>
        <v>-</v>
      </c>
      <c r="DG4" s="394" t="str">
        <f ca="1">Rotation!BD137</f>
        <v>-</v>
      </c>
      <c r="DH4" s="394">
        <v>0.59238276067240747</v>
      </c>
      <c r="DI4" s="398" t="e">
        <f ca="1">N(ROUND(DF4,3)=ROUND(DG4,3))</f>
        <v>#VALUE!</v>
      </c>
      <c r="DJ4" s="232"/>
      <c r="DK4" s="232"/>
    </row>
    <row r="5" spans="1:115" s="238" customFormat="1" ht="15" customHeight="1">
      <c r="A5" s="562"/>
      <c r="B5" s="273">
        <v>-13.59844</v>
      </c>
      <c r="C5" s="274">
        <v>1</v>
      </c>
      <c r="D5" s="273">
        <v>-13.61806</v>
      </c>
      <c r="E5" s="285">
        <v>4</v>
      </c>
      <c r="F5" s="287">
        <v>1</v>
      </c>
      <c r="G5" s="275">
        <v>1</v>
      </c>
      <c r="H5" s="276">
        <v>0.98799999999999999</v>
      </c>
      <c r="I5" s="276">
        <v>1.458</v>
      </c>
      <c r="J5" s="276">
        <f t="shared" si="0"/>
        <v>1.778490507782222</v>
      </c>
      <c r="K5" s="277">
        <f t="shared" si="0"/>
        <v>1.5742869852988852</v>
      </c>
      <c r="L5" s="277">
        <v>101.9</v>
      </c>
      <c r="M5" s="277">
        <v>90.2</v>
      </c>
      <c r="N5" s="275">
        <v>-3.88</v>
      </c>
      <c r="O5" s="275">
        <v>-2.1829999999999998</v>
      </c>
      <c r="P5" s="276">
        <v>1.77</v>
      </c>
      <c r="Q5" s="363">
        <f t="shared" ref="Q5:Q12" si="46">AH5</f>
        <v>-10.580000000011996</v>
      </c>
      <c r="R5" s="363">
        <f t="shared" ref="R5:R12" si="47">AI5</f>
        <v>-13.309265670493911</v>
      </c>
      <c r="S5" s="363">
        <f t="shared" ref="S5:S12" si="48">AJ5</f>
        <v>-10.675436945055765</v>
      </c>
      <c r="T5" s="363">
        <f t="shared" ref="T5:T12" si="49">AK5</f>
        <v>-13.936345244545944</v>
      </c>
      <c r="U5" s="276">
        <v>-10.58</v>
      </c>
      <c r="V5" s="37">
        <f t="shared" si="1"/>
        <v>-10.675436945055765</v>
      </c>
      <c r="W5" s="37">
        <f t="shared" si="2"/>
        <v>-13.309265670493911</v>
      </c>
      <c r="X5" s="39">
        <f t="shared" si="3"/>
        <v>-13.936345244545944</v>
      </c>
      <c r="Y5" s="253">
        <f t="shared" ref="Y5:Y12" si="50">SUMXMY2(Q5:T5,AH5:AK5)+SUMXMY2(N5:P5,AA5:AC5)</f>
        <v>1.637322369295404E-10</v>
      </c>
      <c r="Z5" s="30" t="b">
        <f t="shared" si="4"/>
        <v>1</v>
      </c>
      <c r="AA5" s="31">
        <f t="shared" si="5"/>
        <v>-3.8799999999721022</v>
      </c>
      <c r="AB5" s="31">
        <f t="shared" si="6"/>
        <v>-2.1829999999872083</v>
      </c>
      <c r="AC5" s="31">
        <f t="shared" ref="AC5:AC12" si="51">4.803*SUMSQ(CX5:CZ5)^0.5</f>
        <v>1.7699872042101874</v>
      </c>
      <c r="AD5" s="31">
        <f t="shared" si="7"/>
        <v>-10.580000000011996</v>
      </c>
      <c r="AE5" s="31">
        <f t="shared" si="8"/>
        <v>-10.675436945055765</v>
      </c>
      <c r="AF5" s="31">
        <f t="shared" si="9"/>
        <v>-13.309265670493911</v>
      </c>
      <c r="AG5" s="31">
        <f t="shared" si="9"/>
        <v>-13.936345244545944</v>
      </c>
      <c r="AH5" s="31">
        <f t="shared" si="10"/>
        <v>-10.580000000011996</v>
      </c>
      <c r="AI5" s="31">
        <f t="shared" si="11"/>
        <v>-13.309265670493911</v>
      </c>
      <c r="AJ5" s="31">
        <f t="shared" si="12"/>
        <v>-10.675436945055765</v>
      </c>
      <c r="AK5" s="31">
        <f t="shared" si="13"/>
        <v>-13.936345244545944</v>
      </c>
      <c r="AL5" s="273"/>
      <c r="AM5" s="273"/>
      <c r="AN5" s="273"/>
      <c r="AO5" s="342"/>
      <c r="AP5" s="241">
        <v>1.0582781044129199</v>
      </c>
      <c r="AQ5" s="322">
        <v>1.02361434291585</v>
      </c>
      <c r="AR5" s="35">
        <v>1.2909755437554653</v>
      </c>
      <c r="AS5" s="35">
        <v>1.1345007379636138</v>
      </c>
      <c r="AT5" s="37">
        <v>1.0610816092080524</v>
      </c>
      <c r="AU5" s="37">
        <v>1.0887545906243024</v>
      </c>
      <c r="AV5" s="37">
        <v>0.46214845523425213</v>
      </c>
      <c r="AW5" s="37">
        <v>1.1769801502837234</v>
      </c>
      <c r="AX5" s="37">
        <v>1.0183699716626202</v>
      </c>
      <c r="AY5" s="37">
        <v>0.40168705434838603</v>
      </c>
      <c r="AZ5" s="38">
        <f t="shared" si="14"/>
        <v>60.795497926571151</v>
      </c>
      <c r="BA5" s="38">
        <f t="shared" si="15"/>
        <v>62.381042968266236</v>
      </c>
      <c r="BB5" s="38">
        <f t="shared" ref="BB5:BB12" si="52">DEGREES(AV5)</f>
        <v>26.479155993413308</v>
      </c>
      <c r="BC5" s="38">
        <f t="shared" si="16"/>
        <v>67.435995181930707</v>
      </c>
      <c r="BD5" s="38">
        <f t="shared" si="16"/>
        <v>58.348301359125379</v>
      </c>
      <c r="BE5" s="38">
        <f t="shared" ref="BE5:BE12" si="53">DEGREES(AY5)</f>
        <v>23.014972899204643</v>
      </c>
      <c r="BF5" s="38">
        <f t="shared" si="17"/>
        <v>101.9</v>
      </c>
      <c r="BG5" s="250">
        <f t="shared" si="18"/>
        <v>90.2</v>
      </c>
      <c r="BH5" s="322">
        <f t="shared" ref="BH5:BH12" si="54">SUMXMY2(BK5:BM5,BN5:BP5)^0.5</f>
        <v>2.1466631584675642</v>
      </c>
      <c r="BI5" s="35">
        <f t="shared" si="19"/>
        <v>1.2949370060993184</v>
      </c>
      <c r="BJ5" s="35">
        <f t="shared" ref="BJ5:BJ12" si="55">SUMSQ(BK5:BM5)^0.5</f>
        <v>1.5322831512902215</v>
      </c>
      <c r="BK5" s="37">
        <f t="shared" si="20"/>
        <v>-0.96263299079326903</v>
      </c>
      <c r="BL5" s="37">
        <f t="shared" si="21"/>
        <v>1.1921532538915867</v>
      </c>
      <c r="BM5" s="37">
        <f>0</f>
        <v>0</v>
      </c>
      <c r="BN5" s="37">
        <f t="shared" si="22"/>
        <v>-0.59533404481293495</v>
      </c>
      <c r="BO5" s="37">
        <f t="shared" si="23"/>
        <v>-0.88887712758172532</v>
      </c>
      <c r="BP5" s="37">
        <f t="shared" si="24"/>
        <v>-0.37758012605103575</v>
      </c>
      <c r="BQ5" s="35">
        <f t="shared" ref="BQ5:BQ12" si="56">SUMXMY2(BZ5:CB5,CC5:CE5)^0.5</f>
        <v>1.7480962106217779</v>
      </c>
      <c r="BR5" s="35">
        <f t="shared" ref="BR5:BR12" si="57">SUMSQ(CC5:CE5)^0.5</f>
        <v>1.2469686805723392</v>
      </c>
      <c r="BS5" s="35">
        <f t="shared" si="25"/>
        <v>1.0422312835317378</v>
      </c>
      <c r="BT5" s="37">
        <f t="shared" si="26"/>
        <v>-2.3643324074836918</v>
      </c>
      <c r="BU5" s="37">
        <f t="shared" si="27"/>
        <v>-0.41449474590034047</v>
      </c>
      <c r="BV5" s="37">
        <f t="shared" si="28"/>
        <v>-0.74945751253433157</v>
      </c>
      <c r="BW5" s="37">
        <f t="shared" si="29"/>
        <v>-0.66836947657765522</v>
      </c>
      <c r="BX5" s="37">
        <f t="shared" si="30"/>
        <v>-2.2736710003057412E-3</v>
      </c>
      <c r="BY5" s="37">
        <f t="shared" si="31"/>
        <v>-0.65135611605555943</v>
      </c>
      <c r="BZ5" s="37">
        <f t="shared" si="32"/>
        <v>-0.78963052342234474</v>
      </c>
      <c r="CA5" s="37">
        <f t="shared" si="33"/>
        <v>0.65136008436409509</v>
      </c>
      <c r="CB5" s="37">
        <f>0</f>
        <v>0</v>
      </c>
      <c r="CC5" s="37">
        <f t="shared" si="34"/>
        <v>0.90633240748369193</v>
      </c>
      <c r="CD5" s="37">
        <f t="shared" si="35"/>
        <v>0.75089980325407346</v>
      </c>
      <c r="CE5" s="37">
        <f t="shared" si="36"/>
        <v>-0.41187612572972637</v>
      </c>
      <c r="CF5" s="37">
        <f t="shared" ref="CF5:CF12" si="58">-$I5-CU5</f>
        <v>-1.555253362184551</v>
      </c>
      <c r="CG5" s="37">
        <f t="shared" si="37"/>
        <v>-1.6109365958798117E-3</v>
      </c>
      <c r="CH5" s="37">
        <f t="shared" si="38"/>
        <v>-0.46149746562406774</v>
      </c>
      <c r="CI5" s="37">
        <f t="shared" ref="CI5:CI12" si="59">-$I5-CR5</f>
        <v>-1.5558514281445368</v>
      </c>
      <c r="CJ5" s="37">
        <f t="shared" si="39"/>
        <v>-1.6208431566407937E-3</v>
      </c>
      <c r="CK5" s="37">
        <f t="shared" si="40"/>
        <v>-0.46433547470272241</v>
      </c>
      <c r="CL5" s="37">
        <f t="shared" ref="CL5:CL12" si="60">BN5</f>
        <v>-0.59533404481293495</v>
      </c>
      <c r="CM5" s="37">
        <f>0</f>
        <v>0</v>
      </c>
      <c r="CN5" s="37">
        <f>0</f>
        <v>0</v>
      </c>
      <c r="CO5" s="37">
        <f t="shared" ref="CO5:CO12" si="61">BK5</f>
        <v>-0.96263299079326903</v>
      </c>
      <c r="CP5" s="37">
        <f>0</f>
        <v>0</v>
      </c>
      <c r="CQ5" s="37">
        <f>0</f>
        <v>0</v>
      </c>
      <c r="CR5" s="37">
        <f t="shared" si="41"/>
        <v>9.7851428144536914E-2</v>
      </c>
      <c r="CS5" s="37">
        <f t="shared" si="42"/>
        <v>0.46433830361056905</v>
      </c>
      <c r="CT5" s="37">
        <f>0</f>
        <v>0</v>
      </c>
      <c r="CU5" s="37">
        <f t="shared" si="43"/>
        <v>9.7253362184551134E-2</v>
      </c>
      <c r="CV5" s="37">
        <f t="shared" si="44"/>
        <v>0.46150027724168652</v>
      </c>
      <c r="CW5" s="37">
        <f>0</f>
        <v>0</v>
      </c>
      <c r="CX5" s="37">
        <f t="shared" ref="CX5:CX12" si="62">CF5-CI5+CL5-CO5+CR5-CU5</f>
        <v>0.36849507790030567</v>
      </c>
      <c r="CY5" s="37">
        <f t="shared" si="45"/>
        <v>2.8479329296435263E-3</v>
      </c>
      <c r="CZ5" s="39">
        <f t="shared" si="45"/>
        <v>2.8380090786546686E-3</v>
      </c>
      <c r="DB5" s="394" t="str">
        <f ca="1">Rotation!BA138</f>
        <v>-</v>
      </c>
      <c r="DC5" s="394" t="str">
        <f ca="1">Rotation!BB138</f>
        <v>-</v>
      </c>
      <c r="DD5" s="394">
        <v>0.50912400895946797</v>
      </c>
      <c r="DE5" s="398" t="e">
        <f t="shared" ref="DE5:DE12" ca="1" si="63">N(ROUND(DB5,3)=ROUND(DC5,3))</f>
        <v>#VALUE!</v>
      </c>
      <c r="DF5" s="394" t="str">
        <f ca="1">Rotation!BC138</f>
        <v>-</v>
      </c>
      <c r="DG5" s="394" t="str">
        <f ca="1">Rotation!BD138</f>
        <v>-</v>
      </c>
      <c r="DH5" s="394">
        <v>0.60359501367836466</v>
      </c>
      <c r="DI5" s="398" t="e">
        <f t="shared" ref="DI5:DI12" ca="1" si="64">N(ROUND(DF5,3)=ROUND(DG5,3))</f>
        <v>#VALUE!</v>
      </c>
      <c r="DJ5" s="232"/>
      <c r="DK5" s="232"/>
    </row>
    <row r="6" spans="1:115" s="238" customFormat="1" ht="15" customHeight="1">
      <c r="A6" s="367" t="s">
        <v>405</v>
      </c>
      <c r="B6" s="273">
        <v>-13.59844</v>
      </c>
      <c r="C6" s="274">
        <v>1</v>
      </c>
      <c r="D6" s="273">
        <v>-10.36</v>
      </c>
      <c r="E6" s="285">
        <v>4</v>
      </c>
      <c r="F6" s="287">
        <v>1</v>
      </c>
      <c r="G6" s="275">
        <v>1</v>
      </c>
      <c r="H6" s="278">
        <v>1.3420000000000001</v>
      </c>
      <c r="I6" s="278">
        <v>2.056</v>
      </c>
      <c r="J6" s="278">
        <f t="shared" si="0"/>
        <v>1.7083282718520496</v>
      </c>
      <c r="K6" s="277">
        <f t="shared" si="0"/>
        <v>1.5760323145508794</v>
      </c>
      <c r="L6" s="277">
        <v>97.88</v>
      </c>
      <c r="M6" s="277">
        <v>90.3</v>
      </c>
      <c r="N6" s="278">
        <v>-3.2949999999999999</v>
      </c>
      <c r="O6" s="278">
        <v>-2.8</v>
      </c>
      <c r="P6" s="278">
        <v>1.304</v>
      </c>
      <c r="Q6" s="277">
        <f t="shared" si="46"/>
        <v>-9.4184475261974008</v>
      </c>
      <c r="R6" s="277">
        <f t="shared" si="47"/>
        <v>-9.9843374762830166</v>
      </c>
      <c r="S6" s="277">
        <f t="shared" si="48"/>
        <v>-9.31777871289448</v>
      </c>
      <c r="T6" s="277">
        <f t="shared" si="49"/>
        <v>-9.3000000000008143</v>
      </c>
      <c r="U6" s="278">
        <v>-9.3000000000000007</v>
      </c>
      <c r="V6" s="37">
        <f t="shared" si="1"/>
        <v>-9.31777871289448</v>
      </c>
      <c r="W6" s="37">
        <f t="shared" si="2"/>
        <v>-9.4184475261974008</v>
      </c>
      <c r="X6" s="39">
        <f t="shared" si="3"/>
        <v>-9.9843374762830166</v>
      </c>
      <c r="Y6" s="253">
        <f t="shared" si="50"/>
        <v>1.7335174703676536E-9</v>
      </c>
      <c r="Z6" s="30" t="b">
        <f t="shared" si="4"/>
        <v>1</v>
      </c>
      <c r="AA6" s="31">
        <f t="shared" si="5"/>
        <v>-3.2950000000196993</v>
      </c>
      <c r="AB6" s="31">
        <f t="shared" si="6"/>
        <v>-2.7999999999989904</v>
      </c>
      <c r="AC6" s="31">
        <f t="shared" si="51"/>
        <v>1.3040416355313449</v>
      </c>
      <c r="AD6" s="31">
        <f t="shared" si="7"/>
        <v>-9.3000000000008143</v>
      </c>
      <c r="AE6" s="31">
        <f t="shared" si="8"/>
        <v>-9.31777871289448</v>
      </c>
      <c r="AF6" s="31">
        <f t="shared" si="9"/>
        <v>-9.4184475261974008</v>
      </c>
      <c r="AG6" s="31">
        <f t="shared" si="9"/>
        <v>-9.9843374762830166</v>
      </c>
      <c r="AH6" s="31">
        <f t="shared" si="10"/>
        <v>-9.4184475261974008</v>
      </c>
      <c r="AI6" s="31">
        <f t="shared" si="11"/>
        <v>-9.9843374762830166</v>
      </c>
      <c r="AJ6" s="31">
        <f t="shared" si="12"/>
        <v>-9.31777871289448</v>
      </c>
      <c r="AK6" s="31">
        <f t="shared" si="13"/>
        <v>-9.3000000000008143</v>
      </c>
      <c r="AL6" s="273"/>
      <c r="AM6" s="273"/>
      <c r="AN6" s="273"/>
      <c r="AO6" s="342"/>
      <c r="AP6" s="241">
        <v>1.2630974720032988</v>
      </c>
      <c r="AQ6" s="322">
        <v>1.2904948693449827</v>
      </c>
      <c r="AR6" s="35">
        <v>2.3636632982765535</v>
      </c>
      <c r="AS6" s="35">
        <v>1.388913629087126</v>
      </c>
      <c r="AT6" s="37">
        <v>0.97901592152117933</v>
      </c>
      <c r="AU6" s="37">
        <v>1.2183450218966938</v>
      </c>
      <c r="AV6" s="37">
        <v>0.37635321875745142</v>
      </c>
      <c r="AW6" s="37">
        <v>0.63367163416476513</v>
      </c>
      <c r="AX6" s="37">
        <v>1.5232064509549237</v>
      </c>
      <c r="AY6" s="37">
        <v>0</v>
      </c>
      <c r="AZ6" s="38">
        <f t="shared" si="14"/>
        <v>56.093480379274595</v>
      </c>
      <c r="BA6" s="38">
        <f t="shared" si="15"/>
        <v>69.806027745454429</v>
      </c>
      <c r="BB6" s="38">
        <f t="shared" si="52"/>
        <v>21.563451040965774</v>
      </c>
      <c r="BC6" s="38">
        <f t="shared" si="16"/>
        <v>36.306710234798949</v>
      </c>
      <c r="BD6" s="38">
        <f t="shared" si="16"/>
        <v>87.273300966817956</v>
      </c>
      <c r="BE6" s="38">
        <f t="shared" si="53"/>
        <v>0</v>
      </c>
      <c r="BF6" s="38">
        <f t="shared" si="17"/>
        <v>97.88</v>
      </c>
      <c r="BG6" s="250">
        <f t="shared" si="18"/>
        <v>90.3</v>
      </c>
      <c r="BH6" s="322">
        <f t="shared" si="54"/>
        <v>2.7881844848595869</v>
      </c>
      <c r="BI6" s="35">
        <f t="shared" si="19"/>
        <v>2.4258037309497826</v>
      </c>
      <c r="BJ6" s="35">
        <f t="shared" si="55"/>
        <v>1.4076889183377532</v>
      </c>
      <c r="BK6" s="37">
        <f t="shared" si="20"/>
        <v>-0.15122079357765528</v>
      </c>
      <c r="BL6" s="37">
        <f t="shared" si="21"/>
        <v>1.3995429119539915</v>
      </c>
      <c r="BM6" s="37">
        <f>0</f>
        <v>0</v>
      </c>
      <c r="BN6" s="37">
        <f t="shared" si="22"/>
        <v>-6.6073280149339886E-2</v>
      </c>
      <c r="BO6" s="37">
        <f t="shared" si="23"/>
        <v>-1.387341122692713</v>
      </c>
      <c r="BP6" s="37">
        <f t="shared" si="24"/>
        <v>0</v>
      </c>
      <c r="BQ6" s="35">
        <f t="shared" si="56"/>
        <v>2.3042347195671131</v>
      </c>
      <c r="BR6" s="35">
        <f t="shared" si="57"/>
        <v>1.646041995768277</v>
      </c>
      <c r="BS6" s="35">
        <f t="shared" si="25"/>
        <v>1.506876799228587</v>
      </c>
      <c r="BT6" s="37">
        <f t="shared" si="26"/>
        <v>-3.1091164982135187</v>
      </c>
      <c r="BU6" s="37">
        <f t="shared" si="27"/>
        <v>-0.39158933895769693</v>
      </c>
      <c r="BV6" s="37">
        <f t="shared" si="28"/>
        <v>-1.2029371066842944</v>
      </c>
      <c r="BW6" s="37">
        <f t="shared" si="29"/>
        <v>-0.91734380009183836</v>
      </c>
      <c r="BX6" s="37">
        <f t="shared" si="30"/>
        <v>-3.1799119503972328E-3</v>
      </c>
      <c r="BY6" s="37">
        <f t="shared" si="31"/>
        <v>-0.60731289659978105</v>
      </c>
      <c r="BZ6" s="37">
        <f t="shared" si="32"/>
        <v>-1.1386561999081617</v>
      </c>
      <c r="CA6" s="37">
        <f t="shared" si="33"/>
        <v>0.60732122160881929</v>
      </c>
      <c r="CB6" s="37">
        <f>0</f>
        <v>0</v>
      </c>
      <c r="CC6" s="37">
        <f t="shared" si="34"/>
        <v>1.0531164982135188</v>
      </c>
      <c r="CD6" s="37">
        <f t="shared" si="35"/>
        <v>1.2049709647356268</v>
      </c>
      <c r="CE6" s="37">
        <f t="shared" si="36"/>
        <v>-0.3852854359658569</v>
      </c>
      <c r="CF6" s="37">
        <f t="shared" si="58"/>
        <v>-2.1433859801257951</v>
      </c>
      <c r="CG6" s="37">
        <f t="shared" si="37"/>
        <v>-3.3058598101110477E-3</v>
      </c>
      <c r="CH6" s="37">
        <f t="shared" si="38"/>
        <v>-0.63136694611325406</v>
      </c>
      <c r="CI6" s="37">
        <f t="shared" si="59"/>
        <v>-2.1170745111697493</v>
      </c>
      <c r="CJ6" s="37">
        <f t="shared" si="39"/>
        <v>-2.3104824321659488E-3</v>
      </c>
      <c r="CK6" s="37">
        <f t="shared" si="40"/>
        <v>-0.44126560744750315</v>
      </c>
      <c r="CL6" s="37">
        <f t="shared" si="60"/>
        <v>-6.6073280149339886E-2</v>
      </c>
      <c r="CM6" s="37">
        <f>0</f>
        <v>0</v>
      </c>
      <c r="CN6" s="37">
        <f>0</f>
        <v>0</v>
      </c>
      <c r="CO6" s="37">
        <f t="shared" si="61"/>
        <v>-0.15122079357765528</v>
      </c>
      <c r="CP6" s="37">
        <f>0</f>
        <v>0</v>
      </c>
      <c r="CQ6" s="37">
        <f>0</f>
        <v>0</v>
      </c>
      <c r="CR6" s="37">
        <f t="shared" si="41"/>
        <v>6.107451116974922E-2</v>
      </c>
      <c r="CS6" s="37">
        <f t="shared" si="42"/>
        <v>0.44127165629018517</v>
      </c>
      <c r="CT6" s="37">
        <f>0</f>
        <v>0</v>
      </c>
      <c r="CU6" s="37">
        <f t="shared" si="43"/>
        <v>8.7385980125795057E-2</v>
      </c>
      <c r="CV6" s="37">
        <f t="shared" si="44"/>
        <v>0.63137560085377131</v>
      </c>
      <c r="CW6" s="37">
        <f>0</f>
        <v>0</v>
      </c>
      <c r="CX6" s="37">
        <f t="shared" si="62"/>
        <v>3.25245755162238E-2</v>
      </c>
      <c r="CY6" s="37">
        <f t="shared" si="45"/>
        <v>-0.19109932194153123</v>
      </c>
      <c r="CZ6" s="39">
        <f t="shared" si="45"/>
        <v>-0.19010133866575091</v>
      </c>
      <c r="DB6" s="394" t="str">
        <f ca="1">Rotation!BA139</f>
        <v>-</v>
      </c>
      <c r="DC6" s="394" t="str">
        <f ca="1">Rotation!BB139</f>
        <v>-</v>
      </c>
      <c r="DD6" s="394">
        <v>0.42815681134516559</v>
      </c>
      <c r="DE6" s="398" t="e">
        <f t="shared" ca="1" si="63"/>
        <v>#VALUE!</v>
      </c>
      <c r="DF6" s="394" t="str">
        <f ca="1">Rotation!BC139</f>
        <v>-</v>
      </c>
      <c r="DG6" s="394" t="str">
        <f ca="1">Rotation!BD139</f>
        <v>-</v>
      </c>
      <c r="DH6" s="394">
        <v>0.50397830200580718</v>
      </c>
      <c r="DI6" s="398" t="e">
        <f t="shared" ca="1" si="64"/>
        <v>#VALUE!</v>
      </c>
      <c r="DJ6" s="232"/>
      <c r="DK6" s="232"/>
    </row>
    <row r="7" spans="1:115" s="238" customFormat="1" ht="15" customHeight="1">
      <c r="A7" s="562" t="s">
        <v>406</v>
      </c>
      <c r="B7" s="273">
        <v>-13.59844</v>
      </c>
      <c r="C7" s="274">
        <v>1</v>
      </c>
      <c r="D7" s="273">
        <v>-11.260300000000001</v>
      </c>
      <c r="E7" s="285">
        <v>2</v>
      </c>
      <c r="F7" s="287">
        <v>1</v>
      </c>
      <c r="G7" s="275">
        <v>3</v>
      </c>
      <c r="H7" s="278">
        <v>1.0629999999999999</v>
      </c>
      <c r="I7" s="278">
        <v>1.2030000000000001</v>
      </c>
      <c r="J7" s="278">
        <f t="shared" si="0"/>
        <v>3.1415926535897931</v>
      </c>
      <c r="K7" s="277">
        <f t="shared" si="0"/>
        <v>0</v>
      </c>
      <c r="L7" s="277">
        <v>180</v>
      </c>
      <c r="M7" s="277">
        <v>0</v>
      </c>
      <c r="N7" s="278">
        <v>-5.78</v>
      </c>
      <c r="O7" s="276">
        <v>-9.9692059999999998</v>
      </c>
      <c r="P7" s="278">
        <v>0</v>
      </c>
      <c r="Q7" s="363">
        <f t="shared" si="46"/>
        <v>-11.409999993089532</v>
      </c>
      <c r="R7" s="363">
        <f t="shared" si="47"/>
        <v>-16.269999999983451</v>
      </c>
      <c r="S7" s="363">
        <f t="shared" si="48"/>
        <v>-19.087438016530136</v>
      </c>
      <c r="T7" s="363">
        <f t="shared" si="49"/>
        <v>-18.330000004590765</v>
      </c>
      <c r="U7" s="276">
        <v>-11.41</v>
      </c>
      <c r="V7" s="318">
        <f t="shared" si="1"/>
        <v>-16.27</v>
      </c>
      <c r="W7" s="318">
        <f t="shared" si="2"/>
        <v>-18.329999999999998</v>
      </c>
      <c r="X7" s="39">
        <f t="shared" si="3"/>
        <v>-19.087438016528925</v>
      </c>
      <c r="Y7" s="253">
        <f t="shared" si="50"/>
        <v>4.1734294656199971E-17</v>
      </c>
      <c r="Z7" s="30" t="b">
        <f t="shared" si="4"/>
        <v>1</v>
      </c>
      <c r="AA7" s="31">
        <f t="shared" si="5"/>
        <v>-5.7800000012653197</v>
      </c>
      <c r="AB7" s="31">
        <f t="shared" si="6"/>
        <v>-9.969205993664918</v>
      </c>
      <c r="AC7" s="31">
        <f t="shared" si="51"/>
        <v>3.7753400405904357E-13</v>
      </c>
      <c r="AD7" s="31">
        <f t="shared" si="7"/>
        <v>-11.409999993089532</v>
      </c>
      <c r="AE7" s="31">
        <f t="shared" si="8"/>
        <v>-16.269999999983451</v>
      </c>
      <c r="AF7" s="31">
        <f t="shared" si="9"/>
        <v>-18.330000004590765</v>
      </c>
      <c r="AG7" s="31">
        <f t="shared" si="9"/>
        <v>-19.087438016530136</v>
      </c>
      <c r="AH7" s="31">
        <f t="shared" si="10"/>
        <v>-11.409999993089532</v>
      </c>
      <c r="AI7" s="31">
        <f t="shared" si="11"/>
        <v>-16.269999999983451</v>
      </c>
      <c r="AJ7" s="31">
        <f t="shared" si="12"/>
        <v>-19.087438016530136</v>
      </c>
      <c r="AK7" s="31">
        <f t="shared" si="13"/>
        <v>-18.330000004590765</v>
      </c>
      <c r="AL7" s="273" t="s">
        <v>487</v>
      </c>
      <c r="AM7" s="273">
        <v>-16.27</v>
      </c>
      <c r="AN7" s="273">
        <v>-18.329999999999998</v>
      </c>
      <c r="AO7" s="343">
        <f>AN7*AO9/AN9</f>
        <v>-19.087438016528925</v>
      </c>
      <c r="AP7" s="241">
        <v>1.0641560989306427</v>
      </c>
      <c r="AQ7" s="322">
        <v>0.88233997913097584</v>
      </c>
      <c r="AR7" s="35">
        <v>0.74695070430841426</v>
      </c>
      <c r="AS7" s="35">
        <v>0.77481392673017102</v>
      </c>
      <c r="AT7" s="37">
        <v>1.2684003613705521</v>
      </c>
      <c r="AU7" s="37">
        <v>1.1477430988209583</v>
      </c>
      <c r="AV7" s="37">
        <v>0.51393928242735731</v>
      </c>
      <c r="AW7" s="37">
        <v>1.282662319342134</v>
      </c>
      <c r="AX7" s="37">
        <v>1.278780683832816</v>
      </c>
      <c r="AY7" s="37">
        <v>0.36463645143120005</v>
      </c>
      <c r="AZ7" s="38">
        <f t="shared" si="14"/>
        <v>72.673987439401088</v>
      </c>
      <c r="BA7" s="38">
        <f t="shared" si="15"/>
        <v>65.760835527707485</v>
      </c>
      <c r="BB7" s="38">
        <f t="shared" si="52"/>
        <v>29.446551809069611</v>
      </c>
      <c r="BC7" s="38">
        <f t="shared" si="16"/>
        <v>73.491137438765705</v>
      </c>
      <c r="BD7" s="38">
        <f t="shared" si="16"/>
        <v>73.268736106473654</v>
      </c>
      <c r="BE7" s="38">
        <f t="shared" si="53"/>
        <v>20.892129723634788</v>
      </c>
      <c r="BF7" s="38">
        <f t="shared" si="17"/>
        <v>180</v>
      </c>
      <c r="BG7" s="250">
        <f t="shared" si="18"/>
        <v>0</v>
      </c>
      <c r="BH7" s="322">
        <f t="shared" si="54"/>
        <v>1.6265705548259046</v>
      </c>
      <c r="BI7" s="35">
        <f t="shared" si="19"/>
        <v>1.2291758391655756</v>
      </c>
      <c r="BJ7" s="35">
        <f t="shared" si="55"/>
        <v>1.2224793824614868</v>
      </c>
      <c r="BK7" s="37">
        <f t="shared" si="20"/>
        <v>-0.99074375971595274</v>
      </c>
      <c r="BL7" s="37">
        <f t="shared" si="21"/>
        <v>0.7161582528515027</v>
      </c>
      <c r="BM7" s="37">
        <f>0</f>
        <v>0</v>
      </c>
      <c r="BN7" s="37">
        <f t="shared" si="22"/>
        <v>-0.22305585098363673</v>
      </c>
      <c r="BO7" s="37">
        <f t="shared" si="23"/>
        <v>-0.69322785092195971</v>
      </c>
      <c r="BP7" s="37">
        <f t="shared" si="24"/>
        <v>-0.26460887192819799</v>
      </c>
      <c r="BQ7" s="35">
        <f t="shared" si="56"/>
        <v>1.8028049140127644</v>
      </c>
      <c r="BR7" s="35">
        <f t="shared" si="57"/>
        <v>1.2604114069147998</v>
      </c>
      <c r="BS7" s="35">
        <f t="shared" si="25"/>
        <v>1.0669430040849066</v>
      </c>
      <c r="BT7" s="37">
        <f t="shared" si="26"/>
        <v>-1.9490854712086838</v>
      </c>
      <c r="BU7" s="37">
        <f t="shared" si="27"/>
        <v>-0.88463515650258251</v>
      </c>
      <c r="BV7" s="37">
        <f t="shared" si="28"/>
        <v>-0.49941368044128792</v>
      </c>
      <c r="BW7" s="37">
        <f t="shared" si="29"/>
        <v>-1.5652415168424862</v>
      </c>
      <c r="BX7" s="37">
        <f t="shared" si="30"/>
        <v>0.80455262242348435</v>
      </c>
      <c r="BY7" s="37">
        <f t="shared" si="31"/>
        <v>0</v>
      </c>
      <c r="BZ7" s="37">
        <f t="shared" si="32"/>
        <v>0.36224151684248618</v>
      </c>
      <c r="CA7" s="37">
        <f t="shared" si="33"/>
        <v>0.80455262242348435</v>
      </c>
      <c r="CB7" s="37">
        <f>0</f>
        <v>0</v>
      </c>
      <c r="CC7" s="37">
        <f t="shared" si="34"/>
        <v>0.74608547120868363</v>
      </c>
      <c r="CD7" s="37">
        <f t="shared" si="35"/>
        <v>-0.88463515650258251</v>
      </c>
      <c r="CE7" s="37">
        <f t="shared" si="36"/>
        <v>-0.49941368044128792</v>
      </c>
      <c r="CF7" s="37">
        <f t="shared" si="58"/>
        <v>-1.9490854712086836</v>
      </c>
      <c r="CG7" s="37">
        <f t="shared" si="37"/>
        <v>0</v>
      </c>
      <c r="CH7" s="37">
        <f t="shared" si="38"/>
        <v>0</v>
      </c>
      <c r="CI7" s="37">
        <f t="shared" si="59"/>
        <v>-1.5652415168424862</v>
      </c>
      <c r="CJ7" s="37">
        <f t="shared" si="39"/>
        <v>0</v>
      </c>
      <c r="CK7" s="37">
        <f t="shared" si="40"/>
        <v>0</v>
      </c>
      <c r="CL7" s="37">
        <f t="shared" si="60"/>
        <v>-0.22305585098363673</v>
      </c>
      <c r="CM7" s="37">
        <f>0</f>
        <v>0</v>
      </c>
      <c r="CN7" s="37">
        <f>0</f>
        <v>0</v>
      </c>
      <c r="CO7" s="37">
        <f t="shared" si="61"/>
        <v>-0.99074375971595274</v>
      </c>
      <c r="CP7" s="37">
        <f>0</f>
        <v>0</v>
      </c>
      <c r="CQ7" s="37">
        <f>0</f>
        <v>0</v>
      </c>
      <c r="CR7" s="37">
        <f t="shared" si="41"/>
        <v>0.36224151684248623</v>
      </c>
      <c r="CS7" s="37">
        <f t="shared" si="42"/>
        <v>0</v>
      </c>
      <c r="CT7" s="37">
        <f>0</f>
        <v>0</v>
      </c>
      <c r="CU7" s="37">
        <f t="shared" si="43"/>
        <v>0.74608547120868351</v>
      </c>
      <c r="CV7" s="37">
        <f t="shared" si="44"/>
        <v>0</v>
      </c>
      <c r="CW7" s="37">
        <f>0</f>
        <v>0</v>
      </c>
      <c r="CX7" s="37">
        <f t="shared" si="62"/>
        <v>-7.8603790143461083E-14</v>
      </c>
      <c r="CY7" s="37">
        <f t="shared" si="45"/>
        <v>0</v>
      </c>
      <c r="CZ7" s="39">
        <f t="shared" si="45"/>
        <v>0</v>
      </c>
      <c r="DB7" s="394" t="str">
        <f ca="1">Rotation!BA140</f>
        <v>-</v>
      </c>
      <c r="DC7" s="394" t="str">
        <f ca="1">Rotation!BB140</f>
        <v>-</v>
      </c>
      <c r="DD7" s="394">
        <v>0.61456185642472572</v>
      </c>
      <c r="DE7" s="398" t="e">
        <f t="shared" ca="1" si="63"/>
        <v>#VALUE!</v>
      </c>
      <c r="DF7" s="394" t="str">
        <f ca="1">Rotation!BC140</f>
        <v>-</v>
      </c>
      <c r="DG7" s="394" t="str">
        <f ca="1">Rotation!BD140</f>
        <v>-</v>
      </c>
      <c r="DH7" s="394">
        <v>0.48220114735417896</v>
      </c>
      <c r="DI7" s="398" t="e">
        <f t="shared" ca="1" si="64"/>
        <v>#VALUE!</v>
      </c>
      <c r="DJ7" s="232"/>
      <c r="DK7" s="232"/>
    </row>
    <row r="8" spans="1:115" s="238" customFormat="1" ht="15" customHeight="1">
      <c r="A8" s="562"/>
      <c r="B8" s="273">
        <v>-13.59844</v>
      </c>
      <c r="C8" s="274">
        <v>1</v>
      </c>
      <c r="D8" s="273">
        <v>-11.260300000000001</v>
      </c>
      <c r="E8" s="285">
        <v>2</v>
      </c>
      <c r="F8" s="287">
        <v>1</v>
      </c>
      <c r="G8" s="275">
        <v>3</v>
      </c>
      <c r="H8" s="278">
        <v>1.0629999999999999</v>
      </c>
      <c r="I8" s="278">
        <v>1.2030000000000001</v>
      </c>
      <c r="J8" s="278">
        <f t="shared" si="0"/>
        <v>3.1415926535897931</v>
      </c>
      <c r="K8" s="277">
        <f t="shared" si="0"/>
        <v>0</v>
      </c>
      <c r="L8" s="277">
        <v>180</v>
      </c>
      <c r="M8" s="277">
        <v>0</v>
      </c>
      <c r="N8" s="278">
        <v>-5.76</v>
      </c>
      <c r="O8" s="276">
        <v>-8.67</v>
      </c>
      <c r="P8" s="278">
        <v>0</v>
      </c>
      <c r="Q8" s="363">
        <f t="shared" si="46"/>
        <v>-11.410000000000007</v>
      </c>
      <c r="R8" s="363">
        <f t="shared" si="47"/>
        <v>-16.270000000000007</v>
      </c>
      <c r="S8" s="363">
        <f t="shared" si="48"/>
        <v>-19.087438016528921</v>
      </c>
      <c r="T8" s="363">
        <f t="shared" si="49"/>
        <v>-18.330000000000005</v>
      </c>
      <c r="U8" s="276">
        <v>-11.41</v>
      </c>
      <c r="V8" s="318">
        <f t="shared" si="1"/>
        <v>-16.27</v>
      </c>
      <c r="W8" s="318">
        <f t="shared" si="2"/>
        <v>-18.329999999999998</v>
      </c>
      <c r="X8" s="39">
        <f t="shared" si="3"/>
        <v>-19.087438016528925</v>
      </c>
      <c r="Y8" s="253">
        <f t="shared" si="50"/>
        <v>6.6976109391865625E-22</v>
      </c>
      <c r="Z8" s="30" t="b">
        <f t="shared" si="4"/>
        <v>1</v>
      </c>
      <c r="AA8" s="31">
        <f t="shared" si="5"/>
        <v>-5.7599999999999962</v>
      </c>
      <c r="AB8" s="31">
        <f t="shared" si="6"/>
        <v>-8.67</v>
      </c>
      <c r="AC8" s="31">
        <f t="shared" si="51"/>
        <v>2.5879742682199948E-11</v>
      </c>
      <c r="AD8" s="31">
        <f t="shared" si="7"/>
        <v>-11.410000000000007</v>
      </c>
      <c r="AE8" s="31">
        <f t="shared" si="8"/>
        <v>-16.270000000000007</v>
      </c>
      <c r="AF8" s="31">
        <f t="shared" si="9"/>
        <v>-18.330000000000005</v>
      </c>
      <c r="AG8" s="31">
        <f t="shared" si="9"/>
        <v>-19.087438016528921</v>
      </c>
      <c r="AH8" s="31">
        <f t="shared" si="10"/>
        <v>-11.410000000000007</v>
      </c>
      <c r="AI8" s="31">
        <f t="shared" si="11"/>
        <v>-16.270000000000007</v>
      </c>
      <c r="AJ8" s="31">
        <f t="shared" si="12"/>
        <v>-19.087438016528921</v>
      </c>
      <c r="AK8" s="31">
        <f t="shared" si="13"/>
        <v>-18.330000000000005</v>
      </c>
      <c r="AL8" s="273" t="s">
        <v>487</v>
      </c>
      <c r="AM8" s="273">
        <v>-16.27</v>
      </c>
      <c r="AN8" s="273">
        <v>-18.329999999999998</v>
      </c>
      <c r="AO8" s="343">
        <f>AN8*AO9/AN9</f>
        <v>-19.087438016528925</v>
      </c>
      <c r="AP8" s="241">
        <v>1.0814752690133627</v>
      </c>
      <c r="AQ8" s="322">
        <v>0.88067234137185268</v>
      </c>
      <c r="AR8" s="35">
        <v>0.76212892750506855</v>
      </c>
      <c r="AS8" s="35">
        <v>0.78586576733287705</v>
      </c>
      <c r="AT8" s="37">
        <v>1.229524817378479</v>
      </c>
      <c r="AU8" s="37">
        <v>1.1516732674316881</v>
      </c>
      <c r="AV8" s="37">
        <v>0.44517035442737035</v>
      </c>
      <c r="AW8" s="37">
        <v>1.22213971447073</v>
      </c>
      <c r="AX8" s="37">
        <v>1.2371897515867789</v>
      </c>
      <c r="AY8" s="37">
        <v>0.43012577628760756</v>
      </c>
      <c r="AZ8" s="38">
        <f t="shared" si="14"/>
        <v>70.446582842380138</v>
      </c>
      <c r="BA8" s="38">
        <f t="shared" si="15"/>
        <v>65.986017601877094</v>
      </c>
      <c r="BB8" s="38">
        <f t="shared" si="52"/>
        <v>25.506382473031323</v>
      </c>
      <c r="BC8" s="38">
        <f t="shared" si="16"/>
        <v>70.023447614496334</v>
      </c>
      <c r="BD8" s="38">
        <f t="shared" si="16"/>
        <v>70.885751222761172</v>
      </c>
      <c r="BE8" s="38">
        <f t="shared" si="53"/>
        <v>24.644391641068136</v>
      </c>
      <c r="BF8" s="38">
        <f t="shared" si="17"/>
        <v>180</v>
      </c>
      <c r="BG8" s="250">
        <f t="shared" si="18"/>
        <v>0</v>
      </c>
      <c r="BH8" s="322">
        <f t="shared" si="54"/>
        <v>1.5814149722037294</v>
      </c>
      <c r="BI8" s="35">
        <f t="shared" si="19"/>
        <v>1.2023511828921547</v>
      </c>
      <c r="BJ8" s="35">
        <f t="shared" si="55"/>
        <v>1.1838912378598514</v>
      </c>
      <c r="BK8" s="37">
        <f t="shared" si="20"/>
        <v>-0.94262965957660239</v>
      </c>
      <c r="BL8" s="37">
        <f t="shared" si="21"/>
        <v>0.71627354269708299</v>
      </c>
      <c r="BM8" s="37">
        <f>0</f>
        <v>0</v>
      </c>
      <c r="BN8" s="37">
        <f t="shared" si="22"/>
        <v>-0.25733401382524024</v>
      </c>
      <c r="BO8" s="37">
        <f t="shared" si="23"/>
        <v>-0.67490360667356952</v>
      </c>
      <c r="BP8" s="37">
        <f t="shared" si="24"/>
        <v>-0.30962773017494838</v>
      </c>
      <c r="BQ8" s="35">
        <f t="shared" si="56"/>
        <v>1.8118915004555802</v>
      </c>
      <c r="BR8" s="35">
        <f t="shared" si="57"/>
        <v>1.236949174095918</v>
      </c>
      <c r="BS8" s="35">
        <f t="shared" si="25"/>
        <v>1.0693916693558809</v>
      </c>
      <c r="BT8" s="37">
        <f t="shared" si="26"/>
        <v>-1.9040458616223186</v>
      </c>
      <c r="BU8" s="37">
        <f t="shared" si="27"/>
        <v>-0.91978160733284531</v>
      </c>
      <c r="BV8" s="37">
        <f t="shared" si="28"/>
        <v>-0.4388390980883568</v>
      </c>
      <c r="BW8" s="37">
        <f t="shared" si="29"/>
        <v>-1.5613980387439432</v>
      </c>
      <c r="BX8" s="37">
        <f t="shared" si="30"/>
        <v>0.80444677802939579</v>
      </c>
      <c r="BY8" s="37">
        <f t="shared" si="31"/>
        <v>0</v>
      </c>
      <c r="BZ8" s="37">
        <f t="shared" si="32"/>
        <v>0.35839803874394305</v>
      </c>
      <c r="CA8" s="37">
        <f t="shared" si="33"/>
        <v>0.80444677802939579</v>
      </c>
      <c r="CB8" s="37">
        <f>0</f>
        <v>0</v>
      </c>
      <c r="CC8" s="37">
        <f t="shared" si="34"/>
        <v>0.70104586162231852</v>
      </c>
      <c r="CD8" s="37">
        <f t="shared" si="35"/>
        <v>-0.91978160733284531</v>
      </c>
      <c r="CE8" s="37">
        <f t="shared" si="36"/>
        <v>-0.4388390980883568</v>
      </c>
      <c r="CF8" s="37">
        <f t="shared" si="58"/>
        <v>-1.9040458616223184</v>
      </c>
      <c r="CG8" s="37">
        <f t="shared" si="37"/>
        <v>0</v>
      </c>
      <c r="CH8" s="37">
        <f t="shared" si="38"/>
        <v>0</v>
      </c>
      <c r="CI8" s="37">
        <f t="shared" si="59"/>
        <v>-1.5613980387439432</v>
      </c>
      <c r="CJ8" s="37">
        <f t="shared" si="39"/>
        <v>0</v>
      </c>
      <c r="CK8" s="37">
        <f t="shared" si="40"/>
        <v>0</v>
      </c>
      <c r="CL8" s="37">
        <f t="shared" si="60"/>
        <v>-0.25733401382524024</v>
      </c>
      <c r="CM8" s="37">
        <f>0</f>
        <v>0</v>
      </c>
      <c r="CN8" s="37">
        <f>0</f>
        <v>0</v>
      </c>
      <c r="CO8" s="37">
        <f t="shared" si="61"/>
        <v>-0.94262965957660239</v>
      </c>
      <c r="CP8" s="37">
        <f>0</f>
        <v>0</v>
      </c>
      <c r="CQ8" s="37">
        <f>0</f>
        <v>0</v>
      </c>
      <c r="CR8" s="37">
        <f t="shared" si="41"/>
        <v>0.35839803874394316</v>
      </c>
      <c r="CS8" s="37">
        <f t="shared" si="42"/>
        <v>0</v>
      </c>
      <c r="CT8" s="37">
        <f>0</f>
        <v>0</v>
      </c>
      <c r="CU8" s="37">
        <f t="shared" si="43"/>
        <v>0.70104586162231841</v>
      </c>
      <c r="CV8" s="37">
        <f t="shared" si="44"/>
        <v>0</v>
      </c>
      <c r="CW8" s="37">
        <f>0</f>
        <v>0</v>
      </c>
      <c r="CX8" s="37">
        <f t="shared" si="62"/>
        <v>-5.3882454054132722E-12</v>
      </c>
      <c r="CY8" s="37">
        <f t="shared" si="45"/>
        <v>0</v>
      </c>
      <c r="CZ8" s="39">
        <f t="shared" si="45"/>
        <v>0</v>
      </c>
      <c r="DB8" s="394" t="str">
        <f ca="1">Rotation!BA141</f>
        <v>-</v>
      </c>
      <c r="DC8" s="394" t="str">
        <f ca="1">Rotation!BB141</f>
        <v>-</v>
      </c>
      <c r="DD8" s="394">
        <v>0.61614061242359996</v>
      </c>
      <c r="DE8" s="398" t="e">
        <f t="shared" ca="1" si="63"/>
        <v>#VALUE!</v>
      </c>
      <c r="DF8" s="394" t="str">
        <f ca="1">Rotation!BC141</f>
        <v>-</v>
      </c>
      <c r="DG8" s="394" t="str">
        <f ca="1">Rotation!BD141</f>
        <v>-</v>
      </c>
      <c r="DH8" s="394">
        <v>0.48205275478568871</v>
      </c>
      <c r="DI8" s="398" t="e">
        <f t="shared" ca="1" si="64"/>
        <v>#VALUE!</v>
      </c>
      <c r="DJ8" s="232"/>
      <c r="DK8" s="232"/>
    </row>
    <row r="9" spans="1:115" s="238" customFormat="1" ht="15" customHeight="1">
      <c r="A9" s="367" t="s">
        <v>407</v>
      </c>
      <c r="B9" s="273">
        <v>-12.967639999999999</v>
      </c>
      <c r="C9" s="274">
        <v>5</v>
      </c>
      <c r="D9" s="273">
        <v>-10.36</v>
      </c>
      <c r="E9" s="285">
        <v>4</v>
      </c>
      <c r="F9" s="287">
        <v>1</v>
      </c>
      <c r="G9" s="275">
        <v>1</v>
      </c>
      <c r="H9" s="276">
        <v>2.0569999999999999</v>
      </c>
      <c r="I9" s="276">
        <v>1.931</v>
      </c>
      <c r="J9" s="276">
        <f t="shared" si="0"/>
        <v>1.8884462506578645</v>
      </c>
      <c r="K9" s="277">
        <f t="shared" si="0"/>
        <v>1.4800392056911915</v>
      </c>
      <c r="L9" s="277">
        <v>108.2</v>
      </c>
      <c r="M9" s="277">
        <v>84.8</v>
      </c>
      <c r="N9" s="346">
        <v>-2</v>
      </c>
      <c r="O9" s="347">
        <v>-3.41</v>
      </c>
      <c r="P9" s="347">
        <v>1.4019999999999999</v>
      </c>
      <c r="Q9" s="363">
        <f t="shared" si="46"/>
        <v>-12.600000000000112</v>
      </c>
      <c r="R9" s="363">
        <f t="shared" si="47"/>
        <v>-12.099999999995362</v>
      </c>
      <c r="S9" s="363">
        <f t="shared" si="48"/>
        <v>-9.6599999999901911</v>
      </c>
      <c r="T9" s="363">
        <f t="shared" si="49"/>
        <v>-11.300000000000068</v>
      </c>
      <c r="U9" s="276">
        <v>-9.66</v>
      </c>
      <c r="V9" s="317">
        <f t="shared" si="1"/>
        <v>-11.3</v>
      </c>
      <c r="W9" s="317">
        <f t="shared" si="2"/>
        <v>-12.1</v>
      </c>
      <c r="X9" s="335">
        <f t="shared" si="3"/>
        <v>-12.6</v>
      </c>
      <c r="Y9" s="253">
        <f t="shared" si="50"/>
        <v>9.1904916404143958E-10</v>
      </c>
      <c r="Z9" s="30" t="b">
        <f t="shared" si="4"/>
        <v>1</v>
      </c>
      <c r="AA9" s="31">
        <f t="shared" si="5"/>
        <v>-1.9999999999992339</v>
      </c>
      <c r="AB9" s="31">
        <f t="shared" si="6"/>
        <v>-3.4099999999974324</v>
      </c>
      <c r="AC9" s="31">
        <f t="shared" si="51"/>
        <v>1.4019696841763423</v>
      </c>
      <c r="AD9" s="31">
        <f t="shared" si="7"/>
        <v>-9.6599999999901911</v>
      </c>
      <c r="AE9" s="31">
        <f t="shared" si="8"/>
        <v>-11.300000000000068</v>
      </c>
      <c r="AF9" s="31">
        <f t="shared" si="9"/>
        <v>-12.099999999995362</v>
      </c>
      <c r="AG9" s="31">
        <f t="shared" si="9"/>
        <v>-12.600000000000112</v>
      </c>
      <c r="AH9" s="31">
        <f t="shared" si="10"/>
        <v>-12.600000000000112</v>
      </c>
      <c r="AI9" s="31">
        <f t="shared" si="11"/>
        <v>-12.099999999995362</v>
      </c>
      <c r="AJ9" s="31">
        <f t="shared" si="12"/>
        <v>-9.6599999999901911</v>
      </c>
      <c r="AK9" s="31">
        <f t="shared" si="13"/>
        <v>-11.300000000000068</v>
      </c>
      <c r="AL9" s="273" t="s">
        <v>387</v>
      </c>
      <c r="AM9" s="273">
        <v>-11.3</v>
      </c>
      <c r="AN9" s="273">
        <v>-12.1</v>
      </c>
      <c r="AO9" s="342">
        <v>-12.6</v>
      </c>
      <c r="AP9" s="241">
        <v>1.0863463721785203</v>
      </c>
      <c r="AQ9" s="322">
        <v>2.1865153267840851</v>
      </c>
      <c r="AR9" s="35">
        <v>2.3297990137786138</v>
      </c>
      <c r="AS9" s="35">
        <v>1.1545794269277445</v>
      </c>
      <c r="AT9" s="37">
        <v>1.5993217227766947</v>
      </c>
      <c r="AU9" s="37">
        <v>0.5458607108572614</v>
      </c>
      <c r="AV9" s="37">
        <v>0.48053220224568949</v>
      </c>
      <c r="AW9" s="37">
        <v>0.60059675169647753</v>
      </c>
      <c r="AX9" s="37">
        <v>1.6127688671304548</v>
      </c>
      <c r="AY9" s="37">
        <v>1.9675520580616095E-13</v>
      </c>
      <c r="AZ9" s="38">
        <f t="shared" si="14"/>
        <v>91.634384798696473</v>
      </c>
      <c r="BA9" s="38">
        <f t="shared" si="15"/>
        <v>31.27551493413203</v>
      </c>
      <c r="BB9" s="38">
        <f t="shared" si="52"/>
        <v>27.532467108804909</v>
      </c>
      <c r="BC9" s="38">
        <f t="shared" si="16"/>
        <v>34.411659061474829</v>
      </c>
      <c r="BD9" s="38">
        <f t="shared" si="16"/>
        <v>92.404849416670103</v>
      </c>
      <c r="BE9" s="38">
        <f t="shared" si="53"/>
        <v>1.1273242889920933E-11</v>
      </c>
      <c r="BF9" s="38">
        <f t="shared" si="17"/>
        <v>108.2</v>
      </c>
      <c r="BG9" s="250">
        <f t="shared" si="18"/>
        <v>84.800000000000011</v>
      </c>
      <c r="BH9" s="322">
        <f t="shared" si="54"/>
        <v>2.4708792959732975</v>
      </c>
      <c r="BI9" s="35">
        <f t="shared" si="19"/>
        <v>2.2910509958107648</v>
      </c>
      <c r="BJ9" s="35">
        <f t="shared" si="55"/>
        <v>1.3166809271197939</v>
      </c>
      <c r="BK9" s="37">
        <f t="shared" si="20"/>
        <v>-8.9192696108852942E-3</v>
      </c>
      <c r="BL9" s="37">
        <f t="shared" si="21"/>
        <v>1.3166507169597594</v>
      </c>
      <c r="BM9" s="37">
        <f>0</f>
        <v>0</v>
      </c>
      <c r="BN9" s="37">
        <f t="shared" si="22"/>
        <v>4.8446404018824211E-2</v>
      </c>
      <c r="BO9" s="37">
        <f t="shared" si="23"/>
        <v>-1.1535625683171433</v>
      </c>
      <c r="BP9" s="37">
        <f t="shared" si="24"/>
        <v>-2.2696944053952314E-13</v>
      </c>
      <c r="BQ9" s="27">
        <f t="shared" si="56"/>
        <v>2.1961862210820917</v>
      </c>
      <c r="BR9" s="27">
        <f t="shared" si="57"/>
        <v>2.2694383085628598</v>
      </c>
      <c r="BS9" s="27">
        <f t="shared" si="25"/>
        <v>1.1506380060515706</v>
      </c>
      <c r="BT9" s="29">
        <f t="shared" si="26"/>
        <v>-3.4979019474711999</v>
      </c>
      <c r="BU9" s="29">
        <f t="shared" si="27"/>
        <v>-0.35822918262190917</v>
      </c>
      <c r="BV9" s="29">
        <f t="shared" si="28"/>
        <v>-1.6021361914961083</v>
      </c>
      <c r="BW9" s="29">
        <f t="shared" si="29"/>
        <v>-1.436333567344154</v>
      </c>
      <c r="BX9" s="29">
        <f t="shared" si="30"/>
        <v>0.19303153222692127</v>
      </c>
      <c r="BY9" s="29">
        <f t="shared" si="31"/>
        <v>-2.1210594574955652</v>
      </c>
      <c r="BZ9" s="29">
        <f t="shared" si="32"/>
        <v>-0.49466643265584609</v>
      </c>
      <c r="CA9" s="29">
        <f t="shared" si="33"/>
        <v>2.1298249680819441</v>
      </c>
      <c r="CB9" s="29">
        <f>0</f>
        <v>0</v>
      </c>
      <c r="CC9" s="29">
        <f t="shared" si="34"/>
        <v>1.5669019474711996</v>
      </c>
      <c r="CD9" s="29">
        <f t="shared" si="35"/>
        <v>1.5630752024458177</v>
      </c>
      <c r="CE9" s="29">
        <f t="shared" si="36"/>
        <v>-0.50196059096564771</v>
      </c>
      <c r="CF9" s="29">
        <f t="shared" si="58"/>
        <v>-2.5831503930985753</v>
      </c>
      <c r="CG9" s="29">
        <f t="shared" si="37"/>
        <v>0.17977214173229475</v>
      </c>
      <c r="CH9" s="29">
        <f t="shared" si="38"/>
        <v>-1.9753632840010042</v>
      </c>
      <c r="CI9" s="29">
        <f t="shared" si="59"/>
        <v>-2.5146829359844864</v>
      </c>
      <c r="CJ9" s="37">
        <f t="shared" si="39"/>
        <v>0.1608983642499536</v>
      </c>
      <c r="CK9" s="37">
        <f t="shared" si="40"/>
        <v>-1.7679753833520795</v>
      </c>
      <c r="CL9" s="37">
        <f t="shared" si="60"/>
        <v>4.8446404018824211E-2</v>
      </c>
      <c r="CM9" s="37">
        <f>0</f>
        <v>0</v>
      </c>
      <c r="CN9" s="37">
        <f>0</f>
        <v>0</v>
      </c>
      <c r="CO9" s="29">
        <f t="shared" si="61"/>
        <v>-8.9192696108852942E-3</v>
      </c>
      <c r="CP9" s="37">
        <f>0</f>
        <v>0</v>
      </c>
      <c r="CQ9" s="37">
        <f>0</f>
        <v>0</v>
      </c>
      <c r="CR9" s="37">
        <f t="shared" si="41"/>
        <v>0.58368293598448651</v>
      </c>
      <c r="CS9" s="37">
        <f t="shared" si="42"/>
        <v>1.7752817353190009</v>
      </c>
      <c r="CT9" s="37">
        <f>0</f>
        <v>0</v>
      </c>
      <c r="CU9" s="37">
        <f t="shared" si="43"/>
        <v>0.65215039309857536</v>
      </c>
      <c r="CV9" s="37">
        <f t="shared" si="44"/>
        <v>1.9835266891882875</v>
      </c>
      <c r="CW9" s="37">
        <f>0</f>
        <v>0</v>
      </c>
      <c r="CX9" s="37">
        <f t="shared" si="62"/>
        <v>-7.956924059846826E-2</v>
      </c>
      <c r="CY9" s="37">
        <f t="shared" si="45"/>
        <v>-0.18937117638694545</v>
      </c>
      <c r="CZ9" s="39">
        <f t="shared" si="45"/>
        <v>-0.20738790064892476</v>
      </c>
      <c r="DB9" s="394" t="str">
        <f ca="1">Rotation!BA142</f>
        <v>-</v>
      </c>
      <c r="DC9" s="394" t="str">
        <f ca="1">Rotation!BB142</f>
        <v>-</v>
      </c>
      <c r="DD9" s="394">
        <v>0.47778677977900252</v>
      </c>
      <c r="DE9" s="398" t="e">
        <f t="shared" ca="1" si="63"/>
        <v>#VALUE!</v>
      </c>
      <c r="DF9" s="394" t="str">
        <f ca="1">Rotation!BC142</f>
        <v>-</v>
      </c>
      <c r="DG9" s="394" t="str">
        <f ca="1">Rotation!BD142</f>
        <v>-</v>
      </c>
      <c r="DH9" s="394">
        <v>0.56526585580726652</v>
      </c>
      <c r="DI9" s="398" t="e">
        <f t="shared" ca="1" si="64"/>
        <v>#VALUE!</v>
      </c>
      <c r="DJ9" s="232"/>
      <c r="DK9" s="232"/>
    </row>
    <row r="10" spans="1:115" s="238" customFormat="1" ht="15" customHeight="1">
      <c r="A10" s="315" t="s">
        <v>408</v>
      </c>
      <c r="B10" s="273">
        <v>-17.420000000000002</v>
      </c>
      <c r="C10" s="274">
        <v>5</v>
      </c>
      <c r="D10" s="273">
        <v>-10.36</v>
      </c>
      <c r="E10" s="285">
        <v>4</v>
      </c>
      <c r="F10" s="287">
        <v>1</v>
      </c>
      <c r="G10" s="275">
        <v>1</v>
      </c>
      <c r="H10" s="276">
        <v>1.635</v>
      </c>
      <c r="I10" s="276">
        <v>1.89</v>
      </c>
      <c r="J10" s="276">
        <f t="shared" si="0"/>
        <v>1.8552849948699723</v>
      </c>
      <c r="K10" s="277">
        <f t="shared" si="0"/>
        <v>1.5341444125030157</v>
      </c>
      <c r="L10" s="277">
        <v>106.3</v>
      </c>
      <c r="M10" s="277">
        <v>87.9</v>
      </c>
      <c r="N10" s="346">
        <v>-3</v>
      </c>
      <c r="O10" s="348">
        <v>-3.75</v>
      </c>
      <c r="P10" s="347">
        <v>1.45</v>
      </c>
      <c r="Q10" s="363">
        <f t="shared" si="46"/>
        <v>-12.329296549405202</v>
      </c>
      <c r="R10" s="363">
        <f t="shared" si="47"/>
        <v>-10.620000000005513</v>
      </c>
      <c r="S10" s="363">
        <f t="shared" si="48"/>
        <v>-12.651986584908485</v>
      </c>
      <c r="T10" s="363">
        <f t="shared" si="49"/>
        <v>-10.764057477333399</v>
      </c>
      <c r="U10" s="276">
        <v>-10.62</v>
      </c>
      <c r="V10" s="37">
        <f t="shared" si="1"/>
        <v>-10.764057477333399</v>
      </c>
      <c r="W10" s="37">
        <f t="shared" si="2"/>
        <v>-12.329296549405202</v>
      </c>
      <c r="X10" s="39">
        <f t="shared" si="3"/>
        <v>-12.651986584908485</v>
      </c>
      <c r="Y10" s="253">
        <f t="shared" si="50"/>
        <v>4.330028871018946E-11</v>
      </c>
      <c r="Z10" s="30" t="b">
        <f t="shared" si="4"/>
        <v>1</v>
      </c>
      <c r="AA10" s="31">
        <f t="shared" si="5"/>
        <v>-3.0000000000070335</v>
      </c>
      <c r="AB10" s="31">
        <f t="shared" si="6"/>
        <v>-3.7499999999994009</v>
      </c>
      <c r="AC10" s="31">
        <f t="shared" si="51"/>
        <v>1.4499934197045119</v>
      </c>
      <c r="AD10" s="31">
        <f t="shared" si="7"/>
        <v>-10.620000000005513</v>
      </c>
      <c r="AE10" s="31">
        <f t="shared" si="8"/>
        <v>-10.764057477333399</v>
      </c>
      <c r="AF10" s="31">
        <f t="shared" si="9"/>
        <v>-12.329296549405202</v>
      </c>
      <c r="AG10" s="31">
        <f t="shared" si="9"/>
        <v>-12.651986584908485</v>
      </c>
      <c r="AH10" s="31">
        <f t="shared" si="10"/>
        <v>-12.329296549405202</v>
      </c>
      <c r="AI10" s="31">
        <f t="shared" si="11"/>
        <v>-10.620000000005513</v>
      </c>
      <c r="AJ10" s="31">
        <f t="shared" si="12"/>
        <v>-12.651986584908485</v>
      </c>
      <c r="AK10" s="31">
        <f t="shared" si="13"/>
        <v>-10.764057477333399</v>
      </c>
      <c r="AL10" s="273"/>
      <c r="AM10" s="273"/>
      <c r="AN10" s="273"/>
      <c r="AO10" s="342"/>
      <c r="AP10" s="241">
        <v>1.6599516465935347</v>
      </c>
      <c r="AQ10" s="322">
        <v>1.2081495003639717</v>
      </c>
      <c r="AR10" s="35">
        <v>2.1201934318897768</v>
      </c>
      <c r="AS10" s="35">
        <v>1.1761964603146153</v>
      </c>
      <c r="AT10" s="37">
        <v>0.69284455184590077</v>
      </c>
      <c r="AU10" s="37">
        <v>1.4554471724253086</v>
      </c>
      <c r="AV10" s="37">
        <v>0.10240158394171786</v>
      </c>
      <c r="AW10" s="37">
        <v>0.52722157171783568</v>
      </c>
      <c r="AX10" s="37">
        <v>1.6934882700977194</v>
      </c>
      <c r="AY10" s="37">
        <v>0.15334672948321307</v>
      </c>
      <c r="AZ10" s="38">
        <f t="shared" si="14"/>
        <v>39.697068679403067</v>
      </c>
      <c r="BA10" s="38">
        <f t="shared" si="15"/>
        <v>83.390980284219594</v>
      </c>
      <c r="BB10" s="38">
        <f t="shared" si="52"/>
        <v>5.8671785753150578</v>
      </c>
      <c r="BC10" s="38">
        <f t="shared" si="16"/>
        <v>30.207570927685833</v>
      </c>
      <c r="BD10" s="38">
        <f t="shared" si="16"/>
        <v>97.02973053151014</v>
      </c>
      <c r="BE10" s="38">
        <f t="shared" si="53"/>
        <v>8.7861204015224565</v>
      </c>
      <c r="BF10" s="38">
        <f t="shared" si="17"/>
        <v>106.3</v>
      </c>
      <c r="BG10" s="250">
        <f t="shared" si="18"/>
        <v>87.9</v>
      </c>
      <c r="BH10" s="322">
        <f t="shared" si="54"/>
        <v>2.2366555388245191</v>
      </c>
      <c r="BI10" s="35">
        <f t="shared" si="19"/>
        <v>2.3451357579757071</v>
      </c>
      <c r="BJ10" s="35">
        <f t="shared" si="55"/>
        <v>1.0683016697398096</v>
      </c>
      <c r="BK10" s="37">
        <f t="shared" si="20"/>
        <v>-5.7711182259342575E-2</v>
      </c>
      <c r="BL10" s="37">
        <f t="shared" si="21"/>
        <v>1.066741710542479</v>
      </c>
      <c r="BM10" s="37">
        <f>0</f>
        <v>0</v>
      </c>
      <c r="BN10" s="37">
        <f t="shared" si="22"/>
        <v>0.14394804499462019</v>
      </c>
      <c r="BO10" s="37">
        <f t="shared" si="23"/>
        <v>-1.1536563070905483</v>
      </c>
      <c r="BP10" s="37">
        <f t="shared" si="24"/>
        <v>-0.17830927824725132</v>
      </c>
      <c r="BQ10" s="35">
        <f t="shared" si="56"/>
        <v>2.2353323274620567</v>
      </c>
      <c r="BR10" s="35">
        <f t="shared" si="57"/>
        <v>1.1555295791975386</v>
      </c>
      <c r="BS10" s="35">
        <f t="shared" si="25"/>
        <v>1.917851947705534</v>
      </c>
      <c r="BT10" s="37">
        <f t="shared" si="26"/>
        <v>-3.0027275458795377</v>
      </c>
      <c r="BU10" s="37">
        <f t="shared" si="27"/>
        <v>-9.7605010076719331E-2</v>
      </c>
      <c r="BV10" s="37">
        <f t="shared" si="28"/>
        <v>-0.2959041720714079</v>
      </c>
      <c r="BW10" s="37">
        <f t="shared" si="29"/>
        <v>-0.77714433434621077</v>
      </c>
      <c r="BX10" s="37">
        <f t="shared" si="30"/>
        <v>1.7233356711605918E-2</v>
      </c>
      <c r="BY10" s="37">
        <f t="shared" si="31"/>
        <v>-0.46997924855085565</v>
      </c>
      <c r="BZ10" s="37">
        <f t="shared" si="32"/>
        <v>-1.1128556656537891</v>
      </c>
      <c r="CA10" s="37">
        <f t="shared" si="33"/>
        <v>0.47029510166700272</v>
      </c>
      <c r="CB10" s="37">
        <f>0</f>
        <v>0</v>
      </c>
      <c r="CC10" s="37">
        <f t="shared" si="34"/>
        <v>1.1127275458795378</v>
      </c>
      <c r="CD10" s="37">
        <f t="shared" si="35"/>
        <v>0.2921288314309714</v>
      </c>
      <c r="CE10" s="37">
        <f t="shared" si="36"/>
        <v>-0.10838248423115687</v>
      </c>
      <c r="CF10" s="37">
        <f t="shared" si="58"/>
        <v>-1.9904168497823915</v>
      </c>
      <c r="CG10" s="37">
        <f t="shared" si="37"/>
        <v>1.2583407266097234E-2</v>
      </c>
      <c r="CH10" s="37">
        <f t="shared" si="38"/>
        <v>-0.34316821673789027</v>
      </c>
      <c r="CI10" s="37">
        <f t="shared" si="59"/>
        <v>-1.9290267592546217</v>
      </c>
      <c r="CJ10" s="37">
        <f t="shared" si="39"/>
        <v>4.8905099795607289E-3</v>
      </c>
      <c r="CK10" s="37">
        <f t="shared" si="40"/>
        <v>-0.13337147508102781</v>
      </c>
      <c r="CL10" s="37">
        <f t="shared" si="60"/>
        <v>0.14394804499462019</v>
      </c>
      <c r="CM10" s="37">
        <f>0</f>
        <v>0</v>
      </c>
      <c r="CN10" s="37">
        <f>0</f>
        <v>0</v>
      </c>
      <c r="CO10" s="37">
        <f t="shared" si="61"/>
        <v>-5.7711182259342575E-2</v>
      </c>
      <c r="CP10" s="37">
        <f>0</f>
        <v>0</v>
      </c>
      <c r="CQ10" s="37">
        <f>0</f>
        <v>0</v>
      </c>
      <c r="CR10" s="37">
        <f t="shared" si="41"/>
        <v>3.9026759254621936E-2</v>
      </c>
      <c r="CS10" s="37">
        <f t="shared" si="42"/>
        <v>0.13346110839173114</v>
      </c>
      <c r="CT10" s="37">
        <f>0</f>
        <v>0</v>
      </c>
      <c r="CU10" s="37">
        <f t="shared" si="43"/>
        <v>0.10041684978239168</v>
      </c>
      <c r="CV10" s="37">
        <f t="shared" si="44"/>
        <v>0.3433988455389565</v>
      </c>
      <c r="CW10" s="37">
        <f>0</f>
        <v>0</v>
      </c>
      <c r="CX10" s="37">
        <f t="shared" si="62"/>
        <v>7.8879046198423231E-2</v>
      </c>
      <c r="CY10" s="37">
        <f t="shared" si="45"/>
        <v>-0.20224483986068886</v>
      </c>
      <c r="CZ10" s="39">
        <f t="shared" si="45"/>
        <v>-0.20979674165686246</v>
      </c>
      <c r="DB10" s="394" t="str">
        <f ca="1">Rotation!BA143</f>
        <v>-</v>
      </c>
      <c r="DC10" s="394" t="str">
        <f ca="1">Rotation!BB143</f>
        <v>-</v>
      </c>
      <c r="DD10" s="394">
        <v>0.43806126582583077</v>
      </c>
      <c r="DE10" s="398" t="e">
        <f t="shared" ca="1" si="63"/>
        <v>#VALUE!</v>
      </c>
      <c r="DF10" s="394" t="str">
        <f ca="1">Rotation!BC143</f>
        <v>-</v>
      </c>
      <c r="DG10" s="394" t="str">
        <f ca="1">Rotation!BD143</f>
        <v>-</v>
      </c>
      <c r="DH10" s="394">
        <v>0.4548671043598152</v>
      </c>
      <c r="DI10" s="398" t="e">
        <f t="shared" ca="1" si="64"/>
        <v>#VALUE!</v>
      </c>
      <c r="DJ10" s="232"/>
      <c r="DK10" s="232"/>
    </row>
    <row r="11" spans="1:115" s="238" customFormat="1" ht="15" customHeight="1">
      <c r="A11" s="315" t="s">
        <v>409</v>
      </c>
      <c r="B11" s="273">
        <v>-13.59844</v>
      </c>
      <c r="C11" s="274">
        <v>1</v>
      </c>
      <c r="D11" s="273">
        <v>-14.534140000000001</v>
      </c>
      <c r="E11" s="285">
        <v>4</v>
      </c>
      <c r="F11" s="287">
        <v>1</v>
      </c>
      <c r="G11" s="275">
        <v>2</v>
      </c>
      <c r="H11" s="278">
        <v>1.028</v>
      </c>
      <c r="I11" s="278">
        <v>1.252</v>
      </c>
      <c r="J11" s="278">
        <f t="shared" si="0"/>
        <v>1.864884305755941</v>
      </c>
      <c r="K11" s="277">
        <f t="shared" si="0"/>
        <v>3.1415926535897931</v>
      </c>
      <c r="L11" s="277">
        <v>106.85</v>
      </c>
      <c r="M11" s="277">
        <v>180</v>
      </c>
      <c r="N11" s="348">
        <v>-2.6360000000000001</v>
      </c>
      <c r="O11" s="347">
        <v>-4.726</v>
      </c>
      <c r="P11" s="346">
        <v>0</v>
      </c>
      <c r="Q11" s="277">
        <f t="shared" si="46"/>
        <v>-11.040498019213842</v>
      </c>
      <c r="R11" s="277">
        <f t="shared" si="47"/>
        <v>-16.023468690567817</v>
      </c>
      <c r="S11" s="277">
        <f t="shared" si="48"/>
        <v>-13.116567205280324</v>
      </c>
      <c r="T11" s="277">
        <f t="shared" si="49"/>
        <v>-9.6500000001840345</v>
      </c>
      <c r="U11" s="278">
        <v>-9.65</v>
      </c>
      <c r="V11" s="29">
        <f t="shared" si="1"/>
        <v>-11.040498019213842</v>
      </c>
      <c r="W11" s="29">
        <f t="shared" si="2"/>
        <v>-13.116567205280324</v>
      </c>
      <c r="X11" s="33">
        <f t="shared" si="3"/>
        <v>-16.023468690567817</v>
      </c>
      <c r="Y11" s="253">
        <f t="shared" si="50"/>
        <v>2.6285309955063789E-10</v>
      </c>
      <c r="Z11" s="30" t="b">
        <f t="shared" si="4"/>
        <v>1</v>
      </c>
      <c r="AA11" s="31">
        <f t="shared" si="5"/>
        <v>-2.635999999954683</v>
      </c>
      <c r="AB11" s="31">
        <f t="shared" si="6"/>
        <v>-4.726000000296894</v>
      </c>
      <c r="AC11" s="31">
        <f t="shared" si="51"/>
        <v>1.6212744969943806E-5</v>
      </c>
      <c r="AD11" s="31">
        <f t="shared" si="7"/>
        <v>-9.6500000001840345</v>
      </c>
      <c r="AE11" s="31">
        <f t="shared" si="8"/>
        <v>-11.040498019213842</v>
      </c>
      <c r="AF11" s="31">
        <f t="shared" si="9"/>
        <v>-13.116567205280324</v>
      </c>
      <c r="AG11" s="31">
        <f t="shared" si="9"/>
        <v>-16.023468690567817</v>
      </c>
      <c r="AH11" s="31">
        <f t="shared" si="10"/>
        <v>-11.040498019213842</v>
      </c>
      <c r="AI11" s="31">
        <f t="shared" si="11"/>
        <v>-16.023468690567817</v>
      </c>
      <c r="AJ11" s="31">
        <f t="shared" si="12"/>
        <v>-13.116567205280324</v>
      </c>
      <c r="AK11" s="31">
        <f t="shared" si="13"/>
        <v>-9.6500000001840345</v>
      </c>
      <c r="AL11" s="273"/>
      <c r="AM11" s="273"/>
      <c r="AN11" s="273"/>
      <c r="AO11" s="342"/>
      <c r="AP11" s="241">
        <v>1.1670530123719012</v>
      </c>
      <c r="AQ11" s="322">
        <v>0.91249689514949894</v>
      </c>
      <c r="AR11" s="35">
        <v>1.1994595010784719</v>
      </c>
      <c r="AS11" s="35">
        <v>1.3372187332246697</v>
      </c>
      <c r="AT11" s="37">
        <v>1.0251649548773534</v>
      </c>
      <c r="AU11" s="37">
        <v>1.0895887213726481</v>
      </c>
      <c r="AV11" s="37">
        <v>0.49397793118845484</v>
      </c>
      <c r="AW11" s="37">
        <v>0.96801761951753129</v>
      </c>
      <c r="AX11" s="37">
        <v>1.1288043162885535</v>
      </c>
      <c r="AY11" s="37">
        <v>0.40012630140390432</v>
      </c>
      <c r="AZ11" s="38">
        <f t="shared" si="14"/>
        <v>58.737625219191827</v>
      </c>
      <c r="BA11" s="38">
        <f t="shared" si="15"/>
        <v>62.428835139708532</v>
      </c>
      <c r="BB11" s="38">
        <f t="shared" si="52"/>
        <v>28.30285062970226</v>
      </c>
      <c r="BC11" s="38">
        <f t="shared" si="16"/>
        <v>55.463324092655292</v>
      </c>
      <c r="BD11" s="38">
        <f t="shared" si="16"/>
        <v>64.675723219484595</v>
      </c>
      <c r="BE11" s="38">
        <f t="shared" si="53"/>
        <v>22.925548342623223</v>
      </c>
      <c r="BF11" s="38">
        <f t="shared" si="17"/>
        <v>106.85</v>
      </c>
      <c r="BG11" s="250">
        <f t="shared" si="18"/>
        <v>180</v>
      </c>
      <c r="BH11" s="322">
        <f t="shared" si="54"/>
        <v>2.1534142516182122</v>
      </c>
      <c r="BI11" s="35">
        <f t="shared" si="19"/>
        <v>1.3868713596439535</v>
      </c>
      <c r="BJ11" s="35">
        <f t="shared" si="55"/>
        <v>1.141688283408808</v>
      </c>
      <c r="BK11" s="37">
        <f t="shared" si="20"/>
        <v>-0.57198603903575651</v>
      </c>
      <c r="BL11" s="37">
        <f t="shared" si="21"/>
        <v>0.98807090212248272</v>
      </c>
      <c r="BM11" s="37">
        <f>0</f>
        <v>0</v>
      </c>
      <c r="BN11" s="37">
        <f t="shared" si="22"/>
        <v>-0.57198313589709349</v>
      </c>
      <c r="BO11" s="37">
        <f t="shared" si="23"/>
        <v>-1.1132397452353264</v>
      </c>
      <c r="BP11" s="37">
        <f t="shared" si="24"/>
        <v>-0.47083596120592042</v>
      </c>
      <c r="BQ11" s="27">
        <f t="shared" si="56"/>
        <v>1.704892698397102</v>
      </c>
      <c r="BR11" s="27">
        <f t="shared" si="57"/>
        <v>1.1329992338519299</v>
      </c>
      <c r="BS11" s="27">
        <f t="shared" si="25"/>
        <v>1.0104873545585202</v>
      </c>
      <c r="BT11" s="29">
        <f t="shared" si="26"/>
        <v>-2.2150529771123235</v>
      </c>
      <c r="BU11" s="29">
        <f t="shared" si="27"/>
        <v>-0.36399765922521249</v>
      </c>
      <c r="BV11" s="29">
        <f t="shared" si="28"/>
        <v>0.47299252770283423</v>
      </c>
      <c r="BW11" s="29">
        <f t="shared" si="29"/>
        <v>-0.60028178037261448</v>
      </c>
      <c r="BX11" s="29">
        <f t="shared" si="30"/>
        <v>-0.63868141186603089</v>
      </c>
      <c r="BY11" s="29">
        <f t="shared" si="31"/>
        <v>-7.8247954492652368E-17</v>
      </c>
      <c r="BZ11" s="29">
        <f t="shared" si="32"/>
        <v>-0.65171821962738552</v>
      </c>
      <c r="CA11" s="29">
        <f t="shared" si="33"/>
        <v>0.63868141186603089</v>
      </c>
      <c r="CB11" s="29">
        <f>0</f>
        <v>0</v>
      </c>
      <c r="CC11" s="29">
        <f t="shared" si="34"/>
        <v>0.96305297711232363</v>
      </c>
      <c r="CD11" s="29">
        <f t="shared" si="35"/>
        <v>0.36399765922521243</v>
      </c>
      <c r="CE11" s="29">
        <f t="shared" si="36"/>
        <v>-0.47299252770283429</v>
      </c>
      <c r="CF11" s="29">
        <f t="shared" si="58"/>
        <v>-1.374424975125232</v>
      </c>
      <c r="CG11" s="29">
        <f t="shared" si="37"/>
        <v>-0.40421589681264292</v>
      </c>
      <c r="CH11" s="29">
        <f t="shared" si="38"/>
        <v>-4.9522448142951163E-17</v>
      </c>
      <c r="CI11" s="29">
        <f t="shared" si="59"/>
        <v>-1.3744251309738225</v>
      </c>
      <c r="CJ11" s="37">
        <f t="shared" si="39"/>
        <v>-0.40421641138475289</v>
      </c>
      <c r="CK11" s="37">
        <f t="shared" si="40"/>
        <v>-4.9522511185673711E-17</v>
      </c>
      <c r="CL11" s="37">
        <f t="shared" si="60"/>
        <v>-0.57198313589709349</v>
      </c>
      <c r="CM11" s="37">
        <f>0</f>
        <v>0</v>
      </c>
      <c r="CN11" s="37">
        <f>0</f>
        <v>0</v>
      </c>
      <c r="CO11" s="29">
        <f t="shared" si="61"/>
        <v>-0.57198603903575651</v>
      </c>
      <c r="CP11" s="37">
        <f>0</f>
        <v>0</v>
      </c>
      <c r="CQ11" s="37">
        <f>0</f>
        <v>0</v>
      </c>
      <c r="CR11" s="37">
        <f t="shared" si="41"/>
        <v>0.12242513097382238</v>
      </c>
      <c r="CS11" s="37">
        <f t="shared" si="42"/>
        <v>0.40421641138475289</v>
      </c>
      <c r="CT11" s="37">
        <f>0</f>
        <v>0</v>
      </c>
      <c r="CU11" s="37">
        <f t="shared" si="43"/>
        <v>0.12242497512523193</v>
      </c>
      <c r="CV11" s="37">
        <f t="shared" si="44"/>
        <v>0.40421589681264292</v>
      </c>
      <c r="CW11" s="37">
        <f>0</f>
        <v>0</v>
      </c>
      <c r="CX11" s="37">
        <f t="shared" si="62"/>
        <v>3.2148358439509916E-6</v>
      </c>
      <c r="CY11" s="37">
        <f t="shared" si="45"/>
        <v>1.029144219955036E-6</v>
      </c>
      <c r="CZ11" s="39">
        <f t="shared" si="45"/>
        <v>6.3042722548103395E-23</v>
      </c>
      <c r="DB11" s="394" t="str">
        <f ca="1">Rotation!BA144</f>
        <v>-</v>
      </c>
      <c r="DC11" s="394" t="str">
        <f ca="1">Rotation!BB144</f>
        <v>-</v>
      </c>
      <c r="DD11" s="394">
        <v>0.60343508361216591</v>
      </c>
      <c r="DE11" s="398" t="e">
        <f t="shared" ca="1" si="63"/>
        <v>#VALUE!</v>
      </c>
      <c r="DF11" s="394" t="str">
        <f ca="1">Rotation!BC144</f>
        <v>-</v>
      </c>
      <c r="DG11" s="394" t="str">
        <f ca="1">Rotation!BD144</f>
        <v>-</v>
      </c>
      <c r="DH11" s="394">
        <v>0.40027510875469408</v>
      </c>
      <c r="DI11" s="398" t="e">
        <f t="shared" ca="1" si="64"/>
        <v>#VALUE!</v>
      </c>
      <c r="DJ11" s="232"/>
      <c r="DK11" s="232"/>
    </row>
    <row r="12" spans="1:115" s="238" customFormat="1" ht="15" customHeight="1" thickBot="1">
      <c r="A12" s="279" t="s">
        <v>410</v>
      </c>
      <c r="B12" s="280">
        <v>-14.534140000000001</v>
      </c>
      <c r="C12" s="281">
        <v>4</v>
      </c>
      <c r="D12" s="280">
        <v>-11.260300000000001</v>
      </c>
      <c r="E12" s="286">
        <v>2</v>
      </c>
      <c r="F12" s="288">
        <v>3</v>
      </c>
      <c r="G12" s="282">
        <v>1</v>
      </c>
      <c r="H12" s="283">
        <v>1.1539999999999999</v>
      </c>
      <c r="I12" s="283">
        <v>1.389</v>
      </c>
      <c r="J12" s="283">
        <f t="shared" si="0"/>
        <v>3.1415926535897931</v>
      </c>
      <c r="K12" s="284">
        <f t="shared" si="0"/>
        <v>0</v>
      </c>
      <c r="L12" s="284">
        <v>180</v>
      </c>
      <c r="M12" s="284">
        <v>0</v>
      </c>
      <c r="N12" s="349">
        <v>-5</v>
      </c>
      <c r="O12" s="350">
        <v>-5.9260000000000002</v>
      </c>
      <c r="P12" s="350">
        <v>0</v>
      </c>
      <c r="Q12" s="364">
        <f t="shared" si="46"/>
        <v>-13.59783995275475</v>
      </c>
      <c r="R12" s="364">
        <f t="shared" si="47"/>
        <v>-15.717239397990955</v>
      </c>
      <c r="S12" s="364">
        <f t="shared" si="48"/>
        <v>-13.370000000037411</v>
      </c>
      <c r="T12" s="364">
        <f t="shared" si="49"/>
        <v>-13.921274630502118</v>
      </c>
      <c r="U12" s="283">
        <v>-13.37</v>
      </c>
      <c r="V12" s="42">
        <f t="shared" si="1"/>
        <v>-13.59783995275475</v>
      </c>
      <c r="W12" s="42">
        <f t="shared" si="2"/>
        <v>-13.921274630502118</v>
      </c>
      <c r="X12" s="46">
        <f t="shared" si="3"/>
        <v>-15.717239397990955</v>
      </c>
      <c r="Y12" s="255">
        <f t="shared" si="50"/>
        <v>2.2461767962992241E-9</v>
      </c>
      <c r="Z12" s="43" t="b">
        <f t="shared" si="4"/>
        <v>1</v>
      </c>
      <c r="AA12" s="44">
        <f t="shared" si="5"/>
        <v>-4.9999999991668815</v>
      </c>
      <c r="AB12" s="44">
        <f t="shared" si="6"/>
        <v>-5.9259999997419124</v>
      </c>
      <c r="AC12" s="44">
        <f t="shared" si="51"/>
        <v>4.7393847654928045E-5</v>
      </c>
      <c r="AD12" s="44">
        <f t="shared" si="7"/>
        <v>-13.370000000037411</v>
      </c>
      <c r="AE12" s="44">
        <f t="shared" si="8"/>
        <v>-13.59783995275475</v>
      </c>
      <c r="AF12" s="44">
        <f t="shared" si="9"/>
        <v>-13.921274630502118</v>
      </c>
      <c r="AG12" s="44">
        <f t="shared" si="9"/>
        <v>-15.717239397990955</v>
      </c>
      <c r="AH12" s="44">
        <f t="shared" si="10"/>
        <v>-13.59783995275475</v>
      </c>
      <c r="AI12" s="44">
        <f t="shared" si="11"/>
        <v>-15.717239397990955</v>
      </c>
      <c r="AJ12" s="44">
        <f t="shared" si="12"/>
        <v>-13.370000000037411</v>
      </c>
      <c r="AK12" s="44">
        <f t="shared" si="13"/>
        <v>-13.921274630502118</v>
      </c>
      <c r="AL12" s="280"/>
      <c r="AM12" s="280"/>
      <c r="AN12" s="280"/>
      <c r="AO12" s="344"/>
      <c r="AP12" s="244">
        <v>1.0764745694783906</v>
      </c>
      <c r="AQ12" s="324">
        <v>0.98482820886454003</v>
      </c>
      <c r="AR12" s="40">
        <v>1.5814648347327775</v>
      </c>
      <c r="AS12" s="40">
        <v>0.89971076973688902</v>
      </c>
      <c r="AT12" s="42">
        <v>1.0645445275380183</v>
      </c>
      <c r="AU12" s="42">
        <v>1.02691482850701</v>
      </c>
      <c r="AV12" s="42">
        <v>0.46289299409435025</v>
      </c>
      <c r="AW12" s="42">
        <v>0.66329352813369291</v>
      </c>
      <c r="AX12" s="42">
        <v>1.6843688882146854</v>
      </c>
      <c r="AY12" s="42">
        <v>0.22386009997832998</v>
      </c>
      <c r="AZ12" s="45">
        <f t="shared" si="14"/>
        <v>60.993908531676688</v>
      </c>
      <c r="BA12" s="45">
        <f t="shared" si="15"/>
        <v>58.837885592852388</v>
      </c>
      <c r="BB12" s="45">
        <f t="shared" si="52"/>
        <v>26.521814927780408</v>
      </c>
      <c r="BC12" s="45">
        <f t="shared" si="16"/>
        <v>38.003919740402537</v>
      </c>
      <c r="BD12" s="45">
        <f t="shared" si="16"/>
        <v>96.507228437844219</v>
      </c>
      <c r="BE12" s="45">
        <f t="shared" si="53"/>
        <v>12.826238930134959</v>
      </c>
      <c r="BF12" s="45">
        <f t="shared" si="17"/>
        <v>180</v>
      </c>
      <c r="BG12" s="251">
        <f t="shared" si="18"/>
        <v>0</v>
      </c>
      <c r="BH12" s="324">
        <f t="shared" si="54"/>
        <v>1.8720581164902634</v>
      </c>
      <c r="BI12" s="40">
        <f t="shared" si="19"/>
        <v>1.7384054424386628</v>
      </c>
      <c r="BJ12" s="40">
        <f t="shared" si="55"/>
        <v>0.98415552220984237</v>
      </c>
      <c r="BK12" s="42">
        <f t="shared" si="20"/>
        <v>-0.14285531619861636</v>
      </c>
      <c r="BL12" s="42">
        <f t="shared" si="21"/>
        <v>0.9737322273242891</v>
      </c>
      <c r="BM12" s="42">
        <f>0</f>
        <v>0</v>
      </c>
      <c r="BN12" s="42">
        <f t="shared" si="22"/>
        <v>0.10196292768891933</v>
      </c>
      <c r="BO12" s="42">
        <f t="shared" si="23"/>
        <v>-0.87160930400428183</v>
      </c>
      <c r="BP12" s="42">
        <f t="shared" si="24"/>
        <v>-0.19844458100643825</v>
      </c>
      <c r="BQ12" s="40">
        <f t="shared" si="56"/>
        <v>1.7410562341073446</v>
      </c>
      <c r="BR12" s="40">
        <f t="shared" si="57"/>
        <v>1.1339185934197142</v>
      </c>
      <c r="BS12" s="40">
        <f t="shared" si="25"/>
        <v>1.0608588923595801</v>
      </c>
      <c r="BT12" s="42">
        <f t="shared" si="26"/>
        <v>-2.0210146784095571</v>
      </c>
      <c r="BU12" s="42">
        <f t="shared" si="27"/>
        <v>-0.84237629640436329</v>
      </c>
      <c r="BV12" s="42">
        <f t="shared" si="28"/>
        <v>-0.4203938606044052</v>
      </c>
      <c r="BW12" s="42">
        <f t="shared" si="29"/>
        <v>-1.8986104902413099</v>
      </c>
      <c r="BX12" s="42">
        <f t="shared" si="30"/>
        <v>0.84272400536080028</v>
      </c>
      <c r="BY12" s="42">
        <f t="shared" si="31"/>
        <v>0</v>
      </c>
      <c r="BZ12" s="42">
        <f t="shared" si="32"/>
        <v>0.50961049024130978</v>
      </c>
      <c r="CA12" s="42">
        <f t="shared" si="33"/>
        <v>0.84272400536080028</v>
      </c>
      <c r="CB12" s="42">
        <f>0</f>
        <v>0</v>
      </c>
      <c r="CC12" s="42">
        <f t="shared" si="34"/>
        <v>0.63201467840955683</v>
      </c>
      <c r="CD12" s="42">
        <f t="shared" si="35"/>
        <v>-0.84237629640436329</v>
      </c>
      <c r="CE12" s="42">
        <f t="shared" si="36"/>
        <v>-0.4203938606044052</v>
      </c>
      <c r="CF12" s="42">
        <f t="shared" si="58"/>
        <v>-2.0210146784095571</v>
      </c>
      <c r="CG12" s="42">
        <f t="shared" si="37"/>
        <v>0</v>
      </c>
      <c r="CH12" s="42">
        <f t="shared" si="38"/>
        <v>0</v>
      </c>
      <c r="CI12" s="42">
        <f t="shared" si="59"/>
        <v>-1.8986104902413101</v>
      </c>
      <c r="CJ12" s="42">
        <f t="shared" si="39"/>
        <v>0</v>
      </c>
      <c r="CK12" s="42">
        <f t="shared" si="40"/>
        <v>0</v>
      </c>
      <c r="CL12" s="42">
        <f t="shared" si="60"/>
        <v>0.10196292768891933</v>
      </c>
      <c r="CM12" s="42">
        <f>0</f>
        <v>0</v>
      </c>
      <c r="CN12" s="42">
        <f>0</f>
        <v>0</v>
      </c>
      <c r="CO12" s="42">
        <f t="shared" si="61"/>
        <v>-0.14285531619861636</v>
      </c>
      <c r="CP12" s="42">
        <f>0</f>
        <v>0</v>
      </c>
      <c r="CQ12" s="42">
        <f>0</f>
        <v>0</v>
      </c>
      <c r="CR12" s="42">
        <f t="shared" si="41"/>
        <v>0.50961049024131011</v>
      </c>
      <c r="CS12" s="42">
        <f t="shared" si="42"/>
        <v>0</v>
      </c>
      <c r="CT12" s="42">
        <f>0</f>
        <v>0</v>
      </c>
      <c r="CU12" s="42">
        <f t="shared" si="43"/>
        <v>0.63201467840955683</v>
      </c>
      <c r="CV12" s="42">
        <f t="shared" si="44"/>
        <v>0</v>
      </c>
      <c r="CW12" s="42">
        <f>0</f>
        <v>0</v>
      </c>
      <c r="CX12" s="42">
        <f t="shared" si="62"/>
        <v>9.8675510420420665E-6</v>
      </c>
      <c r="CY12" s="42">
        <f t="shared" si="45"/>
        <v>0</v>
      </c>
      <c r="CZ12" s="46">
        <f t="shared" si="45"/>
        <v>0</v>
      </c>
      <c r="DB12" s="394" t="str">
        <f ca="1">Rotation!BA145</f>
        <v>-</v>
      </c>
      <c r="DC12" s="394" t="str">
        <f ca="1">Rotation!BB145</f>
        <v>-</v>
      </c>
      <c r="DD12" s="394">
        <v>0.55496642598813739</v>
      </c>
      <c r="DE12" s="398" t="e">
        <f t="shared" ca="1" si="63"/>
        <v>#VALUE!</v>
      </c>
      <c r="DF12" s="394" t="str">
        <f ca="1">Rotation!BC145</f>
        <v>-</v>
      </c>
      <c r="DG12" s="394" t="str">
        <f ca="1">Rotation!BD145</f>
        <v>-</v>
      </c>
      <c r="DH12" s="394">
        <v>0.54261824053311492</v>
      </c>
      <c r="DI12" s="398" t="e">
        <f t="shared" ca="1" si="64"/>
        <v>#VALUE!</v>
      </c>
      <c r="DJ12" s="232"/>
      <c r="DK12" s="232"/>
    </row>
    <row r="15" spans="1:115">
      <c r="O15" s="36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69" bestFit="1" customWidth="1"/>
    <col min="2" max="2" width="3.7109375" style="369" customWidth="1"/>
    <col min="3" max="3" width="3.5703125" style="369" customWidth="1"/>
    <col min="4" max="4" width="8.28515625" style="369" customWidth="1"/>
    <col min="5" max="5" width="8.28515625" style="369" customWidth="1" collapsed="1"/>
    <col min="6" max="7" width="8.140625" style="369" hidden="1" customWidth="1" outlineLevel="1"/>
    <col min="8" max="8" width="8.28515625" style="369" customWidth="1"/>
    <col min="9" max="9" width="8.140625" style="369" customWidth="1"/>
    <col min="10" max="10" width="7.5703125" style="369" customWidth="1"/>
    <col min="11" max="13" width="7.85546875" style="369" customWidth="1"/>
    <col min="14" max="14" width="7.85546875" style="36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69" hidden="1" customWidth="1" outlineLevel="1"/>
    <col min="20" max="23" width="9.140625" style="1" hidden="1" customWidth="1" outlineLevel="1"/>
    <col min="24" max="25" width="7.7109375" style="370" customWidth="1" collapsed="1"/>
    <col min="26" max="28" width="7.7109375" style="1" hidden="1" customWidth="1" outlineLevel="1"/>
    <col min="29" max="30" width="7.7109375" style="369" customWidth="1" collapsed="1"/>
    <col min="31" max="33" width="7.7109375" style="1" hidden="1" customWidth="1" outlineLevel="1"/>
    <col min="34" max="34" width="7.7109375" style="369" customWidth="1" collapsed="1"/>
    <col min="35" max="36" width="7.7109375" style="369" customWidth="1"/>
    <col min="37" max="40" width="7.7109375" style="370" customWidth="1"/>
    <col min="41" max="41" width="7.7109375" style="369" customWidth="1" collapsed="1"/>
    <col min="42" max="42" width="5.7109375" style="370" hidden="1" customWidth="1" outlineLevel="1"/>
    <col min="43" max="44" width="6" style="370" hidden="1" customWidth="1" outlineLevel="1"/>
    <col min="45" max="46" width="5.85546875" style="370" hidden="1" customWidth="1" outlineLevel="1"/>
    <col min="47" max="47" width="5.7109375" style="370" hidden="1" customWidth="1" outlineLevel="1"/>
    <col min="48" max="49" width="5.85546875" style="370" hidden="1" customWidth="1" outlineLevel="1"/>
    <col min="50" max="50" width="5.7109375" style="370" hidden="1" customWidth="1" outlineLevel="1"/>
    <col min="51" max="51" width="5.7109375" style="369" hidden="1" customWidth="1" outlineLevel="1"/>
    <col min="52" max="53" width="6" style="369" hidden="1" customWidth="1" outlineLevel="1"/>
    <col min="54" max="55" width="5.85546875" style="369" hidden="1" customWidth="1" outlineLevel="1"/>
    <col min="56" max="56" width="5.7109375" style="369" hidden="1" customWidth="1" outlineLevel="1"/>
    <col min="57" max="58" width="5.85546875" style="369" hidden="1" customWidth="1" outlineLevel="1"/>
    <col min="59" max="59" width="5.7109375" style="36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6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70"/>
      <c r="AQ1" s="370"/>
      <c r="AR1" s="370"/>
      <c r="AS1" s="1"/>
      <c r="AT1" s="1"/>
      <c r="AU1" s="1"/>
      <c r="AV1" s="370"/>
      <c r="AW1" s="370"/>
      <c r="AX1" s="1"/>
      <c r="BB1" s="1"/>
      <c r="BC1" s="1"/>
      <c r="BD1" s="1"/>
      <c r="BG1" s="1"/>
      <c r="BI1" s="400" t="e">
        <f ca="1">SUMXMY2(BI4:BI15,BJ4:BJ15)+SUMXMY2(BM4:BM15,BN4:BN15)</f>
        <v>#DIV/0!</v>
      </c>
    </row>
    <row r="2" spans="1:68" s="369" customFormat="1" ht="18.75" thickBot="1">
      <c r="A2" s="5" t="s">
        <v>527</v>
      </c>
      <c r="B2" s="548" t="s">
        <v>72</v>
      </c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47"/>
      <c r="O2" s="527" t="s">
        <v>71</v>
      </c>
      <c r="P2" s="527"/>
      <c r="Q2" s="527"/>
      <c r="R2" s="527"/>
      <c r="S2" s="527"/>
      <c r="T2" s="527"/>
      <c r="U2" s="527"/>
      <c r="V2" s="527"/>
      <c r="W2" s="528"/>
      <c r="X2" s="524" t="s">
        <v>62</v>
      </c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524"/>
      <c r="AJ2" s="524"/>
      <c r="AK2" s="524"/>
      <c r="AL2" s="524"/>
      <c r="AM2" s="524"/>
      <c r="AN2" s="524"/>
      <c r="AO2" s="547"/>
      <c r="AP2" s="555" t="s">
        <v>423</v>
      </c>
      <c r="AQ2" s="556"/>
      <c r="AR2" s="556"/>
      <c r="AS2" s="556"/>
      <c r="AT2" s="556"/>
      <c r="AU2" s="556"/>
      <c r="AV2" s="556"/>
      <c r="AW2" s="556"/>
      <c r="AX2" s="557"/>
      <c r="AY2" s="555" t="s">
        <v>424</v>
      </c>
      <c r="AZ2" s="556"/>
      <c r="BA2" s="556"/>
      <c r="BB2" s="556"/>
      <c r="BC2" s="556"/>
      <c r="BD2" s="556"/>
      <c r="BE2" s="556"/>
      <c r="BF2" s="556"/>
      <c r="BG2" s="557"/>
    </row>
    <row r="3" spans="1:68" s="369" customFormat="1" ht="33" customHeight="1" thickBot="1">
      <c r="A3" s="6" t="s">
        <v>0</v>
      </c>
      <c r="B3" s="261" t="s">
        <v>364</v>
      </c>
      <c r="C3" s="4" t="s">
        <v>366</v>
      </c>
      <c r="D3" s="4" t="s">
        <v>363</v>
      </c>
      <c r="E3" s="4" t="s">
        <v>365</v>
      </c>
      <c r="F3" s="4" t="s">
        <v>529</v>
      </c>
      <c r="G3" s="4" t="s">
        <v>525</v>
      </c>
      <c r="H3" s="4" t="s">
        <v>359</v>
      </c>
      <c r="I3" s="4" t="s">
        <v>360</v>
      </c>
      <c r="J3" s="4" t="s">
        <v>493</v>
      </c>
      <c r="K3" s="4" t="s">
        <v>31</v>
      </c>
      <c r="L3" s="4" t="s">
        <v>456</v>
      </c>
      <c r="M3" s="4" t="s">
        <v>514</v>
      </c>
      <c r="N3" s="4" t="s">
        <v>357</v>
      </c>
      <c r="O3" s="11" t="s">
        <v>5</v>
      </c>
      <c r="P3" s="11" t="s">
        <v>4</v>
      </c>
      <c r="Q3" s="11" t="s">
        <v>394</v>
      </c>
      <c r="R3" s="11" t="s">
        <v>395</v>
      </c>
      <c r="S3" s="11" t="s">
        <v>30</v>
      </c>
      <c r="T3" s="4" t="s">
        <v>399</v>
      </c>
      <c r="U3" s="4" t="s">
        <v>39</v>
      </c>
      <c r="V3" s="4" t="s">
        <v>361</v>
      </c>
      <c r="W3" s="4" t="s">
        <v>362</v>
      </c>
      <c r="X3" s="261" t="s">
        <v>458</v>
      </c>
      <c r="Y3" s="4" t="s">
        <v>457</v>
      </c>
      <c r="Z3" s="261" t="s">
        <v>420</v>
      </c>
      <c r="AA3" s="4" t="s">
        <v>421</v>
      </c>
      <c r="AB3" s="4" t="s">
        <v>422</v>
      </c>
      <c r="AC3" s="4" t="s">
        <v>520</v>
      </c>
      <c r="AD3" s="4" t="s">
        <v>521</v>
      </c>
      <c r="AE3" s="4" t="s">
        <v>417</v>
      </c>
      <c r="AF3" s="4" t="s">
        <v>418</v>
      </c>
      <c r="AG3" s="4" t="s">
        <v>419</v>
      </c>
      <c r="AH3" s="261" t="s">
        <v>411</v>
      </c>
      <c r="AI3" s="4" t="s">
        <v>412</v>
      </c>
      <c r="AJ3" s="4" t="s">
        <v>413</v>
      </c>
      <c r="AK3" s="4" t="s">
        <v>414</v>
      </c>
      <c r="AL3" s="4" t="s">
        <v>415</v>
      </c>
      <c r="AM3" s="4" t="s">
        <v>416</v>
      </c>
      <c r="AN3" s="4" t="s">
        <v>530</v>
      </c>
      <c r="AO3" s="338" t="s">
        <v>526</v>
      </c>
      <c r="AP3" s="240" t="s">
        <v>43</v>
      </c>
      <c r="AQ3" s="8" t="s">
        <v>55</v>
      </c>
      <c r="AR3" s="8" t="s">
        <v>56</v>
      </c>
      <c r="AS3" s="4" t="s">
        <v>64</v>
      </c>
      <c r="AT3" s="4" t="s">
        <v>65</v>
      </c>
      <c r="AU3" s="4" t="s">
        <v>66</v>
      </c>
      <c r="AV3" s="4" t="s">
        <v>67</v>
      </c>
      <c r="AW3" s="4" t="s">
        <v>68</v>
      </c>
      <c r="AX3" s="14" t="s">
        <v>69</v>
      </c>
      <c r="AY3" s="4" t="s">
        <v>43</v>
      </c>
      <c r="AZ3" s="8" t="s">
        <v>55</v>
      </c>
      <c r="BA3" s="8" t="s">
        <v>56</v>
      </c>
      <c r="BB3" s="4" t="s">
        <v>67</v>
      </c>
      <c r="BC3" s="4" t="s">
        <v>68</v>
      </c>
      <c r="BD3" s="4" t="s">
        <v>69</v>
      </c>
      <c r="BE3" s="4" t="s">
        <v>391</v>
      </c>
      <c r="BF3" s="4" t="s">
        <v>392</v>
      </c>
      <c r="BG3" s="14" t="s">
        <v>393</v>
      </c>
      <c r="BI3" s="399" t="s">
        <v>568</v>
      </c>
      <c r="BJ3" s="399" t="s">
        <v>562</v>
      </c>
      <c r="BK3" s="399" t="s">
        <v>570</v>
      </c>
      <c r="BL3" s="398"/>
      <c r="BM3" s="399" t="s">
        <v>569</v>
      </c>
      <c r="BN3" s="399" t="s">
        <v>567</v>
      </c>
      <c r="BO3" s="399" t="s">
        <v>571</v>
      </c>
      <c r="BP3" s="398"/>
    </row>
    <row r="4" spans="1:68" s="369" customFormat="1" ht="15" customHeight="1">
      <c r="A4" s="571" t="s">
        <v>528</v>
      </c>
      <c r="B4" s="358">
        <v>1</v>
      </c>
      <c r="C4" s="262">
        <v>1</v>
      </c>
      <c r="D4" s="322">
        <v>1.383</v>
      </c>
      <c r="E4" s="322">
        <v>1.087</v>
      </c>
      <c r="F4" s="35">
        <v>1.9233528356977512</v>
      </c>
      <c r="G4" s="35">
        <v>1.8976964956934346</v>
      </c>
      <c r="H4" s="37">
        <v>-4.55</v>
      </c>
      <c r="I4" s="37">
        <v>-4.3835489999999995</v>
      </c>
      <c r="J4" s="37">
        <v>1.85</v>
      </c>
      <c r="K4" s="378">
        <v>-12.5</v>
      </c>
      <c r="L4" s="378">
        <v>-17.100000000000009</v>
      </c>
      <c r="M4" s="378">
        <v>-17.100000000000009</v>
      </c>
      <c r="N4" s="378">
        <v>-23.400000000000013</v>
      </c>
      <c r="O4" s="253">
        <f>SUMXMY2(K4:N4,T4:W4)+SUMXMY2(H4:J4,Q4:S4)</f>
        <v>1.6679302691304128E-17</v>
      </c>
      <c r="P4" s="30" t="b">
        <f>AND(ABS(Q4-$H4)&lt;0.0001,ABS(I4-$R4)&lt;0.0001,ABS(S4-J4)&lt;0.0001,SUMXMY2(K4:N4,T4:W4)&lt;0.0001)</f>
        <v>1</v>
      </c>
      <c r="Q4" s="31">
        <f t="shared" ref="Q4:Q15" si="0">-(14.3998434*X4*Y4/(D4^3)*(SIN(Z4)*SIN(AA4)*COS(AB4)-2*COS(Z4)*COS(AA4)))*B4</f>
        <v>-4.5499999997392377</v>
      </c>
      <c r="R4" s="31">
        <f t="shared" ref="R4:R15" si="1">-(14.3998434*AC4*AD4/(E4^3)*(SIN(AE4)*SIN(AF4)*COS(AG4)-2*COS(AE4)*COS(AF4)))*C4</f>
        <v>-4.3835489960312914</v>
      </c>
      <c r="S4" s="31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1">
        <f t="shared" ref="T4:T15" si="2">-14.3998434/X4-14.3998434/AR4+14.3998434/D4</f>
        <v>-12.49999999999998</v>
      </c>
      <c r="U4" s="31">
        <f t="shared" ref="U4:U15" si="3">-14.3998434/Y4-14.3998434/AQ4+14.3998434/$D4</f>
        <v>-17.100000000889509</v>
      </c>
      <c r="V4" s="31">
        <f t="shared" ref="V4:V15" si="4">-14.3998434/AC4-14.3998434/BA4+14.3998434/E4</f>
        <v>-17.100000000224448</v>
      </c>
      <c r="W4" s="31">
        <f t="shared" ref="W4:W15" si="5">-14.3998434/AD4-14.3998434/AZ4+14.3998434/E4</f>
        <v>-23.400000000137439</v>
      </c>
      <c r="X4" s="35">
        <v>0.98303989876131026</v>
      </c>
      <c r="Y4" s="35">
        <v>0.99198359048952767</v>
      </c>
      <c r="Z4" s="37">
        <v>1.6286994296366235</v>
      </c>
      <c r="AA4" s="37">
        <v>0.91692236607047606</v>
      </c>
      <c r="AB4" s="37">
        <v>0.11979470816900038</v>
      </c>
      <c r="AC4" s="35">
        <v>0.70568481505554193</v>
      </c>
      <c r="AD4" s="35">
        <v>0.57924272055584636</v>
      </c>
      <c r="AE4" s="37">
        <v>1.8469691679650277</v>
      </c>
      <c r="AF4" s="37">
        <v>1.5511414724083687</v>
      </c>
      <c r="AG4" s="37">
        <v>0.18343069529406142</v>
      </c>
      <c r="AH4" s="38">
        <f>DEGREES(Z4)</f>
        <v>93.317603413542912</v>
      </c>
      <c r="AI4" s="38">
        <f>DEGREES(AA4)</f>
        <v>52.535781716987749</v>
      </c>
      <c r="AJ4" s="38">
        <f>DEGREES(AB4)</f>
        <v>6.8637311860850874</v>
      </c>
      <c r="AK4" s="38">
        <f>DEGREES(AE4)</f>
        <v>105.82353821518534</v>
      </c>
      <c r="AL4" s="38">
        <f>DEGREES(AF4)</f>
        <v>88.873859796707762</v>
      </c>
      <c r="AM4" s="38">
        <f>DEGREES(AG4)</f>
        <v>10.50980467349993</v>
      </c>
      <c r="AN4" s="374">
        <f t="shared" ref="AN4:AN15" si="6">DEGREES(F4)</f>
        <v>110.2</v>
      </c>
      <c r="AO4" s="250">
        <f t="shared" ref="AO4:AO15" si="7">DEGREES(G4)</f>
        <v>108.73</v>
      </c>
      <c r="AP4" s="322">
        <f t="shared" ref="AP4:AP15" si="8">SUMXMY2(AS4:AU4,AV4:AX4)^0.5</f>
        <v>1.9537598839273804</v>
      </c>
      <c r="AQ4" s="35">
        <f t="shared" ref="AQ4:AQ15" si="9">SQRT((-D4-AV4)^2+AW4^2+AX4^2)</f>
        <v>1.1080362838302007</v>
      </c>
      <c r="AR4" s="377">
        <f>SUMSQ(AS4:AU4)^0.5</f>
        <v>1.7425303818123865</v>
      </c>
      <c r="AS4" s="37">
        <f t="shared" ref="AS4:AS15" si="10">-D4+X4*COS(Z4)</f>
        <v>-1.4398892584897232</v>
      </c>
      <c r="AT4" s="37">
        <f>X4*SIN(Z4)</f>
        <v>0.98139240613789991</v>
      </c>
      <c r="AU4" s="37">
        <f>0</f>
        <v>0</v>
      </c>
      <c r="AV4" s="37">
        <f>-Y4*COS(AA4)</f>
        <v>-0.60338974602901452</v>
      </c>
      <c r="AW4" s="37">
        <f>-Y4*SIN(AA4)*COS(AB4)</f>
        <v>-0.78172753685881591</v>
      </c>
      <c r="AX4" s="39">
        <f>-Y4*SIN(AA4)*SIN(AB4)</f>
        <v>-9.4097376712557745E-2</v>
      </c>
      <c r="AY4" s="322">
        <f>SUMXMY2(BB4:BD4,BE4:BG4)^0.5</f>
        <v>1.7825489997624107</v>
      </c>
      <c r="AZ4" s="35">
        <f>SUMSQ(BE4:BG4)^0.5</f>
        <v>1.2216144572563781</v>
      </c>
      <c r="BA4" s="35">
        <f t="shared" ref="BA4:BA15" si="11">SQRT((E4-BB4)^2+BC4^2+BD4^2)</f>
        <v>1.4484086461583858</v>
      </c>
      <c r="BB4" s="37">
        <f>AC4*COS(AE4)</f>
        <v>-0.19242297519153337</v>
      </c>
      <c r="BC4" s="37">
        <f>AC4*SIN(AE4)</f>
        <v>0.67894363302001215</v>
      </c>
      <c r="BD4" s="37">
        <v>0</v>
      </c>
      <c r="BE4" s="37">
        <f t="shared" ref="BE4:BE15" si="12">E4-AD4*COS(AF4)</f>
        <v>1.0756158016839268</v>
      </c>
      <c r="BF4" s="37">
        <f>-AD4*SIN(AF4)*COS(AG4)</f>
        <v>-0.56941517169166478</v>
      </c>
      <c r="BG4" s="39">
        <f>-AD4*SIN(AF4)*SIN(AG4)</f>
        <v>-0.10563565493236884</v>
      </c>
      <c r="BI4" s="394" t="str">
        <f ca="1">Rotation!BA146</f>
        <v>-</v>
      </c>
      <c r="BJ4" s="394" t="str">
        <f ca="1">Rotation!BB146</f>
        <v>-</v>
      </c>
      <c r="BK4" s="394">
        <v>0.60837596963780582</v>
      </c>
      <c r="BL4" s="398" t="e">
        <f ca="1">N(ROUND(BI4,3)=ROUND(BJ4,3))</f>
        <v>#VALUE!</v>
      </c>
      <c r="BM4" s="394" t="str">
        <f ca="1">Rotation!BC146</f>
        <v>-</v>
      </c>
      <c r="BN4" s="394" t="str">
        <f ca="1">Rotation!BD146</f>
        <v>-</v>
      </c>
      <c r="BO4" s="394">
        <v>0.57883940975752401</v>
      </c>
      <c r="BP4" s="398" t="e">
        <f ca="1">N(ROUND(BM4,3)=ROUND(BN4,3))</f>
        <v>#VALUE!</v>
      </c>
    </row>
    <row r="5" spans="1:68" s="369" customFormat="1" ht="15" customHeight="1">
      <c r="A5" s="538"/>
      <c r="B5" s="358">
        <v>1</v>
      </c>
      <c r="C5" s="262">
        <v>1</v>
      </c>
      <c r="D5" s="322">
        <v>1.383</v>
      </c>
      <c r="E5" s="322">
        <v>1.087</v>
      </c>
      <c r="F5" s="35">
        <v>1.9233528356977512</v>
      </c>
      <c r="G5" s="35">
        <v>1.8976964956934346</v>
      </c>
      <c r="H5" s="37">
        <v>-4.55</v>
      </c>
      <c r="I5" s="37">
        <v>-4.3835489999999995</v>
      </c>
      <c r="J5" s="37">
        <v>1.85</v>
      </c>
      <c r="K5" s="378">
        <v>-12.5</v>
      </c>
      <c r="L5" s="378">
        <v>-17.099999999999987</v>
      </c>
      <c r="M5" s="378">
        <v>-23.4</v>
      </c>
      <c r="N5" s="378">
        <v>-17.100000000000001</v>
      </c>
      <c r="O5" s="30">
        <f t="shared" ref="O5:O15" si="13">SUMXMY2(K5:N5,T5:W5)+SUMXMY2(H5:J5,Q5:S5)</f>
        <v>1.6678807895366017E-17</v>
      </c>
      <c r="P5" s="30" t="b">
        <f t="shared" ref="P5:P15" si="14">AND(ABS(Q5-$H5)&lt;0.0001,ABS(I5-$R5)&lt;0.0001,ABS(S5-J5)&lt;0.0001,SUMXMY2(K5:N5,T5:W5)&lt;0.0001)</f>
        <v>1</v>
      </c>
      <c r="Q5" s="31">
        <f t="shared" si="0"/>
        <v>-4.5499999997390104</v>
      </c>
      <c r="R5" s="31">
        <f t="shared" si="1"/>
        <v>-4.3835489960313136</v>
      </c>
      <c r="S5" s="31">
        <f t="shared" ref="S5:S15" si="15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1">
        <f t="shared" si="2"/>
        <v>-12.49999999999998</v>
      </c>
      <c r="U5" s="31">
        <f t="shared" si="3"/>
        <v>-17.100000000889217</v>
      </c>
      <c r="V5" s="31">
        <f t="shared" si="4"/>
        <v>-23.400000000137432</v>
      </c>
      <c r="W5" s="31">
        <f t="shared" si="5"/>
        <v>-17.100000000224533</v>
      </c>
      <c r="X5" s="35">
        <v>0.98303989859726959</v>
      </c>
      <c r="Y5" s="35">
        <v>0.99198359096584832</v>
      </c>
      <c r="Z5" s="37">
        <v>1.6286994304268447</v>
      </c>
      <c r="AA5" s="37">
        <v>0.91692236539984395</v>
      </c>
      <c r="AB5" s="37">
        <v>0.11979471714006226</v>
      </c>
      <c r="AC5" s="35">
        <v>0.57924272055001746</v>
      </c>
      <c r="AD5" s="35">
        <v>0.70568481506926395</v>
      </c>
      <c r="AE5" s="37">
        <v>1.5511414724638466</v>
      </c>
      <c r="AF5" s="37">
        <v>1.846969167832921</v>
      </c>
      <c r="AG5" s="37">
        <v>0.18343069535200474</v>
      </c>
      <c r="AH5" s="38">
        <f t="shared" ref="AH5:AH15" si="16">DEGREES(Z5)</f>
        <v>93.317603458819264</v>
      </c>
      <c r="AI5" s="38">
        <f t="shared" ref="AI5:AI15" si="17">DEGREES(AA5)</f>
        <v>52.53578167856336</v>
      </c>
      <c r="AJ5" s="38">
        <f t="shared" ref="AJ5:AJ15" si="18">DEGREES(AB5)</f>
        <v>6.8637317000890707</v>
      </c>
      <c r="AK5" s="374">
        <f t="shared" ref="AK5:AK15" si="19">DEGREES(AE5)</f>
        <v>88.873859799886404</v>
      </c>
      <c r="AL5" s="374">
        <f t="shared" ref="AL5:AL15" si="20">DEGREES(AF5)</f>
        <v>105.82353820761618</v>
      </c>
      <c r="AM5" s="374">
        <f t="shared" ref="AM5:AM15" si="21">DEGREES(AG5)</f>
        <v>10.509804676819838</v>
      </c>
      <c r="AN5" s="374">
        <f t="shared" si="6"/>
        <v>110.2</v>
      </c>
      <c r="AO5" s="250">
        <f t="shared" si="7"/>
        <v>108.73</v>
      </c>
      <c r="AP5" s="322">
        <f t="shared" si="8"/>
        <v>1.9537598832688774</v>
      </c>
      <c r="AQ5" s="35">
        <f t="shared" si="9"/>
        <v>1.1080362832359354</v>
      </c>
      <c r="AR5" s="377">
        <f t="shared" ref="AR5:AR15" si="22">SUMSQ(AS5:AU5)^0.5</f>
        <v>1.7425303823278167</v>
      </c>
      <c r="AS5" s="37">
        <f t="shared" si="10"/>
        <v>-1.4398892592557471</v>
      </c>
      <c r="AT5" s="37">
        <f t="shared" ref="AT5:AT15" si="23">X5*SIN(Z5)</f>
        <v>0.98139240592917898</v>
      </c>
      <c r="AU5" s="37">
        <f>0</f>
        <v>0</v>
      </c>
      <c r="AV5" s="37">
        <f t="shared" ref="AV5:AV15" si="24">-Y5*COS(AA5)</f>
        <v>-0.60338974684678004</v>
      </c>
      <c r="AW5" s="37">
        <f t="shared" ref="AW5:AW15" si="25">-Y5*SIN(AA5)*COS(AB5)</f>
        <v>-0.78172753598827194</v>
      </c>
      <c r="AX5" s="39">
        <f t="shared" ref="AX5:AX15" si="26">-Y5*SIN(AA5)*SIN(AB5)</f>
        <v>-9.4097383722307193E-2</v>
      </c>
      <c r="AY5" s="322">
        <f t="shared" ref="AY5:AY15" si="27">SUMXMY2(BB5:BD5,BE5:BG5)^0.5</f>
        <v>1.7825489997452875</v>
      </c>
      <c r="AZ5" s="35">
        <f t="shared" ref="AZ5:AZ15" si="28">SUMSQ(BE5:BG5)^0.5</f>
        <v>1.4484086461005667</v>
      </c>
      <c r="BA5" s="35">
        <f t="shared" si="11"/>
        <v>1.2216144572823047</v>
      </c>
      <c r="BB5" s="37">
        <f t="shared" ref="BB5:BB15" si="29">AC5*COS(AE5)</f>
        <v>1.1384198283829649E-2</v>
      </c>
      <c r="BC5" s="37">
        <f t="shared" ref="BC5:BC15" si="30">AC5*SIN(AE5)</f>
        <v>0.57913083956876277</v>
      </c>
      <c r="BD5" s="37">
        <v>0</v>
      </c>
      <c r="BE5" s="37">
        <f t="shared" si="12"/>
        <v>1.2794229751055819</v>
      </c>
      <c r="BF5" s="37">
        <f t="shared" ref="BF5:BF15" si="31">-AD5*SIN(AF5)*COS(AG5)</f>
        <v>-0.66755347663283571</v>
      </c>
      <c r="BG5" s="39">
        <f t="shared" ref="BG5:BG15" si="32">-AD5*SIN(AF5)*SIN(AG5)</f>
        <v>-0.12384188591212554</v>
      </c>
      <c r="BI5" s="394" t="str">
        <f ca="1">Rotation!BA147</f>
        <v>-</v>
      </c>
      <c r="BJ5" s="394" t="str">
        <f ca="1">Rotation!BB147</f>
        <v>-</v>
      </c>
      <c r="BK5" s="394">
        <v>0.60837596955899165</v>
      </c>
      <c r="BL5" s="398" t="e">
        <f t="shared" ref="BL5:BL15" ca="1" si="33">N(ROUND(BI5,3)=ROUND(BJ5,3))</f>
        <v>#VALUE!</v>
      </c>
      <c r="BM5" s="394" t="str">
        <f ca="1">Rotation!BC147</f>
        <v>-</v>
      </c>
      <c r="BN5" s="394" t="str">
        <f ca="1">Rotation!BD147</f>
        <v>-</v>
      </c>
      <c r="BO5" s="394">
        <v>0.42115909022097703</v>
      </c>
      <c r="BP5" s="398" t="e">
        <f t="shared" ref="BP5:BP15" ca="1" si="34">N(ROUND(BM5,3)=ROUND(BN5,3))</f>
        <v>#VALUE!</v>
      </c>
    </row>
    <row r="6" spans="1:68" s="369" customFormat="1" ht="15" customHeight="1">
      <c r="A6" s="538"/>
      <c r="B6" s="358">
        <v>1</v>
      </c>
      <c r="C6" s="262">
        <v>1</v>
      </c>
      <c r="D6" s="322">
        <v>1.383</v>
      </c>
      <c r="E6" s="322">
        <v>1.087</v>
      </c>
      <c r="F6" s="35">
        <v>1.9233528356977512</v>
      </c>
      <c r="G6" s="35">
        <v>1.8976964956934346</v>
      </c>
      <c r="H6" s="37">
        <v>-4.55</v>
      </c>
      <c r="I6" s="37">
        <v>-4.3835489999999995</v>
      </c>
      <c r="J6" s="37">
        <v>1.85</v>
      </c>
      <c r="K6" s="378">
        <v>-12.5</v>
      </c>
      <c r="L6" s="378">
        <v>-23.399999999999991</v>
      </c>
      <c r="M6" s="378">
        <v>-17.100000000000016</v>
      </c>
      <c r="N6" s="378">
        <v>-17.100000000000001</v>
      </c>
      <c r="O6" s="30">
        <f t="shared" si="13"/>
        <v>5.2133923035878323E-14</v>
      </c>
      <c r="P6" s="30" t="b">
        <f t="shared" si="14"/>
        <v>1</v>
      </c>
      <c r="Q6" s="31">
        <f t="shared" si="0"/>
        <v>-4.5499999471102912</v>
      </c>
      <c r="R6" s="31">
        <f t="shared" si="1"/>
        <v>-4.3835488087762311</v>
      </c>
      <c r="S6" s="31">
        <f t="shared" si="15"/>
        <v>1.8499999948656609</v>
      </c>
      <c r="T6" s="31">
        <f t="shared" si="2"/>
        <v>-12.500000072607451</v>
      </c>
      <c r="U6" s="31">
        <f t="shared" si="3"/>
        <v>-23.400000003175862</v>
      </c>
      <c r="V6" s="31">
        <f t="shared" si="4"/>
        <v>-17.100000040668462</v>
      </c>
      <c r="W6" s="31">
        <f t="shared" si="5"/>
        <v>-17.100000076209319</v>
      </c>
      <c r="X6" s="35">
        <v>1.4069807606741058</v>
      </c>
      <c r="Y6" s="35">
        <v>0.57772200571148458</v>
      </c>
      <c r="Z6" s="37">
        <v>0.838435176378169</v>
      </c>
      <c r="AA6" s="37">
        <v>1.8103247742562907</v>
      </c>
      <c r="AB6" s="37">
        <v>0.17742637692970895</v>
      </c>
      <c r="AC6" s="35">
        <v>0.74021017158978952</v>
      </c>
      <c r="AD6" s="35">
        <v>0.76490061809198362</v>
      </c>
      <c r="AE6" s="37">
        <v>1.5818825562613723</v>
      </c>
      <c r="AF6" s="37">
        <v>1.4474465369762799</v>
      </c>
      <c r="AG6" s="37">
        <v>0.80496967849738166</v>
      </c>
      <c r="AH6" s="38">
        <f t="shared" si="16"/>
        <v>48.038797001775862</v>
      </c>
      <c r="AI6" s="38">
        <f t="shared" si="17"/>
        <v>103.72396911285897</v>
      </c>
      <c r="AJ6" s="38">
        <f t="shared" si="18"/>
        <v>10.16578257236964</v>
      </c>
      <c r="AK6" s="374">
        <f t="shared" si="19"/>
        <v>90.635194159142628</v>
      </c>
      <c r="AL6" s="374">
        <f t="shared" si="20"/>
        <v>82.932577639567498</v>
      </c>
      <c r="AM6" s="374">
        <f t="shared" si="21"/>
        <v>46.121365213902742</v>
      </c>
      <c r="AN6" s="374">
        <f t="shared" si="6"/>
        <v>110.2</v>
      </c>
      <c r="AO6" s="250">
        <f t="shared" si="7"/>
        <v>108.73</v>
      </c>
      <c r="AP6" s="328">
        <f t="shared" si="8"/>
        <v>1.7032571350663346</v>
      </c>
      <c r="AQ6" s="60">
        <f t="shared" si="9"/>
        <v>1.6203590841881592</v>
      </c>
      <c r="AR6" s="60">
        <f t="shared" si="22"/>
        <v>1.1358614989849307</v>
      </c>
      <c r="AS6" s="61">
        <f t="shared" si="10"/>
        <v>-0.44225433259913527</v>
      </c>
      <c r="AT6" s="61">
        <f t="shared" si="23"/>
        <v>1.0462277238601485</v>
      </c>
      <c r="AU6" s="61">
        <f>0</f>
        <v>0</v>
      </c>
      <c r="AV6" s="61">
        <f t="shared" si="24"/>
        <v>0.13706140485458751</v>
      </c>
      <c r="AW6" s="61">
        <f t="shared" si="25"/>
        <v>-0.55241740434473752</v>
      </c>
      <c r="AX6" s="329">
        <f t="shared" si="26"/>
        <v>-9.9055027937052412E-2</v>
      </c>
      <c r="AY6" s="328">
        <f t="shared" si="27"/>
        <v>1.704442791353977</v>
      </c>
      <c r="AZ6" s="60">
        <f t="shared" si="28"/>
        <v>1.2498176232836065</v>
      </c>
      <c r="BA6" s="60">
        <f t="shared" si="11"/>
        <v>1.3218622774886404</v>
      </c>
      <c r="BB6" s="61">
        <f t="shared" si="29"/>
        <v>-8.2059717214670799E-3</v>
      </c>
      <c r="BC6" s="61">
        <f t="shared" si="30"/>
        <v>0.74016468448115791</v>
      </c>
      <c r="BD6" s="61">
        <v>0</v>
      </c>
      <c r="BE6" s="61">
        <f t="shared" si="12"/>
        <v>0.99288874697000196</v>
      </c>
      <c r="BF6" s="61">
        <f t="shared" si="31"/>
        <v>-0.52614966761677362</v>
      </c>
      <c r="BG6" s="329">
        <f t="shared" si="32"/>
        <v>-0.54715861948559386</v>
      </c>
      <c r="BI6" s="394" t="str">
        <f ca="1">Rotation!BA148</f>
        <v>-</v>
      </c>
      <c r="BJ6" s="394" t="str">
        <f ca="1">Rotation!BB148</f>
        <v>-</v>
      </c>
      <c r="BK6" s="394">
        <v>0.77653347156047126</v>
      </c>
      <c r="BL6" s="398" t="e">
        <f t="shared" ca="1" si="33"/>
        <v>#VALUE!</v>
      </c>
      <c r="BM6" s="394" t="str">
        <f ca="1">Rotation!BC148</f>
        <v>-</v>
      </c>
      <c r="BN6" s="394" t="str">
        <f ca="1">Rotation!BD148</f>
        <v>-</v>
      </c>
      <c r="BO6" s="394">
        <v>0.48740846943060928</v>
      </c>
      <c r="BP6" s="398" t="e">
        <f t="shared" ca="1" si="34"/>
        <v>#VALUE!</v>
      </c>
    </row>
    <row r="7" spans="1:68" s="369" customFormat="1" ht="15" customHeight="1">
      <c r="A7" s="538"/>
      <c r="B7" s="358">
        <v>1</v>
      </c>
      <c r="C7" s="262">
        <v>1</v>
      </c>
      <c r="D7" s="322">
        <v>1.383</v>
      </c>
      <c r="E7" s="322">
        <v>1.087</v>
      </c>
      <c r="F7" s="35">
        <v>1.9233528356977512</v>
      </c>
      <c r="G7" s="35">
        <v>1.8976964956934346</v>
      </c>
      <c r="H7" s="37">
        <v>-4.55</v>
      </c>
      <c r="I7" s="37">
        <v>-4.3835489999999995</v>
      </c>
      <c r="J7" s="37">
        <v>1.85</v>
      </c>
      <c r="K7" s="378">
        <v>-17.099999999999994</v>
      </c>
      <c r="L7" s="378">
        <v>-12.5</v>
      </c>
      <c r="M7" s="378">
        <v>-17.100000000000009</v>
      </c>
      <c r="N7" s="378">
        <v>-23.4</v>
      </c>
      <c r="O7" s="30">
        <f t="shared" si="13"/>
        <v>1.668076421637557E-17</v>
      </c>
      <c r="P7" s="30" t="b">
        <f t="shared" si="14"/>
        <v>1</v>
      </c>
      <c r="Q7" s="31">
        <f t="shared" si="0"/>
        <v>-4.54999999974007</v>
      </c>
      <c r="R7" s="31">
        <f t="shared" si="1"/>
        <v>-4.3835489960311795</v>
      </c>
      <c r="S7" s="31">
        <f t="shared" si="15"/>
        <v>1.8500000000145429</v>
      </c>
      <c r="T7" s="31">
        <f t="shared" si="2"/>
        <v>-17.100000000890944</v>
      </c>
      <c r="U7" s="31">
        <f t="shared" si="3"/>
        <v>-12.499999999999984</v>
      </c>
      <c r="V7" s="31">
        <f t="shared" si="4"/>
        <v>-17.100000000221605</v>
      </c>
      <c r="W7" s="31">
        <f t="shared" si="5"/>
        <v>-23.400000000136238</v>
      </c>
      <c r="X7" s="35">
        <v>0.9919835556266301</v>
      </c>
      <c r="Y7" s="35">
        <v>0.98303989724585572</v>
      </c>
      <c r="Z7" s="37">
        <v>0.91692241515715533</v>
      </c>
      <c r="AA7" s="37">
        <v>1.6286994369369145</v>
      </c>
      <c r="AB7" s="37">
        <v>0.11979473111486753</v>
      </c>
      <c r="AC7" s="35">
        <v>0.70568481022007878</v>
      </c>
      <c r="AD7" s="35">
        <v>0.57924271347112921</v>
      </c>
      <c r="AE7" s="37">
        <v>1.8469692145100132</v>
      </c>
      <c r="AF7" s="37">
        <v>1.5511415398372832</v>
      </c>
      <c r="AG7" s="37">
        <v>0.18343032779308449</v>
      </c>
      <c r="AH7" s="38">
        <f t="shared" si="16"/>
        <v>52.535784529447305</v>
      </c>
      <c r="AI7" s="38">
        <f t="shared" si="17"/>
        <v>93.317603831818786</v>
      </c>
      <c r="AJ7" s="38">
        <f t="shared" si="18"/>
        <v>6.8637325007864325</v>
      </c>
      <c r="AK7" s="374">
        <f t="shared" si="19"/>
        <v>105.82354088201656</v>
      </c>
      <c r="AL7" s="374">
        <f t="shared" si="20"/>
        <v>88.873863660099985</v>
      </c>
      <c r="AM7" s="374">
        <f t="shared" si="21"/>
        <v>10.509783617244985</v>
      </c>
      <c r="AN7" s="374">
        <f t="shared" si="6"/>
        <v>110.2</v>
      </c>
      <c r="AO7" s="250">
        <f t="shared" si="7"/>
        <v>108.73</v>
      </c>
      <c r="AP7" s="328">
        <f t="shared" si="8"/>
        <v>1.9537599115148432</v>
      </c>
      <c r="AQ7" s="60">
        <f t="shared" si="9"/>
        <v>1.7425303865740782</v>
      </c>
      <c r="AR7" s="60">
        <f t="shared" si="22"/>
        <v>1.1080363273273981</v>
      </c>
      <c r="AS7" s="61">
        <f t="shared" si="10"/>
        <v>-0.77961031382629686</v>
      </c>
      <c r="AT7" s="61">
        <f t="shared" si="23"/>
        <v>0.78737047268287341</v>
      </c>
      <c r="AU7" s="61">
        <f>0</f>
        <v>0</v>
      </c>
      <c r="AV7" s="61">
        <f t="shared" si="24"/>
        <v>5.6889265566472814E-2</v>
      </c>
      <c r="AW7" s="61">
        <f t="shared" si="25"/>
        <v>-0.97435894947694857</v>
      </c>
      <c r="AX7" s="329">
        <f t="shared" si="26"/>
        <v>-0.11728464782155913</v>
      </c>
      <c r="AY7" s="328">
        <f t="shared" si="27"/>
        <v>1.7825490500212795</v>
      </c>
      <c r="AZ7" s="60">
        <f t="shared" si="28"/>
        <v>1.2216144887680471</v>
      </c>
      <c r="BA7" s="60">
        <f t="shared" si="11"/>
        <v>1.448408666529162</v>
      </c>
      <c r="BB7" s="61">
        <f t="shared" si="29"/>
        <v>-0.19242300547444199</v>
      </c>
      <c r="BC7" s="61">
        <f t="shared" si="30"/>
        <v>0.67894361941145853</v>
      </c>
      <c r="BD7" s="61">
        <v>0</v>
      </c>
      <c r="BE7" s="61">
        <f t="shared" si="12"/>
        <v>1.0756158408733303</v>
      </c>
      <c r="BF7" s="61">
        <f t="shared" si="31"/>
        <v>-0.56941520430306092</v>
      </c>
      <c r="BG7" s="329">
        <f t="shared" si="32"/>
        <v>-0.10563544451971985</v>
      </c>
      <c r="BI7" s="394" t="str">
        <f ca="1">Rotation!BA149</f>
        <v>-</v>
      </c>
      <c r="BJ7" s="394" t="str">
        <f ca="1">Rotation!BB149</f>
        <v>-</v>
      </c>
      <c r="BK7" s="394">
        <v>0.3916225331172527</v>
      </c>
      <c r="BL7" s="398" t="e">
        <f t="shared" ca="1" si="33"/>
        <v>#VALUE!</v>
      </c>
      <c r="BM7" s="394" t="str">
        <f ca="1">Rotation!BC149</f>
        <v>-</v>
      </c>
      <c r="BN7" s="394" t="str">
        <f ca="1">Rotation!BD149</f>
        <v>-</v>
      </c>
      <c r="BO7" s="394">
        <v>0.57883940532523537</v>
      </c>
      <c r="BP7" s="398" t="e">
        <f t="shared" ca="1" si="34"/>
        <v>#VALUE!</v>
      </c>
    </row>
    <row r="8" spans="1:68" s="369" customFormat="1" ht="15" customHeight="1">
      <c r="A8" s="538"/>
      <c r="B8" s="358">
        <v>1</v>
      </c>
      <c r="C8" s="262">
        <v>1</v>
      </c>
      <c r="D8" s="322">
        <v>1.383</v>
      </c>
      <c r="E8" s="322">
        <v>1.087</v>
      </c>
      <c r="F8" s="35">
        <v>1.9233528356977512</v>
      </c>
      <c r="G8" s="35">
        <v>1.8976964956934346</v>
      </c>
      <c r="H8" s="37">
        <v>-4.55</v>
      </c>
      <c r="I8" s="37">
        <v>-4.3835489999999995</v>
      </c>
      <c r="J8" s="37">
        <v>1.85</v>
      </c>
      <c r="K8" s="378">
        <v>-23.399999999999991</v>
      </c>
      <c r="L8" s="378">
        <v>-12.5</v>
      </c>
      <c r="M8" s="378">
        <v>-17.100000000000001</v>
      </c>
      <c r="N8" s="378">
        <v>-17.100000000000001</v>
      </c>
      <c r="O8" s="30">
        <f t="shared" si="13"/>
        <v>5.2133923162826276E-14</v>
      </c>
      <c r="P8" s="30" t="b">
        <f t="shared" si="14"/>
        <v>1</v>
      </c>
      <c r="Q8" s="31">
        <f t="shared" si="0"/>
        <v>-4.5499999471102814</v>
      </c>
      <c r="R8" s="31">
        <f t="shared" si="1"/>
        <v>-4.3835488087762293</v>
      </c>
      <c r="S8" s="31">
        <f t="shared" si="15"/>
        <v>1.8499999948657149</v>
      </c>
      <c r="T8" s="31">
        <f t="shared" si="2"/>
        <v>-23.400000003175862</v>
      </c>
      <c r="U8" s="31">
        <f t="shared" si="3"/>
        <v>-12.500000072607444</v>
      </c>
      <c r="V8" s="31">
        <f t="shared" si="4"/>
        <v>-17.100000040668448</v>
      </c>
      <c r="W8" s="31">
        <f t="shared" si="5"/>
        <v>-17.100000076209319</v>
      </c>
      <c r="X8" s="35">
        <v>0.57772200571103394</v>
      </c>
      <c r="Y8" s="35">
        <v>1.4069807606764184</v>
      </c>
      <c r="Z8" s="37">
        <v>1.8103247742642168</v>
      </c>
      <c r="AA8" s="37">
        <v>0.83843517637621523</v>
      </c>
      <c r="AB8" s="37">
        <v>0.17742637700226646</v>
      </c>
      <c r="AC8" s="35">
        <v>0.74021017158965141</v>
      </c>
      <c r="AD8" s="35">
        <v>0.76490061809194154</v>
      </c>
      <c r="AE8" s="37">
        <v>1.5818825562622287</v>
      </c>
      <c r="AF8" s="37">
        <v>1.4474465369764822</v>
      </c>
      <c r="AG8" s="37">
        <v>0.80496967849745249</v>
      </c>
      <c r="AH8" s="38">
        <f t="shared" si="16"/>
        <v>103.72396911331309</v>
      </c>
      <c r="AI8" s="38">
        <f t="shared" si="17"/>
        <v>48.038797001663916</v>
      </c>
      <c r="AJ8" s="38">
        <f t="shared" si="18"/>
        <v>10.16578257652688</v>
      </c>
      <c r="AK8" s="374">
        <f t="shared" si="19"/>
        <v>90.635194159191698</v>
      </c>
      <c r="AL8" s="374">
        <f t="shared" si="20"/>
        <v>82.93257763957908</v>
      </c>
      <c r="AM8" s="374">
        <f t="shared" si="21"/>
        <v>46.121365213906799</v>
      </c>
      <c r="AN8" s="374">
        <f t="shared" si="6"/>
        <v>110.2</v>
      </c>
      <c r="AO8" s="250">
        <f t="shared" si="7"/>
        <v>108.73</v>
      </c>
      <c r="AP8" s="328">
        <f t="shared" si="8"/>
        <v>1.7032571350606405</v>
      </c>
      <c r="AQ8" s="60">
        <f t="shared" si="9"/>
        <v>1.1358614989834239</v>
      </c>
      <c r="AR8" s="60">
        <f t="shared" si="22"/>
        <v>1.6203590841917039</v>
      </c>
      <c r="AS8" s="61">
        <f t="shared" si="10"/>
        <v>-1.5200614048589289</v>
      </c>
      <c r="AT8" s="61">
        <f t="shared" si="23"/>
        <v>0.56122801710256476</v>
      </c>
      <c r="AU8" s="61">
        <f>0</f>
        <v>0</v>
      </c>
      <c r="AV8" s="61">
        <f t="shared" si="24"/>
        <v>-0.94074566740445498</v>
      </c>
      <c r="AW8" s="61">
        <f t="shared" si="25"/>
        <v>-1.029803192190867</v>
      </c>
      <c r="AX8" s="329">
        <f t="shared" si="26"/>
        <v>-0.18465599239353075</v>
      </c>
      <c r="AY8" s="328">
        <f t="shared" si="27"/>
        <v>1.7044427913542999</v>
      </c>
      <c r="AZ8" s="60">
        <f t="shared" si="28"/>
        <v>1.2498176232837186</v>
      </c>
      <c r="BA8" s="60">
        <f t="shared" si="11"/>
        <v>1.3218622774890829</v>
      </c>
      <c r="BB8" s="61">
        <f t="shared" si="29"/>
        <v>-8.2059717220994456E-3</v>
      </c>
      <c r="BC8" s="61">
        <f t="shared" si="30"/>
        <v>0.74016468448101291</v>
      </c>
      <c r="BD8" s="61">
        <v>0</v>
      </c>
      <c r="BE8" s="61">
        <f t="shared" si="12"/>
        <v>0.99288874697016072</v>
      </c>
      <c r="BF8" s="61">
        <f t="shared" si="31"/>
        <v>-0.52614966761671911</v>
      </c>
      <c r="BG8" s="329">
        <f t="shared" si="32"/>
        <v>-0.54715861948561473</v>
      </c>
      <c r="BI8" s="394" t="str">
        <f ca="1">Rotation!BA150</f>
        <v>-</v>
      </c>
      <c r="BJ8" s="394" t="str">
        <f ca="1">Rotation!BB150</f>
        <v>-</v>
      </c>
      <c r="BK8" s="394">
        <v>0.22346502802326454</v>
      </c>
      <c r="BL8" s="398" t="e">
        <f t="shared" ca="1" si="33"/>
        <v>#VALUE!</v>
      </c>
      <c r="BM8" s="394" t="str">
        <f ca="1">Rotation!BC150</f>
        <v>-</v>
      </c>
      <c r="BN8" s="394" t="str">
        <f ca="1">Rotation!BD150</f>
        <v>-</v>
      </c>
      <c r="BO8" s="394">
        <v>0.48740846943060928</v>
      </c>
      <c r="BP8" s="398" t="e">
        <f t="shared" ca="1" si="34"/>
        <v>#VALUE!</v>
      </c>
    </row>
    <row r="9" spans="1:68" s="369" customFormat="1" ht="15" customHeight="1">
      <c r="A9" s="538"/>
      <c r="B9" s="358">
        <v>1</v>
      </c>
      <c r="C9" s="262">
        <v>1</v>
      </c>
      <c r="D9" s="322">
        <v>1.383</v>
      </c>
      <c r="E9" s="322">
        <v>1.087</v>
      </c>
      <c r="F9" s="35">
        <v>1.9233528356977512</v>
      </c>
      <c r="G9" s="35">
        <v>1.8976964956934346</v>
      </c>
      <c r="H9" s="37">
        <v>-4.55</v>
      </c>
      <c r="I9" s="37">
        <v>-4.3835489999999995</v>
      </c>
      <c r="J9" s="37">
        <v>1.85</v>
      </c>
      <c r="K9" s="378">
        <v>-17.100000000000001</v>
      </c>
      <c r="L9" s="378">
        <v>-12.5</v>
      </c>
      <c r="M9" s="378">
        <v>-23.4</v>
      </c>
      <c r="N9" s="378">
        <v>-17.100000000000001</v>
      </c>
      <c r="O9" s="30">
        <f t="shared" si="13"/>
        <v>1.6678787149497245E-17</v>
      </c>
      <c r="P9" s="30" t="b">
        <f t="shared" si="14"/>
        <v>1</v>
      </c>
      <c r="Q9" s="31">
        <f t="shared" si="0"/>
        <v>-4.5499999997389962</v>
      </c>
      <c r="R9" s="31">
        <f t="shared" si="1"/>
        <v>-4.3835489960313128</v>
      </c>
      <c r="S9" s="31">
        <f t="shared" si="15"/>
        <v>1.8500000000138896</v>
      </c>
      <c r="T9" s="31">
        <f t="shared" si="2"/>
        <v>-17.100000000889239</v>
      </c>
      <c r="U9" s="31">
        <f t="shared" si="3"/>
        <v>-12.49999999999998</v>
      </c>
      <c r="V9" s="31">
        <f t="shared" si="4"/>
        <v>-23.400000000137432</v>
      </c>
      <c r="W9" s="31">
        <f t="shared" si="5"/>
        <v>-17.100000000224426</v>
      </c>
      <c r="X9" s="35">
        <v>0.99198359094499788</v>
      </c>
      <c r="Y9" s="35">
        <v>0.98303989860493579</v>
      </c>
      <c r="Z9" s="37">
        <v>0.91692236542919914</v>
      </c>
      <c r="AA9" s="37">
        <v>1.6286994303899152</v>
      </c>
      <c r="AB9" s="37">
        <v>0.11979471672301077</v>
      </c>
      <c r="AC9" s="35">
        <v>0.57924272055001813</v>
      </c>
      <c r="AD9" s="35">
        <v>0.70568481506926706</v>
      </c>
      <c r="AE9" s="37">
        <v>1.5511414724638399</v>
      </c>
      <c r="AF9" s="37">
        <v>1.846969167832921</v>
      </c>
      <c r="AG9" s="37">
        <v>0.18343069535205483</v>
      </c>
      <c r="AH9" s="38">
        <f t="shared" si="16"/>
        <v>52.535781680245293</v>
      </c>
      <c r="AI9" s="38">
        <f t="shared" si="17"/>
        <v>93.317603456703353</v>
      </c>
      <c r="AJ9" s="38">
        <f t="shared" si="18"/>
        <v>6.8637316761937806</v>
      </c>
      <c r="AK9" s="374">
        <f t="shared" si="19"/>
        <v>88.873859799886034</v>
      </c>
      <c r="AL9" s="374">
        <f t="shared" si="20"/>
        <v>105.82353820761618</v>
      </c>
      <c r="AM9" s="374">
        <f t="shared" si="21"/>
        <v>10.509804676822709</v>
      </c>
      <c r="AN9" s="374">
        <f t="shared" si="6"/>
        <v>110.2</v>
      </c>
      <c r="AO9" s="250">
        <f t="shared" si="7"/>
        <v>108.73</v>
      </c>
      <c r="AP9" s="328">
        <f t="shared" si="8"/>
        <v>1.9537598832984397</v>
      </c>
      <c r="AQ9" s="60">
        <f t="shared" si="9"/>
        <v>1.742530382303729</v>
      </c>
      <c r="AR9" s="60">
        <f t="shared" si="22"/>
        <v>1.1080362832619477</v>
      </c>
      <c r="AS9" s="61">
        <f t="shared" si="10"/>
        <v>-0.779610253189016</v>
      </c>
      <c r="AT9" s="61">
        <f t="shared" si="23"/>
        <v>0.78737047071090327</v>
      </c>
      <c r="AU9" s="61">
        <f>0</f>
        <v>0</v>
      </c>
      <c r="AV9" s="61">
        <f t="shared" si="24"/>
        <v>5.6889259219948328E-2</v>
      </c>
      <c r="AW9" s="61">
        <f t="shared" si="25"/>
        <v>-0.97435895288175545</v>
      </c>
      <c r="AX9" s="329">
        <f t="shared" si="26"/>
        <v>-0.11728463400538537</v>
      </c>
      <c r="AY9" s="328">
        <f t="shared" si="27"/>
        <v>1.7825489997452861</v>
      </c>
      <c r="AZ9" s="60">
        <f t="shared" si="28"/>
        <v>1.4484086461005687</v>
      </c>
      <c r="BA9" s="60">
        <f t="shared" si="11"/>
        <v>1.2216144572823018</v>
      </c>
      <c r="BB9" s="61">
        <f t="shared" si="29"/>
        <v>1.1384198283833517E-2</v>
      </c>
      <c r="BC9" s="61">
        <f t="shared" si="30"/>
        <v>0.57913083956876343</v>
      </c>
      <c r="BD9" s="61">
        <v>0</v>
      </c>
      <c r="BE9" s="61">
        <f t="shared" si="12"/>
        <v>1.2794229751055828</v>
      </c>
      <c r="BF9" s="61">
        <f t="shared" si="31"/>
        <v>-0.66755347663283249</v>
      </c>
      <c r="BG9" s="329">
        <f t="shared" si="32"/>
        <v>-0.12384188591215954</v>
      </c>
      <c r="BI9" s="394" t="str">
        <f ca="1">Rotation!BA151</f>
        <v>-</v>
      </c>
      <c r="BJ9" s="394" t="str">
        <f ca="1">Rotation!BB151</f>
        <v>-</v>
      </c>
      <c r="BK9" s="394">
        <v>0.39162253109159423</v>
      </c>
      <c r="BL9" s="398" t="e">
        <f t="shared" ca="1" si="33"/>
        <v>#VALUE!</v>
      </c>
      <c r="BM9" s="394" t="str">
        <f ca="1">Rotation!BC151</f>
        <v>-</v>
      </c>
      <c r="BN9" s="394" t="str">
        <f ca="1">Rotation!BD151</f>
        <v>-</v>
      </c>
      <c r="BO9" s="394">
        <v>0.42115909022097703</v>
      </c>
      <c r="BP9" s="398" t="e">
        <f t="shared" ca="1" si="34"/>
        <v>#VALUE!</v>
      </c>
    </row>
    <row r="10" spans="1:68" s="369" customFormat="1" ht="15" customHeight="1">
      <c r="A10" s="538"/>
      <c r="B10" s="358">
        <v>1</v>
      </c>
      <c r="C10" s="262">
        <v>1</v>
      </c>
      <c r="D10" s="322">
        <v>1.383</v>
      </c>
      <c r="E10" s="322">
        <v>1.087</v>
      </c>
      <c r="F10" s="35">
        <v>1.9233528356977512</v>
      </c>
      <c r="G10" s="35">
        <v>1.8976964956934346</v>
      </c>
      <c r="H10" s="37">
        <v>-4.55</v>
      </c>
      <c r="I10" s="37">
        <v>-4.3835489999999995</v>
      </c>
      <c r="J10" s="37">
        <v>1.85</v>
      </c>
      <c r="K10" s="378">
        <v>-17.100000000000009</v>
      </c>
      <c r="L10" s="378">
        <v>-17.099999999999987</v>
      </c>
      <c r="M10" s="378">
        <v>-12.5</v>
      </c>
      <c r="N10" s="378">
        <v>-23.399999999999991</v>
      </c>
      <c r="O10" s="30">
        <f t="shared" si="13"/>
        <v>5.4274017248281659E-14</v>
      </c>
      <c r="P10" s="30" t="b">
        <f t="shared" si="14"/>
        <v>1</v>
      </c>
      <c r="Q10" s="31">
        <f t="shared" si="0"/>
        <v>-4.5499999614916824</v>
      </c>
      <c r="R10" s="31">
        <f t="shared" si="1"/>
        <v>-4.383548886878657</v>
      </c>
      <c r="S10" s="31">
        <f t="shared" si="15"/>
        <v>1.8499999971771939</v>
      </c>
      <c r="T10" s="31">
        <f t="shared" si="2"/>
        <v>-17.100000002249523</v>
      </c>
      <c r="U10" s="31">
        <f t="shared" si="3"/>
        <v>-17.100000091250486</v>
      </c>
      <c r="V10" s="31">
        <f t="shared" si="4"/>
        <v>-12.500000001991909</v>
      </c>
      <c r="W10" s="31">
        <f t="shared" si="5"/>
        <v>-23.40000017790738</v>
      </c>
      <c r="X10" s="35">
        <v>0.75575914253152288</v>
      </c>
      <c r="Y10" s="35">
        <v>1.1786885870373212</v>
      </c>
      <c r="Z10" s="37">
        <v>1.7703094068134584</v>
      </c>
      <c r="AA10" s="37">
        <v>0.73632997172565529</v>
      </c>
      <c r="AB10" s="37">
        <v>0.20405085146003862</v>
      </c>
      <c r="AC10" s="35">
        <v>0.8889564655928609</v>
      </c>
      <c r="AD10" s="35">
        <v>0.60695868619349447</v>
      </c>
      <c r="AE10" s="37">
        <v>1.7278963929679079</v>
      </c>
      <c r="AF10" s="37">
        <v>1.3349743843976911</v>
      </c>
      <c r="AG10" s="37">
        <v>0.82518252718650653</v>
      </c>
      <c r="AH10" s="38">
        <f t="shared" si="16"/>
        <v>101.43125744271947</v>
      </c>
      <c r="AI10" s="38">
        <f t="shared" si="17"/>
        <v>42.188599708867287</v>
      </c>
      <c r="AJ10" s="38">
        <f t="shared" si="18"/>
        <v>11.691252594711084</v>
      </c>
      <c r="AK10" s="374">
        <f t="shared" si="19"/>
        <v>99.001170752939501</v>
      </c>
      <c r="AL10" s="374">
        <f t="shared" si="20"/>
        <v>76.488397984062914</v>
      </c>
      <c r="AM10" s="374">
        <f t="shared" si="21"/>
        <v>47.279476135726135</v>
      </c>
      <c r="AN10" s="374">
        <f t="shared" si="6"/>
        <v>110.2</v>
      </c>
      <c r="AO10" s="250">
        <f t="shared" si="7"/>
        <v>108.73</v>
      </c>
      <c r="AP10" s="328">
        <f t="shared" si="8"/>
        <v>1.6609091332820018</v>
      </c>
      <c r="AQ10" s="60">
        <f t="shared" si="9"/>
        <v>0.94146160439858462</v>
      </c>
      <c r="AR10" s="60">
        <f t="shared" si="22"/>
        <v>1.7024005219308218</v>
      </c>
      <c r="AS10" s="61">
        <f t="shared" si="10"/>
        <v>-1.5327854864607202</v>
      </c>
      <c r="AT10" s="61">
        <f t="shared" si="23"/>
        <v>0.74076729785115925</v>
      </c>
      <c r="AU10" s="61">
        <f>0</f>
        <v>0</v>
      </c>
      <c r="AV10" s="61">
        <f t="shared" si="24"/>
        <v>-0.87333544203010838</v>
      </c>
      <c r="AW10" s="61">
        <f t="shared" si="25"/>
        <v>-0.77515341915037128</v>
      </c>
      <c r="AX10" s="329">
        <f t="shared" si="26"/>
        <v>-0.16040314113383419</v>
      </c>
      <c r="AY10" s="328">
        <f t="shared" si="27"/>
        <v>1.731444755579757</v>
      </c>
      <c r="AZ10" s="60">
        <f t="shared" si="28"/>
        <v>1.114302608361315</v>
      </c>
      <c r="BA10" s="60">
        <f t="shared" si="11"/>
        <v>1.5080369677216532</v>
      </c>
      <c r="BB10" s="61">
        <f t="shared" si="29"/>
        <v>-0.13908136996125448</v>
      </c>
      <c r="BC10" s="61">
        <f t="shared" si="30"/>
        <v>0.878009094627756</v>
      </c>
      <c r="BD10" s="61">
        <v>0</v>
      </c>
      <c r="BE10" s="61">
        <f t="shared" si="12"/>
        <v>0.94518880232525182</v>
      </c>
      <c r="BF10" s="61">
        <f t="shared" si="31"/>
        <v>-0.40037781966465408</v>
      </c>
      <c r="BG10" s="329">
        <f t="shared" si="32"/>
        <v>-0.4335735606334456</v>
      </c>
      <c r="BI10" s="394" t="str">
        <f ca="1">Rotation!BA152</f>
        <v>-</v>
      </c>
      <c r="BJ10" s="394" t="str">
        <f ca="1">Rotation!BB152</f>
        <v>-</v>
      </c>
      <c r="BK10" s="394">
        <v>0.46695154140146999</v>
      </c>
      <c r="BL10" s="398" t="e">
        <f t="shared" ca="1" si="33"/>
        <v>#VALUE!</v>
      </c>
      <c r="BM10" s="394" t="str">
        <f ca="1">Rotation!BC152</f>
        <v>-</v>
      </c>
      <c r="BN10" s="394" t="str">
        <f ca="1">Rotation!BD152</f>
        <v>-</v>
      </c>
      <c r="BO10" s="394">
        <v>0.68881021905612005</v>
      </c>
      <c r="BP10" s="398" t="e">
        <f t="shared" ca="1" si="34"/>
        <v>#VALUE!</v>
      </c>
    </row>
    <row r="11" spans="1:68" s="369" customFormat="1" ht="15" customHeight="1">
      <c r="A11" s="538"/>
      <c r="B11" s="358">
        <v>1</v>
      </c>
      <c r="C11" s="262">
        <v>1</v>
      </c>
      <c r="D11" s="322">
        <v>1.383</v>
      </c>
      <c r="E11" s="322">
        <v>1.087</v>
      </c>
      <c r="F11" s="35">
        <v>1.9233528356977512</v>
      </c>
      <c r="G11" s="35">
        <v>1.8976964956934346</v>
      </c>
      <c r="H11" s="37">
        <v>-4.55</v>
      </c>
      <c r="I11" s="37">
        <v>-4.3835489999999995</v>
      </c>
      <c r="J11" s="37">
        <v>1.85</v>
      </c>
      <c r="K11" s="378">
        <v>-23.4</v>
      </c>
      <c r="L11" s="378">
        <v>-17.100000000000001</v>
      </c>
      <c r="M11" s="378">
        <v>-12.5</v>
      </c>
      <c r="N11" s="378">
        <v>-17.099999999999994</v>
      </c>
      <c r="O11" s="30">
        <f t="shared" si="13"/>
        <v>5.6791943211236118E-13</v>
      </c>
      <c r="P11" s="30" t="b">
        <f t="shared" si="14"/>
        <v>1</v>
      </c>
      <c r="Q11" s="31">
        <f t="shared" si="0"/>
        <v>-4.5499998600364915</v>
      </c>
      <c r="R11" s="31">
        <f t="shared" si="1"/>
        <v>-4.3835489838090815</v>
      </c>
      <c r="S11" s="31">
        <f t="shared" si="15"/>
        <v>1.8499999779907164</v>
      </c>
      <c r="T11" s="31">
        <f t="shared" si="2"/>
        <v>-23.399999962746321</v>
      </c>
      <c r="U11" s="31">
        <f t="shared" si="3"/>
        <v>-17.099999262614347</v>
      </c>
      <c r="V11" s="31">
        <f t="shared" si="4"/>
        <v>-12.499999996210201</v>
      </c>
      <c r="W11" s="31">
        <f t="shared" si="5"/>
        <v>-17.100000049429653</v>
      </c>
      <c r="X11" s="35">
        <v>0.56637876916689389</v>
      </c>
      <c r="Y11" s="35">
        <v>1.1631544968959218</v>
      </c>
      <c r="Z11" s="37">
        <v>2.0439630432438536</v>
      </c>
      <c r="AA11" s="37">
        <v>0.74726060892061863</v>
      </c>
      <c r="AB11" s="37">
        <v>0.12582571606054385</v>
      </c>
      <c r="AC11" s="35">
        <v>0.88278614619672668</v>
      </c>
      <c r="AD11" s="35">
        <v>0.75097646364853132</v>
      </c>
      <c r="AE11" s="37">
        <v>1.7638465872995392</v>
      </c>
      <c r="AF11" s="37">
        <v>1.5191007923403976</v>
      </c>
      <c r="AG11" s="37">
        <v>0.95022893522874863</v>
      </c>
      <c r="AH11" s="38">
        <f t="shared" si="16"/>
        <v>117.11045585858858</v>
      </c>
      <c r="AI11" s="38">
        <f t="shared" si="17"/>
        <v>42.814879087527402</v>
      </c>
      <c r="AJ11" s="38">
        <f t="shared" si="18"/>
        <v>7.2092824844806218</v>
      </c>
      <c r="AK11" s="374">
        <f t="shared" si="19"/>
        <v>101.0609651608171</v>
      </c>
      <c r="AL11" s="374">
        <f t="shared" si="20"/>
        <v>87.038064056084082</v>
      </c>
      <c r="AM11" s="374">
        <f t="shared" si="21"/>
        <v>54.444107559817368</v>
      </c>
      <c r="AN11" s="374">
        <f t="shared" si="6"/>
        <v>110.2</v>
      </c>
      <c r="AO11" s="250">
        <f t="shared" si="7"/>
        <v>108.73</v>
      </c>
      <c r="AP11" s="328">
        <f t="shared" si="8"/>
        <v>1.5134717108597135</v>
      </c>
      <c r="AQ11" s="60">
        <f t="shared" si="9"/>
        <v>0.95161273469593866</v>
      </c>
      <c r="AR11" s="60">
        <f t="shared" si="22"/>
        <v>1.7167954815985127</v>
      </c>
      <c r="AS11" s="61">
        <f t="shared" si="10"/>
        <v>-1.6411029701641588</v>
      </c>
      <c r="AT11" s="61">
        <f t="shared" si="23"/>
        <v>0.50415053997337433</v>
      </c>
      <c r="AU11" s="61">
        <f>0</f>
        <v>0</v>
      </c>
      <c r="AV11" s="61">
        <f t="shared" si="24"/>
        <v>-0.85323593160293643</v>
      </c>
      <c r="AW11" s="61">
        <f t="shared" si="25"/>
        <v>-0.78426728803745971</v>
      </c>
      <c r="AX11" s="329">
        <f t="shared" si="26"/>
        <v>-9.9205088504785627E-2</v>
      </c>
      <c r="AY11" s="328">
        <f t="shared" si="27"/>
        <v>1.8844669383826365</v>
      </c>
      <c r="AZ11" s="60">
        <f t="shared" si="28"/>
        <v>1.2888649758296413</v>
      </c>
      <c r="BA11" s="60">
        <f t="shared" si="11"/>
        <v>1.5261326910913457</v>
      </c>
      <c r="BB11" s="61">
        <f t="shared" si="29"/>
        <v>-0.16936550639413281</v>
      </c>
      <c r="BC11" s="61">
        <f t="shared" si="30"/>
        <v>0.86638715662267718</v>
      </c>
      <c r="BD11" s="61">
        <v>0</v>
      </c>
      <c r="BE11" s="61">
        <f t="shared" si="12"/>
        <v>1.0481951595981085</v>
      </c>
      <c r="BF11" s="61">
        <f t="shared" si="31"/>
        <v>-0.43610706958961659</v>
      </c>
      <c r="BG11" s="329">
        <f t="shared" si="32"/>
        <v>-0.61013970299382658</v>
      </c>
      <c r="BI11" s="394" t="str">
        <f ca="1">Rotation!BA153</f>
        <v>-</v>
      </c>
      <c r="BJ11" s="394" t="str">
        <f ca="1">Rotation!BB153</f>
        <v>-</v>
      </c>
      <c r="BK11" s="394">
        <v>0.28913040548716562</v>
      </c>
      <c r="BL11" s="398" t="e">
        <f t="shared" ca="1" si="33"/>
        <v>#VALUE!</v>
      </c>
      <c r="BM11" s="394" t="str">
        <f ca="1">Rotation!BC153</f>
        <v>-</v>
      </c>
      <c r="BN11" s="394" t="str">
        <f ca="1">Rotation!BD153</f>
        <v>-</v>
      </c>
      <c r="BO11" s="394">
        <v>0.57167770189168032</v>
      </c>
      <c r="BP11" s="398" t="e">
        <f t="shared" ca="1" si="34"/>
        <v>#VALUE!</v>
      </c>
    </row>
    <row r="12" spans="1:68" s="369" customFormat="1" ht="15" customHeight="1">
      <c r="A12" s="538"/>
      <c r="B12" s="358">
        <v>1</v>
      </c>
      <c r="C12" s="262">
        <v>1</v>
      </c>
      <c r="D12" s="322">
        <v>1.383</v>
      </c>
      <c r="E12" s="322">
        <v>1.087</v>
      </c>
      <c r="F12" s="35">
        <v>1.9233528356977512</v>
      </c>
      <c r="G12" s="35">
        <v>1.8976964956934346</v>
      </c>
      <c r="H12" s="37">
        <v>-4.55</v>
      </c>
      <c r="I12" s="37">
        <v>-4.3835489999999995</v>
      </c>
      <c r="J12" s="37">
        <v>1.85</v>
      </c>
      <c r="K12" s="378">
        <v>-17.099999999999994</v>
      </c>
      <c r="L12" s="378">
        <v>-23.399999999999991</v>
      </c>
      <c r="M12" s="378">
        <v>-12.5</v>
      </c>
      <c r="N12" s="378">
        <v>-17.099999999999987</v>
      </c>
      <c r="O12" s="30">
        <f t="shared" si="13"/>
        <v>5.6778210023661337E-13</v>
      </c>
      <c r="P12" s="30" t="b">
        <f t="shared" si="14"/>
        <v>1</v>
      </c>
      <c r="Q12" s="31">
        <f t="shared" si="0"/>
        <v>-4.5499998605303196</v>
      </c>
      <c r="R12" s="31">
        <f t="shared" si="1"/>
        <v>-4.3835489838097015</v>
      </c>
      <c r="S12" s="31">
        <f t="shared" si="15"/>
        <v>1.8499999779907255</v>
      </c>
      <c r="T12" s="31">
        <f t="shared" si="2"/>
        <v>-17.099999262613878</v>
      </c>
      <c r="U12" s="31">
        <f t="shared" si="3"/>
        <v>-23.399999962746314</v>
      </c>
      <c r="V12" s="31">
        <f t="shared" si="4"/>
        <v>-12.499999996210091</v>
      </c>
      <c r="W12" s="31">
        <f t="shared" si="5"/>
        <v>-17.100000049429632</v>
      </c>
      <c r="X12" s="27">
        <v>1.1631544970253596</v>
      </c>
      <c r="Y12" s="27">
        <v>0.56637876916693475</v>
      </c>
      <c r="Z12" s="29">
        <v>0.74726060882763423</v>
      </c>
      <c r="AA12" s="29">
        <v>2.0439630432428624</v>
      </c>
      <c r="AB12" s="29">
        <v>0.12582571605988885</v>
      </c>
      <c r="AC12" s="27">
        <v>0.88278614623086371</v>
      </c>
      <c r="AD12" s="27">
        <v>0.75097646364958537</v>
      </c>
      <c r="AE12" s="29">
        <v>1.7638465870946796</v>
      </c>
      <c r="AF12" s="29">
        <v>1.5191007923345943</v>
      </c>
      <c r="AG12" s="29">
        <v>0.95022893526342389</v>
      </c>
      <c r="AH12" s="32">
        <f t="shared" si="16"/>
        <v>42.814879082199788</v>
      </c>
      <c r="AI12" s="32">
        <f t="shared" si="17"/>
        <v>117.11045585853179</v>
      </c>
      <c r="AJ12" s="32">
        <f t="shared" si="18"/>
        <v>7.2092824844430927</v>
      </c>
      <c r="AK12" s="375">
        <f t="shared" si="19"/>
        <v>101.06096514907952</v>
      </c>
      <c r="AL12" s="375">
        <f t="shared" si="20"/>
        <v>87.038064055751576</v>
      </c>
      <c r="AM12" s="375">
        <f t="shared" si="21"/>
        <v>54.44410756180411</v>
      </c>
      <c r="AN12" s="375">
        <f t="shared" si="6"/>
        <v>110.2</v>
      </c>
      <c r="AO12" s="249">
        <f t="shared" si="7"/>
        <v>108.73</v>
      </c>
      <c r="AP12" s="327">
        <f t="shared" si="8"/>
        <v>1.5134717107794025</v>
      </c>
      <c r="AQ12" s="233">
        <f t="shared" si="9"/>
        <v>1.7167954815981388</v>
      </c>
      <c r="AR12" s="233">
        <f t="shared" si="22"/>
        <v>0.95161273460933049</v>
      </c>
      <c r="AS12" s="235">
        <f t="shared" si="10"/>
        <v>-0.52976406822860844</v>
      </c>
      <c r="AT12" s="235">
        <f t="shared" si="23"/>
        <v>0.79051681113340166</v>
      </c>
      <c r="AU12" s="235">
        <f>0</f>
        <v>0</v>
      </c>
      <c r="AV12" s="235">
        <f t="shared" si="24"/>
        <v>0.25810297016367784</v>
      </c>
      <c r="AW12" s="235">
        <f t="shared" si="25"/>
        <v>-0.50016491892845516</v>
      </c>
      <c r="AX12" s="237">
        <f t="shared" si="26"/>
        <v>-6.3267849884687893E-2</v>
      </c>
      <c r="AY12" s="327">
        <f t="shared" si="27"/>
        <v>1.8844669383073063</v>
      </c>
      <c r="AZ12" s="233">
        <f t="shared" si="28"/>
        <v>1.2888649758265387</v>
      </c>
      <c r="BA12" s="233">
        <f t="shared" si="11"/>
        <v>1.52613269098934</v>
      </c>
      <c r="BB12" s="235">
        <f t="shared" si="29"/>
        <v>-0.1693655062231943</v>
      </c>
      <c r="BC12" s="235">
        <f t="shared" si="30"/>
        <v>0.86638715669087629</v>
      </c>
      <c r="BD12" s="235">
        <v>0</v>
      </c>
      <c r="BE12" s="235">
        <f t="shared" si="12"/>
        <v>1.0481951595937016</v>
      </c>
      <c r="BF12" s="235">
        <f t="shared" si="31"/>
        <v>-0.43610706956894102</v>
      </c>
      <c r="BG12" s="237">
        <f t="shared" si="32"/>
        <v>-0.61013970300962195</v>
      </c>
      <c r="BI12" s="394" t="str">
        <f ca="1">Rotation!BA154</f>
        <v>-</v>
      </c>
      <c r="BJ12" s="394" t="str">
        <f ca="1">Rotation!BB154</f>
        <v>-</v>
      </c>
      <c r="BK12" s="394">
        <v>0.7108680708541889</v>
      </c>
      <c r="BL12" s="398" t="e">
        <f t="shared" ca="1" si="33"/>
        <v>#VALUE!</v>
      </c>
      <c r="BM12" s="394" t="str">
        <f ca="1">Rotation!BC154</f>
        <v>-</v>
      </c>
      <c r="BN12" s="394" t="str">
        <f ca="1">Rotation!BD154</f>
        <v>-</v>
      </c>
      <c r="BO12" s="394">
        <v>0.57167770191058154</v>
      </c>
      <c r="BP12" s="398" t="e">
        <f t="shared" ca="1" si="34"/>
        <v>#VALUE!</v>
      </c>
    </row>
    <row r="13" spans="1:68" s="369" customFormat="1" ht="15" customHeight="1">
      <c r="A13" s="538"/>
      <c r="B13" s="358">
        <v>1</v>
      </c>
      <c r="C13" s="262">
        <v>1</v>
      </c>
      <c r="D13" s="322">
        <v>1.383</v>
      </c>
      <c r="E13" s="322">
        <v>1.087</v>
      </c>
      <c r="F13" s="35">
        <v>1.9233528356977512</v>
      </c>
      <c r="G13" s="35">
        <v>1.8976964956934346</v>
      </c>
      <c r="H13" s="37">
        <v>-4.55</v>
      </c>
      <c r="I13" s="37">
        <v>-4.3835489999999995</v>
      </c>
      <c r="J13" s="37">
        <v>1.85</v>
      </c>
      <c r="K13" s="378">
        <v>-17.099999999999994</v>
      </c>
      <c r="L13" s="378">
        <v>-17.100000000000001</v>
      </c>
      <c r="M13" s="378">
        <v>-23.4</v>
      </c>
      <c r="N13" s="378">
        <v>-12.5</v>
      </c>
      <c r="O13" s="30">
        <f t="shared" si="13"/>
        <v>5.4274018227201509E-14</v>
      </c>
      <c r="P13" s="30" t="b">
        <f t="shared" si="14"/>
        <v>1</v>
      </c>
      <c r="Q13" s="31">
        <f t="shared" si="0"/>
        <v>-4.5499999614916824</v>
      </c>
      <c r="R13" s="31">
        <f t="shared" si="1"/>
        <v>-4.3835488868786525</v>
      </c>
      <c r="S13" s="31">
        <f t="shared" si="15"/>
        <v>1.8499999971771934</v>
      </c>
      <c r="T13" s="31">
        <f t="shared" si="2"/>
        <v>-17.100000002249509</v>
      </c>
      <c r="U13" s="31">
        <f t="shared" si="3"/>
        <v>-17.1000000912505</v>
      </c>
      <c r="V13" s="31">
        <f t="shared" si="4"/>
        <v>-23.400000177907387</v>
      </c>
      <c r="W13" s="31">
        <f t="shared" si="5"/>
        <v>-12.500000001991902</v>
      </c>
      <c r="X13" s="27">
        <v>0.75575914253150989</v>
      </c>
      <c r="Y13" s="27">
        <v>1.1786885870368315</v>
      </c>
      <c r="Z13" s="29">
        <v>1.7703094068135843</v>
      </c>
      <c r="AA13" s="29">
        <v>0.73632997172599213</v>
      </c>
      <c r="AB13" s="29">
        <v>0.2040508514593668</v>
      </c>
      <c r="AC13" s="27">
        <v>0.60695868619349413</v>
      </c>
      <c r="AD13" s="27">
        <v>0.8889564655927058</v>
      </c>
      <c r="AE13" s="29">
        <v>1.3349743843976924</v>
      </c>
      <c r="AF13" s="29">
        <v>1.7278963929687858</v>
      </c>
      <c r="AG13" s="29">
        <v>0.8251825271867731</v>
      </c>
      <c r="AH13" s="32">
        <f t="shared" si="16"/>
        <v>101.43125744272668</v>
      </c>
      <c r="AI13" s="32">
        <f t="shared" si="17"/>
        <v>42.188599708886585</v>
      </c>
      <c r="AJ13" s="32">
        <f t="shared" si="18"/>
        <v>11.691252594672592</v>
      </c>
      <c r="AK13" s="375">
        <f t="shared" si="19"/>
        <v>76.488397984062999</v>
      </c>
      <c r="AL13" s="375">
        <f t="shared" si="20"/>
        <v>99.001170752989808</v>
      </c>
      <c r="AM13" s="375">
        <f t="shared" si="21"/>
        <v>47.279476135741412</v>
      </c>
      <c r="AN13" s="375">
        <f t="shared" si="6"/>
        <v>110.2</v>
      </c>
      <c r="AO13" s="249">
        <f t="shared" si="7"/>
        <v>108.73</v>
      </c>
      <c r="AP13" s="323">
        <f t="shared" si="8"/>
        <v>1.6609091332822754</v>
      </c>
      <c r="AQ13" s="27">
        <f t="shared" si="9"/>
        <v>0.94146160439889615</v>
      </c>
      <c r="AR13" s="27">
        <f t="shared" si="22"/>
        <v>1.7024005219308898</v>
      </c>
      <c r="AS13" s="29">
        <f t="shared" si="10"/>
        <v>-1.532785486460811</v>
      </c>
      <c r="AT13" s="29">
        <f t="shared" si="23"/>
        <v>0.74076729785112772</v>
      </c>
      <c r="AU13" s="29">
        <f>0</f>
        <v>0</v>
      </c>
      <c r="AV13" s="29">
        <f t="shared" si="24"/>
        <v>-0.87333544202947899</v>
      </c>
      <c r="AW13" s="29">
        <f t="shared" si="25"/>
        <v>-0.77515341915044511</v>
      </c>
      <c r="AX13" s="33">
        <f t="shared" si="26"/>
        <v>-0.16040314113330639</v>
      </c>
      <c r="AY13" s="323">
        <f t="shared" si="27"/>
        <v>1.731444755579963</v>
      </c>
      <c r="AZ13" s="27">
        <f t="shared" si="28"/>
        <v>1.5080369677220999</v>
      </c>
      <c r="BA13" s="27">
        <f t="shared" si="11"/>
        <v>1.1143026083613157</v>
      </c>
      <c r="BB13" s="29">
        <f t="shared" si="29"/>
        <v>0.14181119767474729</v>
      </c>
      <c r="BC13" s="29">
        <f t="shared" si="30"/>
        <v>0.59015966564971734</v>
      </c>
      <c r="BD13" s="29">
        <v>0</v>
      </c>
      <c r="BE13" s="29">
        <f t="shared" si="12"/>
        <v>1.226081369962001</v>
      </c>
      <c r="BF13" s="29">
        <f t="shared" si="31"/>
        <v>-0.59566145809977467</v>
      </c>
      <c r="BG13" s="33">
        <f t="shared" si="32"/>
        <v>-0.64504836840582647</v>
      </c>
      <c r="BI13" s="394" t="str">
        <f ca="1">Rotation!BA155</f>
        <v>-</v>
      </c>
      <c r="BJ13" s="394" t="str">
        <f ca="1">Rotation!BB155</f>
        <v>-</v>
      </c>
      <c r="BK13" s="394">
        <v>0.46695154140146999</v>
      </c>
      <c r="BL13" s="398" t="e">
        <f t="shared" ca="1" si="33"/>
        <v>#VALUE!</v>
      </c>
      <c r="BM13" s="394" t="str">
        <f ca="1">Rotation!BC155</f>
        <v>-</v>
      </c>
      <c r="BN13" s="394" t="str">
        <f ca="1">Rotation!BD155</f>
        <v>-</v>
      </c>
      <c r="BO13" s="394">
        <v>0.31118828095197026</v>
      </c>
      <c r="BP13" s="398" t="e">
        <f t="shared" ca="1" si="34"/>
        <v>#VALUE!</v>
      </c>
    </row>
    <row r="14" spans="1:68" s="369" customFormat="1" ht="15" customHeight="1">
      <c r="A14" s="538"/>
      <c r="B14" s="358">
        <v>1</v>
      </c>
      <c r="C14" s="262">
        <v>1</v>
      </c>
      <c r="D14" s="322">
        <v>1.383</v>
      </c>
      <c r="E14" s="322">
        <v>1.087</v>
      </c>
      <c r="F14" s="35">
        <v>1.9233528356977512</v>
      </c>
      <c r="G14" s="35">
        <v>1.8976964956934346</v>
      </c>
      <c r="H14" s="37">
        <v>-4.55</v>
      </c>
      <c r="I14" s="37">
        <v>-4.3835489999999995</v>
      </c>
      <c r="J14" s="37">
        <v>1.85</v>
      </c>
      <c r="K14" s="378">
        <v>-23.4</v>
      </c>
      <c r="L14" s="378">
        <v>-17.100000000000001</v>
      </c>
      <c r="M14" s="378">
        <v>-17.100000000000001</v>
      </c>
      <c r="N14" s="378">
        <v>-12.5</v>
      </c>
      <c r="O14" s="30">
        <f t="shared" si="13"/>
        <v>5.6780985747615228E-13</v>
      </c>
      <c r="P14" s="30" t="b">
        <f t="shared" si="14"/>
        <v>1</v>
      </c>
      <c r="Q14" s="31">
        <f t="shared" si="0"/>
        <v>-4.5499998604303</v>
      </c>
      <c r="R14" s="31">
        <f t="shared" si="1"/>
        <v>-4.3835489838095532</v>
      </c>
      <c r="S14" s="31">
        <f t="shared" si="15"/>
        <v>1.8499999779907235</v>
      </c>
      <c r="T14" s="31">
        <f t="shared" si="2"/>
        <v>-23.399999962746321</v>
      </c>
      <c r="U14" s="31">
        <f t="shared" si="3"/>
        <v>-17.099999262613991</v>
      </c>
      <c r="V14" s="31">
        <f t="shared" si="4"/>
        <v>-17.10000004942966</v>
      </c>
      <c r="W14" s="31">
        <f t="shared" si="5"/>
        <v>-12.499999996210258</v>
      </c>
      <c r="X14" s="35">
        <v>0.56637876916669183</v>
      </c>
      <c r="Y14" s="35">
        <v>1.1631544969955387</v>
      </c>
      <c r="Z14" s="37">
        <v>2.0439630432487705</v>
      </c>
      <c r="AA14" s="37">
        <v>0.74726060884905643</v>
      </c>
      <c r="AB14" s="37">
        <v>0.12582571607735463</v>
      </c>
      <c r="AC14" s="35">
        <v>0.75097646364851001</v>
      </c>
      <c r="AD14" s="35">
        <v>0.88278614622311613</v>
      </c>
      <c r="AE14" s="37">
        <v>1.519100792340514</v>
      </c>
      <c r="AF14" s="37">
        <v>1.7638465871411368</v>
      </c>
      <c r="AG14" s="37">
        <v>0.9502289352526907</v>
      </c>
      <c r="AH14" s="38">
        <f t="shared" si="16"/>
        <v>117.11045585887031</v>
      </c>
      <c r="AI14" s="38">
        <f t="shared" si="17"/>
        <v>42.814879083427194</v>
      </c>
      <c r="AJ14" s="38">
        <f t="shared" si="18"/>
        <v>7.2092824854438087</v>
      </c>
      <c r="AK14" s="374">
        <f t="shared" si="19"/>
        <v>87.038064056090747</v>
      </c>
      <c r="AL14" s="374">
        <f t="shared" si="20"/>
        <v>101.06096515174133</v>
      </c>
      <c r="AM14" s="374">
        <f t="shared" si="21"/>
        <v>54.444107561189142</v>
      </c>
      <c r="AN14" s="374">
        <f t="shared" si="6"/>
        <v>110.2</v>
      </c>
      <c r="AO14" s="250">
        <f t="shared" si="7"/>
        <v>108.73</v>
      </c>
      <c r="AP14" s="241">
        <f t="shared" si="8"/>
        <v>1.513471710797343</v>
      </c>
      <c r="AQ14" s="35">
        <f t="shared" si="9"/>
        <v>0.95161273462928353</v>
      </c>
      <c r="AR14" s="35">
        <f t="shared" si="22"/>
        <v>1.716795481600369</v>
      </c>
      <c r="AS14" s="37">
        <f t="shared" si="10"/>
        <v>-1.6411029701665458</v>
      </c>
      <c r="AT14" s="37">
        <f t="shared" si="23"/>
        <v>0.50415053997192538</v>
      </c>
      <c r="AU14" s="37">
        <f>0</f>
        <v>0</v>
      </c>
      <c r="AV14" s="37">
        <f t="shared" si="24"/>
        <v>-0.85323593173258194</v>
      </c>
      <c r="AW14" s="37">
        <f t="shared" si="25"/>
        <v>-0.78426728804238288</v>
      </c>
      <c r="AX14" s="39">
        <f t="shared" si="26"/>
        <v>-9.9205088518803483E-2</v>
      </c>
      <c r="AY14" s="241">
        <f t="shared" si="27"/>
        <v>1.8844669383270112</v>
      </c>
      <c r="AZ14" s="35">
        <f t="shared" si="28"/>
        <v>1.526132691012468</v>
      </c>
      <c r="BA14" s="35">
        <f t="shared" si="11"/>
        <v>1.2888649758297035</v>
      </c>
      <c r="BB14" s="37">
        <f t="shared" si="29"/>
        <v>3.8804840401803091E-2</v>
      </c>
      <c r="BC14" s="37">
        <f t="shared" si="30"/>
        <v>0.74997322173222458</v>
      </c>
      <c r="BD14" s="37">
        <v>0</v>
      </c>
      <c r="BE14" s="37">
        <f t="shared" si="12"/>
        <v>1.2563655062619579</v>
      </c>
      <c r="BF14" s="37">
        <f t="shared" si="31"/>
        <v>-0.5038014065921298</v>
      </c>
      <c r="BG14" s="39">
        <f t="shared" si="32"/>
        <v>-0.70484810276249099</v>
      </c>
      <c r="BI14" s="394" t="str">
        <f ca="1">Rotation!BA156</f>
        <v>-</v>
      </c>
      <c r="BJ14" s="394" t="str">
        <f ca="1">Rotation!BB156</f>
        <v>-</v>
      </c>
      <c r="BK14" s="394">
        <v>0.28913040548896313</v>
      </c>
      <c r="BL14" s="398" t="e">
        <f t="shared" ca="1" si="33"/>
        <v>#VALUE!</v>
      </c>
      <c r="BM14" s="394" t="str">
        <f ca="1">Rotation!BC156</f>
        <v>-</v>
      </c>
      <c r="BN14" s="394" t="str">
        <f ca="1">Rotation!BD156</f>
        <v>-</v>
      </c>
      <c r="BO14" s="394">
        <v>0.42832079748077645</v>
      </c>
      <c r="BP14" s="398" t="e">
        <f t="shared" ca="1" si="34"/>
        <v>#VALUE!</v>
      </c>
    </row>
    <row r="15" spans="1:68" s="369" customFormat="1" ht="15" customHeight="1" thickBot="1">
      <c r="A15" s="572"/>
      <c r="B15" s="361">
        <v>1</v>
      </c>
      <c r="C15" s="373">
        <v>1</v>
      </c>
      <c r="D15" s="330">
        <v>1.383</v>
      </c>
      <c r="E15" s="330">
        <v>1.087</v>
      </c>
      <c r="F15" s="65">
        <v>1.9233528356977512</v>
      </c>
      <c r="G15" s="65">
        <v>1.8976964956934346</v>
      </c>
      <c r="H15" s="66">
        <v>-4.55</v>
      </c>
      <c r="I15" s="66">
        <v>-4.3835489999999995</v>
      </c>
      <c r="J15" s="66">
        <v>1.85</v>
      </c>
      <c r="K15" s="379">
        <v>-17.100000000000001</v>
      </c>
      <c r="L15" s="379">
        <v>-23.4</v>
      </c>
      <c r="M15" s="379">
        <v>-17.100000000000009</v>
      </c>
      <c r="N15" s="379">
        <v>-12.5</v>
      </c>
      <c r="O15" s="67">
        <f t="shared" si="13"/>
        <v>5.6771527369556296E-13</v>
      </c>
      <c r="P15" s="67" t="b">
        <f t="shared" si="14"/>
        <v>1</v>
      </c>
      <c r="Q15" s="68">
        <f t="shared" si="0"/>
        <v>-4.5499998607713046</v>
      </c>
      <c r="R15" s="68">
        <f t="shared" si="1"/>
        <v>-4.3835489838100079</v>
      </c>
      <c r="S15" s="68">
        <f t="shared" si="15"/>
        <v>1.8499999779907292</v>
      </c>
      <c r="T15" s="44">
        <f t="shared" si="2"/>
        <v>-17.09999926261365</v>
      </c>
      <c r="U15" s="44">
        <f t="shared" si="3"/>
        <v>-23.399999962746328</v>
      </c>
      <c r="V15" s="44">
        <f t="shared" si="4"/>
        <v>-17.100000049429653</v>
      </c>
      <c r="W15" s="44">
        <f t="shared" si="5"/>
        <v>-12.499999996210038</v>
      </c>
      <c r="X15" s="65">
        <v>1.1631544970889076</v>
      </c>
      <c r="Y15" s="65">
        <v>0.56637876916695551</v>
      </c>
      <c r="Z15" s="66">
        <v>0.74726060878198275</v>
      </c>
      <c r="AA15" s="66">
        <v>2.0439630432423526</v>
      </c>
      <c r="AB15" s="66">
        <v>0.12582571606465001</v>
      </c>
      <c r="AC15" s="65">
        <v>0.75097646364936754</v>
      </c>
      <c r="AD15" s="65">
        <v>0.88278614624823926</v>
      </c>
      <c r="AE15" s="66">
        <v>1.5191007923357904</v>
      </c>
      <c r="AF15" s="66">
        <v>1.7638465869904068</v>
      </c>
      <c r="AG15" s="66">
        <v>0.95022893527849106</v>
      </c>
      <c r="AH15" s="69">
        <f t="shared" si="16"/>
        <v>42.814879079584152</v>
      </c>
      <c r="AI15" s="69">
        <f t="shared" si="17"/>
        <v>117.11045585850258</v>
      </c>
      <c r="AJ15" s="69">
        <f t="shared" si="18"/>
        <v>7.2092824847158878</v>
      </c>
      <c r="AK15" s="376">
        <f t="shared" si="19"/>
        <v>87.038064055820101</v>
      </c>
      <c r="AL15" s="376">
        <f t="shared" si="20"/>
        <v>101.06096514310512</v>
      </c>
      <c r="AM15" s="376">
        <f t="shared" si="21"/>
        <v>54.444107562667398</v>
      </c>
      <c r="AN15" s="376">
        <f t="shared" si="6"/>
        <v>110.2</v>
      </c>
      <c r="AO15" s="326">
        <f t="shared" si="7"/>
        <v>108.73</v>
      </c>
      <c r="AP15" s="330">
        <f t="shared" si="8"/>
        <v>1.513471710739805</v>
      </c>
      <c r="AQ15" s="65">
        <f t="shared" si="9"/>
        <v>1.716795481597946</v>
      </c>
      <c r="AR15" s="65">
        <f t="shared" si="22"/>
        <v>0.95161273456680939</v>
      </c>
      <c r="AS15" s="66">
        <f t="shared" si="10"/>
        <v>-0.52976406814590427</v>
      </c>
      <c r="AT15" s="66">
        <f t="shared" si="23"/>
        <v>0.7905168111376395</v>
      </c>
      <c r="AU15" s="66">
        <f>0</f>
        <v>0</v>
      </c>
      <c r="AV15" s="66">
        <f t="shared" si="24"/>
        <v>0.25810297016343031</v>
      </c>
      <c r="AW15" s="66">
        <f t="shared" si="25"/>
        <v>-0.50016491892830284</v>
      </c>
      <c r="AX15" s="331">
        <f t="shared" si="26"/>
        <v>-6.3267849887088098E-2</v>
      </c>
      <c r="AY15" s="330">
        <f t="shared" si="27"/>
        <v>1.8844669382713299</v>
      </c>
      <c r="AZ15" s="65">
        <f t="shared" si="28"/>
        <v>1.5261326909374193</v>
      </c>
      <c r="BA15" s="65">
        <f t="shared" si="11"/>
        <v>1.288864975827178</v>
      </c>
      <c r="BB15" s="66">
        <f t="shared" si="29"/>
        <v>3.8804840405389944E-2</v>
      </c>
      <c r="BC15" s="66">
        <f t="shared" si="30"/>
        <v>0.74997322173289771</v>
      </c>
      <c r="BD15" s="66">
        <v>0</v>
      </c>
      <c r="BE15" s="66">
        <f t="shared" si="12"/>
        <v>1.2563655061361871</v>
      </c>
      <c r="BF15" s="66">
        <f t="shared" si="31"/>
        <v>-0.50380140660312689</v>
      </c>
      <c r="BG15" s="331">
        <f t="shared" si="32"/>
        <v>-0.70484810281631727</v>
      </c>
      <c r="BI15" s="394" t="str">
        <f ca="1">Rotation!BA157</f>
        <v>-</v>
      </c>
      <c r="BJ15" s="394" t="str">
        <f ca="1">Rotation!BB157</f>
        <v>-</v>
      </c>
      <c r="BK15" s="394">
        <v>0.71086807085932002</v>
      </c>
      <c r="BL15" s="398" t="e">
        <f t="shared" ca="1" si="33"/>
        <v>#VALUE!</v>
      </c>
      <c r="BM15" s="394" t="str">
        <f ca="1">Rotation!BC157</f>
        <v>-</v>
      </c>
      <c r="BN15" s="394" t="str">
        <f ca="1">Rotation!BD157</f>
        <v>-</v>
      </c>
      <c r="BO15" s="394">
        <v>0.42832079741629403</v>
      </c>
      <c r="BP15" s="398" t="e">
        <f t="shared" ca="1" si="34"/>
        <v>#VALUE!</v>
      </c>
    </row>
    <row r="16" spans="1:68" s="369" customFormat="1">
      <c r="O16" s="1"/>
      <c r="P16" s="1"/>
      <c r="Q16" s="1"/>
      <c r="R16" s="1"/>
      <c r="T16" s="1"/>
      <c r="U16" s="1"/>
      <c r="V16" s="1"/>
      <c r="W16" s="1"/>
      <c r="X16" s="370"/>
      <c r="Y16" s="370"/>
      <c r="Z16" s="1"/>
      <c r="AA16" s="1"/>
      <c r="AB16" s="1"/>
      <c r="AE16" s="1"/>
      <c r="AF16" s="1"/>
      <c r="AG16" s="1"/>
      <c r="AK16" s="370"/>
      <c r="AL16" s="370"/>
      <c r="AM16" s="370"/>
      <c r="AN16" s="370"/>
      <c r="AP16" s="370"/>
      <c r="AQ16" s="370"/>
      <c r="AR16" s="370"/>
      <c r="AS16" s="370"/>
      <c r="AT16" s="370"/>
      <c r="AU16" s="370"/>
      <c r="AV16" s="370"/>
      <c r="AW16" s="370"/>
      <c r="AX16" s="370"/>
      <c r="BH16" s="1"/>
      <c r="BI16" s="394"/>
      <c r="BJ16" s="394"/>
    </row>
    <row r="17" spans="15:62" s="369" customFormat="1">
      <c r="O17" s="1"/>
      <c r="P17" s="1"/>
      <c r="Q17" s="1"/>
      <c r="R17" s="1"/>
      <c r="T17" s="1"/>
      <c r="U17" s="1"/>
      <c r="V17" s="1"/>
      <c r="W17" s="1"/>
      <c r="X17" s="370"/>
      <c r="Y17" s="370"/>
      <c r="Z17" s="1"/>
      <c r="AA17" s="1"/>
      <c r="AB17" s="1"/>
      <c r="AE17" s="1"/>
      <c r="AF17" s="1"/>
      <c r="AG17" s="1"/>
      <c r="AK17" s="370"/>
      <c r="AL17" s="370"/>
      <c r="AM17" s="370"/>
      <c r="AN17" s="370"/>
      <c r="AP17" s="370"/>
      <c r="AQ17" s="370"/>
      <c r="AR17" s="370"/>
      <c r="AS17" s="370"/>
      <c r="AT17" s="370"/>
      <c r="AU17" s="370"/>
      <c r="AV17" s="370"/>
      <c r="AW17" s="370"/>
      <c r="AX17" s="370"/>
      <c r="BH17" s="1"/>
      <c r="BI17" s="1"/>
      <c r="BJ17" s="1"/>
    </row>
    <row r="18" spans="15:62" s="369" customFormat="1">
      <c r="O18" s="1"/>
      <c r="P18" s="1"/>
      <c r="Q18" s="1"/>
      <c r="R18" s="1"/>
      <c r="T18" s="1"/>
      <c r="U18" s="1"/>
      <c r="V18" s="1"/>
      <c r="W18" s="1"/>
      <c r="X18" s="370"/>
      <c r="Y18" s="370"/>
      <c r="Z18" s="1"/>
      <c r="AA18" s="1"/>
      <c r="AB18" s="1"/>
      <c r="AE18" s="1"/>
      <c r="AF18" s="1"/>
      <c r="AG18" s="1"/>
      <c r="AK18" s="370"/>
      <c r="AL18" s="370"/>
      <c r="AM18" s="370"/>
      <c r="AN18" s="370"/>
      <c r="AP18" s="370"/>
      <c r="AQ18" s="370"/>
      <c r="AR18" s="370"/>
      <c r="AS18" s="370"/>
      <c r="AT18" s="370"/>
      <c r="AU18" s="370"/>
      <c r="AV18" s="370"/>
      <c r="AW18" s="370"/>
      <c r="AX18" s="370"/>
      <c r="BH18" s="1"/>
      <c r="BI18" s="1"/>
      <c r="BJ18" s="1"/>
    </row>
    <row r="25" spans="15:62">
      <c r="R25" s="369"/>
    </row>
    <row r="26" spans="15:62">
      <c r="R26" s="369"/>
    </row>
    <row r="27" spans="15:62">
      <c r="R27" s="369"/>
    </row>
    <row r="28" spans="15:62">
      <c r="R28" s="369"/>
      <c r="S28" s="1"/>
    </row>
    <row r="29" spans="15:62">
      <c r="R29" s="369"/>
      <c r="S29" s="1"/>
    </row>
    <row r="30" spans="15:62">
      <c r="R30" s="36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defaultRowHeight="15"/>
  <cols>
    <col min="1" max="1" width="14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386" customWidth="1"/>
    <col min="37" max="40" width="9.140625" customWidth="1"/>
    <col min="41" max="41" width="10" customWidth="1"/>
    <col min="42" max="44" width="9.140625" customWidth="1"/>
    <col min="53" max="56" width="9.140625" style="388"/>
    <col min="57" max="57" width="9.5703125" bestFit="1" customWidth="1"/>
  </cols>
  <sheetData>
    <row r="1" spans="1:56" ht="55.5" thickBot="1">
      <c r="A1" s="4" t="s">
        <v>0</v>
      </c>
      <c r="B1" s="4" t="s">
        <v>532</v>
      </c>
      <c r="C1" s="4" t="s">
        <v>31</v>
      </c>
      <c r="D1" s="4" t="s">
        <v>33</v>
      </c>
      <c r="E1" s="4" t="s">
        <v>533</v>
      </c>
      <c r="F1" s="4" t="s">
        <v>357</v>
      </c>
      <c r="G1" s="4" t="s">
        <v>534</v>
      </c>
      <c r="H1" s="4" t="s">
        <v>535</v>
      </c>
      <c r="I1" s="4" t="s">
        <v>536</v>
      </c>
      <c r="J1" s="4" t="s">
        <v>537</v>
      </c>
      <c r="K1" s="4" t="s">
        <v>549</v>
      </c>
      <c r="L1" s="4" t="s">
        <v>549</v>
      </c>
      <c r="M1" s="4" t="s">
        <v>549</v>
      </c>
      <c r="N1" s="4" t="s">
        <v>549</v>
      </c>
      <c r="O1" s="4" t="s">
        <v>538</v>
      </c>
      <c r="P1" s="4" t="s">
        <v>539</v>
      </c>
      <c r="Q1" s="4" t="s">
        <v>540</v>
      </c>
      <c r="R1" s="4" t="s">
        <v>541</v>
      </c>
      <c r="S1" s="4" t="s">
        <v>542</v>
      </c>
      <c r="T1" s="4" t="s">
        <v>543</v>
      </c>
      <c r="U1" s="385" t="s">
        <v>544</v>
      </c>
      <c r="V1" s="385" t="s">
        <v>553</v>
      </c>
      <c r="W1" s="390" t="e">
        <f ca="1">SUMXMY2(U2:X157,Y2:AB157)</f>
        <v>#DIV/0!</v>
      </c>
      <c r="X1" s="385" t="s">
        <v>544</v>
      </c>
      <c r="Y1" s="4" t="s">
        <v>548</v>
      </c>
      <c r="Z1" s="4" t="s">
        <v>548</v>
      </c>
      <c r="AA1" s="4" t="s">
        <v>548</v>
      </c>
      <c r="AB1" s="4" t="s">
        <v>548</v>
      </c>
      <c r="AC1" s="4" t="s">
        <v>546</v>
      </c>
      <c r="AD1" s="4" t="s">
        <v>546</v>
      </c>
      <c r="AE1" s="4" t="s">
        <v>546</v>
      </c>
      <c r="AF1" s="4" t="s">
        <v>546</v>
      </c>
      <c r="AG1" s="4" t="s">
        <v>559</v>
      </c>
      <c r="AH1" s="4" t="s">
        <v>559</v>
      </c>
      <c r="AI1" s="4" t="s">
        <v>559</v>
      </c>
      <c r="AJ1" s="4" t="s">
        <v>559</v>
      </c>
      <c r="AK1" s="4" t="s">
        <v>545</v>
      </c>
      <c r="AL1" s="4" t="s">
        <v>545</v>
      </c>
      <c r="AM1" s="4" t="s">
        <v>545</v>
      </c>
      <c r="AN1" s="4" t="s">
        <v>545</v>
      </c>
      <c r="AO1" s="4" t="s">
        <v>547</v>
      </c>
      <c r="AP1" s="4" t="s">
        <v>547</v>
      </c>
      <c r="AQ1" s="4" t="s">
        <v>547</v>
      </c>
      <c r="AR1" s="4" t="s">
        <v>547</v>
      </c>
      <c r="AS1" s="4" t="s">
        <v>550</v>
      </c>
      <c r="AT1" s="4" t="s">
        <v>550</v>
      </c>
      <c r="AU1" s="4" t="s">
        <v>550</v>
      </c>
      <c r="AV1" s="4" t="s">
        <v>550</v>
      </c>
      <c r="AW1" s="389" t="s">
        <v>551</v>
      </c>
      <c r="AX1" s="389" t="s">
        <v>551</v>
      </c>
      <c r="AY1" s="389" t="s">
        <v>551</v>
      </c>
      <c r="AZ1" s="389" t="s">
        <v>551</v>
      </c>
      <c r="BA1" s="387" t="s">
        <v>552</v>
      </c>
      <c r="BB1" s="387" t="s">
        <v>552</v>
      </c>
      <c r="BC1" s="387" t="s">
        <v>552</v>
      </c>
      <c r="BD1" s="387" t="s">
        <v>552</v>
      </c>
    </row>
    <row r="2" spans="1:56">
      <c r="A2" t="e">
        <f>IF(#REF!=0,A1,#REF!)</f>
        <v>#REF!</v>
      </c>
      <c r="C2" s="381" t="e">
        <f>#REF!</f>
        <v>#REF!</v>
      </c>
      <c r="D2" s="381" t="e">
        <f>#REF!</f>
        <v>#REF!</v>
      </c>
      <c r="E2" t="s">
        <v>133</v>
      </c>
      <c r="F2" t="s">
        <v>133</v>
      </c>
      <c r="G2" s="382" t="str">
        <f ca="1">IFERROR(C2*Changes!$B$1,"-")</f>
        <v>-</v>
      </c>
      <c r="H2" s="382" t="str">
        <f ca="1">IFERROR(D2*Changes!$B$1,"-")</f>
        <v>-</v>
      </c>
      <c r="I2" s="382" t="str">
        <f ca="1">IFERROR(E2*Changes!$B$1,"-")</f>
        <v>-</v>
      </c>
      <c r="J2" s="382" t="str">
        <f ca="1">IFERROR(F2*Changes!$B$1,"-")</f>
        <v>-</v>
      </c>
      <c r="K2" s="383" t="str">
        <f t="shared" ref="K2:K33" ca="1" si="0">IFERROR($O2-G2-Q2-AC2-AO2,"-")</f>
        <v>-</v>
      </c>
      <c r="L2" s="383" t="str">
        <f t="shared" ref="L2:L33" ca="1" si="1">IFERROR($O2-H2-R2-AD2-AP2,"-")</f>
        <v>-</v>
      </c>
      <c r="M2" s="383" t="str">
        <f t="shared" ref="M2:M33" ca="1" si="2">IFERROR($O2-I2-S2-AE2-AQ2,"-")</f>
        <v>-</v>
      </c>
      <c r="N2" s="383" t="str">
        <f t="shared" ref="N2:N33" ca="1" si="3">IFERROR($O2-J2-T2-AF2-AR2,"-")</f>
        <v>-</v>
      </c>
      <c r="O2" s="384">
        <f>[1]Particles!$B$13</f>
        <v>512373.33725154324</v>
      </c>
      <c r="P2" s="384">
        <f>[1]Particles!$B$5</f>
        <v>3152.8432598003224</v>
      </c>
      <c r="Q2" s="383">
        <f>IFERROR(VLOOKUP("s",[1]md!$A:$E,5,0)*14.3998434/U2*100,"-")</f>
        <v>1334.4628326700547</v>
      </c>
      <c r="R2" s="383">
        <f>IFERROR(VLOOKUP("s",[1]md!$A:$E,5,0)*14.3998434/V2*100,"-")</f>
        <v>1334.4643100791388</v>
      </c>
      <c r="S2" s="383">
        <f>IFERROR(VLOOKUP("s",[1]md!$A:$E,5,0)*14.3998434/W2*100,"-")</f>
        <v>1349.98531875</v>
      </c>
      <c r="T2" s="383">
        <f>IFERROR(VLOOKUP("s",[1]md!$A:$E,5,0)*14.3998434/X2*100,"-")</f>
        <v>1349.98531875</v>
      </c>
      <c r="U2" s="386">
        <v>2.4279168259166344</v>
      </c>
      <c r="V2" s="386">
        <v>2.4279141379268938</v>
      </c>
      <c r="W2" s="386">
        <v>2.4</v>
      </c>
      <c r="X2" s="386">
        <v>2.4</v>
      </c>
      <c r="Y2" s="382" t="str">
        <f t="shared" ref="Y2:Y33" ca="1" si="4">IFERROR(6.582119514/K2*3*2*PI()*10^4,"-")</f>
        <v>-</v>
      </c>
      <c r="Z2" s="382" t="str">
        <f t="shared" ref="Z2:Z33" ca="1" si="5">IFERROR(6.582119514/L2*3*2*PI()*10^4,"-")</f>
        <v>-</v>
      </c>
      <c r="AA2" s="382" t="str">
        <f t="shared" ref="AA2:AA33" ca="1" si="6">IFERROR(6.582119514/M2*3*2*PI()*10^4,"-")</f>
        <v>-</v>
      </c>
      <c r="AB2" s="382" t="str">
        <f t="shared" ref="AB2:AB33" ca="1" si="7">IFERROR(6.582119514/N2*3*2*PI()*10^4,"-")</f>
        <v>-</v>
      </c>
      <c r="AC2" s="382" t="str">
        <f ca="1">IFERROR(Changes!$B$2*Rotation!C2,"-")</f>
        <v>-</v>
      </c>
      <c r="AD2" s="382" t="str">
        <f ca="1">IFERROR(Changes!$B$2*Rotation!D2,"-")</f>
        <v>-</v>
      </c>
      <c r="AE2" s="382" t="str">
        <f ca="1">IFERROR(Changes!$B$2*Rotation!E2,"-")</f>
        <v>-</v>
      </c>
      <c r="AF2" s="382" t="str">
        <f ca="1">IFERROR(Changes!$B$2*Rotation!F2,"-")</f>
        <v>-</v>
      </c>
      <c r="AG2" s="382" t="e">
        <f ca="1">(AC2+AD2)*#REF!</f>
        <v>#VALUE!</v>
      </c>
      <c r="AH2" s="382" t="e">
        <f t="shared" ref="AH2:AH33" ca="1" si="8">AC2+AD2-AG2</f>
        <v>#VALUE!</v>
      </c>
      <c r="AI2" s="382"/>
      <c r="AJ2" s="382"/>
      <c r="AK2" s="382">
        <f t="shared" ref="AK2:AK33" si="9">IFERROR((0.5*6.582119514/U2/$P2)*100/9*100,"-")</f>
        <v>0.47770201468825058</v>
      </c>
      <c r="AL2" s="382">
        <f t="shared" ref="AL2:AL33" si="10">IFERROR((0.5*6.582119514/V2/$P2)*100/9*100,"-")</f>
        <v>0.47770254356120151</v>
      </c>
      <c r="AM2" s="382">
        <f t="shared" ref="AM2:AM33" si="11">IFERROR((0.5*6.582119514/W2/$P2)*100/9*100,"-")</f>
        <v>0.48325864968161619</v>
      </c>
      <c r="AN2" s="382">
        <f t="shared" ref="AN2:AN33" si="12">IFERROR((0.5*6.582119514/X2/$P2)*100/9*100,"-")</f>
        <v>0.48325864968161619</v>
      </c>
      <c r="AO2" s="382">
        <f>IFERROR(0.5*$P2*AK2^2/9,"-")</f>
        <v>39.97090868840192</v>
      </c>
      <c r="AP2" s="382">
        <f>IFERROR(0.5*$P2*AL2^2/9,"-")</f>
        <v>39.97099719355149</v>
      </c>
      <c r="AQ2" s="382">
        <f>IFERROR(0.5*$P2*AM2^2/9,"-")</f>
        <v>40.906200982235795</v>
      </c>
      <c r="AR2" s="382">
        <f>IFERROR(0.5*$P2*AN2^2/9,"-")</f>
        <v>40.906200982235795</v>
      </c>
      <c r="AS2" s="388" t="str">
        <f t="shared" ref="AS2:AS33" ca="1" si="13">IFERROR((2*AG2/-K2)^0.5*3,"-")</f>
        <v>-</v>
      </c>
      <c r="AT2" s="388" t="str">
        <f t="shared" ref="AT2:AT33" ca="1" si="14">IFERROR((2*AH2/-L2)^0.5*3,"-")</f>
        <v>-</v>
      </c>
      <c r="AU2" s="388" t="str">
        <f t="shared" ref="AU2:AU33" ca="1" si="15">IFERROR((2*AI2/-M2)^0.5*3,"-")</f>
        <v>-</v>
      </c>
      <c r="AV2" s="388" t="str">
        <f t="shared" ref="AV2:AV33" ca="1" si="16">IFERROR((2*AJ2/-N2)^0.5*3,"-")</f>
        <v>-</v>
      </c>
      <c r="AW2" s="382" t="e">
        <f>#REF!*SIN(#REF!)</f>
        <v>#REF!</v>
      </c>
      <c r="AX2" s="382" t="e">
        <f>#REF!*SIN(#REF!)</f>
        <v>#REF!</v>
      </c>
      <c r="AY2" s="382"/>
      <c r="AZ2" s="382"/>
      <c r="BA2" s="388" t="str">
        <f ca="1">IFERROR(AS2/AW2,"-")</f>
        <v>-</v>
      </c>
      <c r="BB2" s="388" t="str">
        <f ca="1">IFERROR(AT2/AX2,"-")</f>
        <v>-</v>
      </c>
      <c r="BC2" s="388" t="str">
        <f ca="1">IFERROR(AU2/AY2,"-")</f>
        <v>-</v>
      </c>
      <c r="BD2" s="388" t="str">
        <f ca="1">IFERROR(AV2/AZ2,"-")</f>
        <v>-</v>
      </c>
    </row>
    <row r="3" spans="1:56">
      <c r="A3" t="e">
        <f>IF(#REF!=0,A2,#REF!)</f>
        <v>#REF!</v>
      </c>
      <c r="C3" s="381" t="e">
        <f>#REF!</f>
        <v>#REF!</v>
      </c>
      <c r="D3" s="381" t="e">
        <f>#REF!</f>
        <v>#REF!</v>
      </c>
      <c r="E3" t="s">
        <v>133</v>
      </c>
      <c r="F3" t="s">
        <v>133</v>
      </c>
      <c r="G3" s="382" t="str">
        <f ca="1">IFERROR(C3*Changes!$B$1,"-")</f>
        <v>-</v>
      </c>
      <c r="H3" s="382" t="str">
        <f ca="1">IFERROR(D3*Changes!$B$1,"-")</f>
        <v>-</v>
      </c>
      <c r="I3" s="382" t="str">
        <f ca="1">IFERROR(E3*Changes!$B$1,"-")</f>
        <v>-</v>
      </c>
      <c r="J3" s="382" t="str">
        <f ca="1">IFERROR(F3*Changes!$B$1,"-")</f>
        <v>-</v>
      </c>
      <c r="K3" s="383" t="str">
        <f t="shared" ca="1" si="0"/>
        <v>-</v>
      </c>
      <c r="L3" s="383" t="str">
        <f t="shared" ca="1" si="1"/>
        <v>-</v>
      </c>
      <c r="M3" s="383" t="str">
        <f t="shared" ca="1" si="2"/>
        <v>-</v>
      </c>
      <c r="N3" s="383" t="str">
        <f t="shared" ca="1" si="3"/>
        <v>-</v>
      </c>
      <c r="O3" s="384">
        <f>[1]Particles!$B$13</f>
        <v>512373.33725154324</v>
      </c>
      <c r="P3" s="384">
        <f>[1]Particles!$B$5</f>
        <v>3152.8432598003224</v>
      </c>
      <c r="Q3" s="383">
        <f>IFERROR(VLOOKUP("s",[1]md!$A:$E,5,0)*14.3998434/U3*100,"-")</f>
        <v>1334.4632831952745</v>
      </c>
      <c r="R3" s="383">
        <f>IFERROR(VLOOKUP("s",[1]md!$A:$E,5,0)*14.3998434/V3*100,"-")</f>
        <v>1334.4643121317631</v>
      </c>
      <c r="S3" s="383">
        <f>IFERROR(VLOOKUP("s",[1]md!$A:$E,5,0)*14.3998434/W3*100,"-")</f>
        <v>1349.98531875</v>
      </c>
      <c r="T3" s="383">
        <f>IFERROR(VLOOKUP("s",[1]md!$A:$E,5,0)*14.3998434/X3*100,"-")</f>
        <v>1349.98531875</v>
      </c>
      <c r="U3" s="386">
        <v>2.4279160062329641</v>
      </c>
      <c r="V3" s="386">
        <v>2.4279141341923651</v>
      </c>
      <c r="W3" s="386">
        <v>2.4</v>
      </c>
      <c r="X3" s="386">
        <v>2.4</v>
      </c>
      <c r="Y3" s="382" t="str">
        <f t="shared" ca="1" si="4"/>
        <v>-</v>
      </c>
      <c r="Z3" s="382" t="str">
        <f t="shared" ca="1" si="5"/>
        <v>-</v>
      </c>
      <c r="AA3" s="382" t="str">
        <f t="shared" ca="1" si="6"/>
        <v>-</v>
      </c>
      <c r="AB3" s="382" t="str">
        <f t="shared" ca="1" si="7"/>
        <v>-</v>
      </c>
      <c r="AC3" s="382" t="str">
        <f ca="1">IFERROR(Changes!$B$2*Rotation!C3,"-")</f>
        <v>-</v>
      </c>
      <c r="AD3" s="382" t="str">
        <f ca="1">IFERROR(Changes!$B$2*Rotation!D3,"-")</f>
        <v>-</v>
      </c>
      <c r="AE3" s="382" t="str">
        <f ca="1">IFERROR(Changes!$B$2*Rotation!E3,"-")</f>
        <v>-</v>
      </c>
      <c r="AF3" s="382" t="str">
        <f ca="1">IFERROR(Changes!$B$2*Rotation!F3,"-")</f>
        <v>-</v>
      </c>
      <c r="AG3" s="382" t="e">
        <f ca="1">(AC3+AD3)*#REF!</f>
        <v>#VALUE!</v>
      </c>
      <c r="AH3" s="382" t="e">
        <f t="shared" ca="1" si="8"/>
        <v>#VALUE!</v>
      </c>
      <c r="AI3" s="382"/>
      <c r="AJ3" s="382"/>
      <c r="AK3" s="382">
        <f t="shared" si="9"/>
        <v>0.47770217596423381</v>
      </c>
      <c r="AL3" s="382">
        <f t="shared" si="10"/>
        <v>0.47770254429598613</v>
      </c>
      <c r="AM3" s="382">
        <f t="shared" si="11"/>
        <v>0.48325864968161619</v>
      </c>
      <c r="AN3" s="382">
        <f t="shared" si="12"/>
        <v>0.48325864968161619</v>
      </c>
      <c r="AO3" s="382">
        <f t="shared" ref="AO3:AO66" si="17">IFERROR(0.5*$P3*AK3^2/9,"-")</f>
        <v>39.970935677397101</v>
      </c>
      <c r="AP3" s="382">
        <f t="shared" ref="AP3:AP66" si="18">IFERROR(0.5*$P3*AL3^2/9,"-")</f>
        <v>39.970997316515351</v>
      </c>
      <c r="AQ3" s="382">
        <f t="shared" ref="AQ3:AQ66" si="19">IFERROR(0.5*$P3*AM3^2/9,"-")</f>
        <v>40.906200982235795</v>
      </c>
      <c r="AR3" s="382">
        <f t="shared" ref="AR3:AR66" si="20">IFERROR(0.5*$P3*AN3^2/9,"-")</f>
        <v>40.906200982235795</v>
      </c>
      <c r="AS3" s="388" t="str">
        <f t="shared" ca="1" si="13"/>
        <v>-</v>
      </c>
      <c r="AT3" s="388" t="str">
        <f t="shared" ca="1" si="14"/>
        <v>-</v>
      </c>
      <c r="AU3" s="388" t="str">
        <f t="shared" ca="1" si="15"/>
        <v>-</v>
      </c>
      <c r="AV3" s="388" t="str">
        <f t="shared" ca="1" si="16"/>
        <v>-</v>
      </c>
      <c r="AW3" s="382" t="e">
        <f>#REF!*SIN(#REF!)</f>
        <v>#REF!</v>
      </c>
      <c r="AX3" s="382" t="e">
        <f>#REF!*SIN(#REF!)</f>
        <v>#REF!</v>
      </c>
      <c r="AY3" s="382"/>
      <c r="AZ3" s="382"/>
      <c r="BA3" s="388" t="str">
        <f t="shared" ref="BA3:BA66" ca="1" si="21">IFERROR(AS3/AW3,"-")</f>
        <v>-</v>
      </c>
      <c r="BB3" s="388" t="str">
        <f t="shared" ref="BB3:BB66" ca="1" si="22">IFERROR(AT3/AX3,"-")</f>
        <v>-</v>
      </c>
      <c r="BC3" s="388" t="str">
        <f t="shared" ref="BC3:BC66" ca="1" si="23">IFERROR(AU3/AY3,"-")</f>
        <v>-</v>
      </c>
      <c r="BD3" s="388" t="str">
        <f t="shared" ref="BD3:BD66" ca="1" si="24">IFERROR(AV3/AZ3,"-")</f>
        <v>-</v>
      </c>
    </row>
    <row r="4" spans="1:56">
      <c r="A4" t="e">
        <f>IF(#REF!=0,A3,#REF!)</f>
        <v>#REF!</v>
      </c>
      <c r="C4" s="381" t="e">
        <f>#REF!</f>
        <v>#REF!</v>
      </c>
      <c r="D4" s="381" t="e">
        <f>#REF!</f>
        <v>#REF!</v>
      </c>
      <c r="E4" t="s">
        <v>133</v>
      </c>
      <c r="F4" t="s">
        <v>133</v>
      </c>
      <c r="G4" s="382" t="str">
        <f ca="1">IFERROR(C4*Changes!$B$1,"-")</f>
        <v>-</v>
      </c>
      <c r="H4" s="382" t="str">
        <f ca="1">IFERROR(D4*Changes!$B$1,"-")</f>
        <v>-</v>
      </c>
      <c r="I4" s="382" t="str">
        <f ca="1">IFERROR(E4*Changes!$B$1,"-")</f>
        <v>-</v>
      </c>
      <c r="J4" s="382" t="str">
        <f ca="1">IFERROR(F4*Changes!$B$1,"-")</f>
        <v>-</v>
      </c>
      <c r="K4" s="383" t="str">
        <f t="shared" ca="1" si="0"/>
        <v>-</v>
      </c>
      <c r="L4" s="383" t="str">
        <f t="shared" ca="1" si="1"/>
        <v>-</v>
      </c>
      <c r="M4" s="383" t="str">
        <f t="shared" ca="1" si="2"/>
        <v>-</v>
      </c>
      <c r="N4" s="383" t="str">
        <f t="shared" ca="1" si="3"/>
        <v>-</v>
      </c>
      <c r="O4" s="384">
        <f>[1]Particles!$B$13</f>
        <v>512373.33725154324</v>
      </c>
      <c r="P4" s="384">
        <f>[1]Particles!$B$5</f>
        <v>3152.8432598003224</v>
      </c>
      <c r="Q4" s="383">
        <f>IFERROR(VLOOKUP("s",[1]md!$A:$E,5,0)*14.3998434/U4*100,"-")</f>
        <v>1334.4629279834826</v>
      </c>
      <c r="R4" s="383">
        <f>IFERROR(VLOOKUP("s",[1]md!$A:$E,5,0)*14.3998434/V4*100,"-")</f>
        <v>1334.4641950473729</v>
      </c>
      <c r="S4" s="383">
        <f>IFERROR(VLOOKUP("s",[1]md!$A:$E,5,0)*14.3998434/W4*100,"-")</f>
        <v>1349.98531875</v>
      </c>
      <c r="T4" s="383">
        <f>IFERROR(VLOOKUP("s",[1]md!$A:$E,5,0)*14.3998434/X4*100,"-")</f>
        <v>1349.98531875</v>
      </c>
      <c r="U4" s="386">
        <v>2.4279166525037423</v>
      </c>
      <c r="V4" s="386">
        <v>2.4279143472148252</v>
      </c>
      <c r="W4" s="386">
        <v>2.4</v>
      </c>
      <c r="X4" s="386">
        <v>2.4</v>
      </c>
      <c r="Y4" s="382" t="str">
        <f t="shared" ca="1" si="4"/>
        <v>-</v>
      </c>
      <c r="Z4" s="382" t="str">
        <f t="shared" ca="1" si="5"/>
        <v>-</v>
      </c>
      <c r="AA4" s="382" t="str">
        <f t="shared" ca="1" si="6"/>
        <v>-</v>
      </c>
      <c r="AB4" s="382" t="str">
        <f t="shared" ca="1" si="7"/>
        <v>-</v>
      </c>
      <c r="AC4" s="382" t="str">
        <f ca="1">IFERROR(Changes!$B$2*Rotation!C4,"-")</f>
        <v>-</v>
      </c>
      <c r="AD4" s="382" t="str">
        <f ca="1">IFERROR(Changes!$B$2*Rotation!D4,"-")</f>
        <v>-</v>
      </c>
      <c r="AE4" s="382" t="str">
        <f ca="1">IFERROR(Changes!$B$2*Rotation!E4,"-")</f>
        <v>-</v>
      </c>
      <c r="AF4" s="382" t="str">
        <f ca="1">IFERROR(Changes!$B$2*Rotation!F4,"-")</f>
        <v>-</v>
      </c>
      <c r="AG4" s="382" t="e">
        <f ca="1">(AC4+AD4)*#REF!</f>
        <v>#VALUE!</v>
      </c>
      <c r="AH4" s="382" t="e">
        <f t="shared" ca="1" si="8"/>
        <v>#VALUE!</v>
      </c>
      <c r="AI4" s="382"/>
      <c r="AJ4" s="382"/>
      <c r="AK4" s="382">
        <f t="shared" si="9"/>
        <v>0.47770204880790945</v>
      </c>
      <c r="AL4" s="382">
        <f t="shared" si="10"/>
        <v>0.4777025023829049</v>
      </c>
      <c r="AM4" s="382">
        <f t="shared" si="11"/>
        <v>0.48325864968161619</v>
      </c>
      <c r="AN4" s="382">
        <f t="shared" si="12"/>
        <v>0.48325864968161619</v>
      </c>
      <c r="AO4" s="382">
        <f t="shared" si="17"/>
        <v>39.970914398211704</v>
      </c>
      <c r="AP4" s="382">
        <f t="shared" si="18"/>
        <v>39.970990302495423</v>
      </c>
      <c r="AQ4" s="382">
        <f t="shared" si="19"/>
        <v>40.906200982235795</v>
      </c>
      <c r="AR4" s="382">
        <f t="shared" si="20"/>
        <v>40.906200982235795</v>
      </c>
      <c r="AS4" s="388" t="str">
        <f t="shared" ca="1" si="13"/>
        <v>-</v>
      </c>
      <c r="AT4" s="388" t="str">
        <f t="shared" ca="1" si="14"/>
        <v>-</v>
      </c>
      <c r="AU4" s="388" t="str">
        <f t="shared" ca="1" si="15"/>
        <v>-</v>
      </c>
      <c r="AV4" s="388" t="str">
        <f t="shared" ca="1" si="16"/>
        <v>-</v>
      </c>
      <c r="AW4" s="382" t="e">
        <f>#REF!*SIN(#REF!)</f>
        <v>#REF!</v>
      </c>
      <c r="AX4" s="382" t="e">
        <f>#REF!*SIN(#REF!)</f>
        <v>#REF!</v>
      </c>
      <c r="AY4" s="382"/>
      <c r="AZ4" s="382"/>
      <c r="BA4" s="388" t="str">
        <f t="shared" ca="1" si="21"/>
        <v>-</v>
      </c>
      <c r="BB4" s="388" t="str">
        <f t="shared" ca="1" si="22"/>
        <v>-</v>
      </c>
      <c r="BC4" s="388" t="str">
        <f t="shared" ca="1" si="23"/>
        <v>-</v>
      </c>
      <c r="BD4" s="388" t="str">
        <f t="shared" ca="1" si="24"/>
        <v>-</v>
      </c>
    </row>
    <row r="5" spans="1:56">
      <c r="A5" t="e">
        <f>IF(#REF!=0,A4,#REF!)</f>
        <v>#REF!</v>
      </c>
      <c r="C5" s="381" t="e">
        <f>#REF!</f>
        <v>#REF!</v>
      </c>
      <c r="D5" s="381" t="e">
        <f>#REF!</f>
        <v>#REF!</v>
      </c>
      <c r="E5" t="s">
        <v>133</v>
      </c>
      <c r="F5" t="s">
        <v>133</v>
      </c>
      <c r="G5" s="382" t="str">
        <f ca="1">IFERROR(C5*Changes!$B$1,"-")</f>
        <v>-</v>
      </c>
      <c r="H5" s="382" t="str">
        <f ca="1">IFERROR(D5*Changes!$B$1,"-")</f>
        <v>-</v>
      </c>
      <c r="I5" s="382" t="str">
        <f ca="1">IFERROR(E5*Changes!$B$1,"-")</f>
        <v>-</v>
      </c>
      <c r="J5" s="382" t="str">
        <f ca="1">IFERROR(F5*Changes!$B$1,"-")</f>
        <v>-</v>
      </c>
      <c r="K5" s="383" t="str">
        <f t="shared" ca="1" si="0"/>
        <v>-</v>
      </c>
      <c r="L5" s="383" t="str">
        <f t="shared" ca="1" si="1"/>
        <v>-</v>
      </c>
      <c r="M5" s="383" t="str">
        <f t="shared" ca="1" si="2"/>
        <v>-</v>
      </c>
      <c r="N5" s="383" t="str">
        <f t="shared" ca="1" si="3"/>
        <v>-</v>
      </c>
      <c r="O5" s="384">
        <f>[1]Particles!$B$13</f>
        <v>512373.33725154324</v>
      </c>
      <c r="P5" s="384">
        <f>[1]Particles!$B$5</f>
        <v>3152.8432598003224</v>
      </c>
      <c r="Q5" s="383">
        <f>IFERROR(VLOOKUP("s",[1]md!$A:$E,5,0)*14.3998434/U5*100,"-")</f>
        <v>1334.4629803277423</v>
      </c>
      <c r="R5" s="383">
        <f>IFERROR(VLOOKUP("s",[1]md!$A:$E,5,0)*14.3998434/V5*100,"-")</f>
        <v>1334.4642422892657</v>
      </c>
      <c r="S5" s="383">
        <f>IFERROR(VLOOKUP("s",[1]md!$A:$E,5,0)*14.3998434/W5*100,"-")</f>
        <v>1349.98531875</v>
      </c>
      <c r="T5" s="383">
        <f>IFERROR(VLOOKUP("s",[1]md!$A:$E,5,0)*14.3998434/X5*100,"-")</f>
        <v>1349.98531875</v>
      </c>
      <c r="U5" s="386">
        <v>2.4279165572688037</v>
      </c>
      <c r="V5" s="386">
        <v>2.4279142612632758</v>
      </c>
      <c r="W5" s="386">
        <v>2.4</v>
      </c>
      <c r="X5" s="386">
        <v>2.4</v>
      </c>
      <c r="Y5" s="382" t="str">
        <f t="shared" ca="1" si="4"/>
        <v>-</v>
      </c>
      <c r="Z5" s="382" t="str">
        <f t="shared" ca="1" si="5"/>
        <v>-</v>
      </c>
      <c r="AA5" s="382" t="str">
        <f t="shared" ca="1" si="6"/>
        <v>-</v>
      </c>
      <c r="AB5" s="382" t="str">
        <f t="shared" ca="1" si="7"/>
        <v>-</v>
      </c>
      <c r="AC5" s="382" t="str">
        <f ca="1">IFERROR(Changes!$B$2*Rotation!C5,"-")</f>
        <v>-</v>
      </c>
      <c r="AD5" s="382" t="str">
        <f ca="1">IFERROR(Changes!$B$2*Rotation!D5,"-")</f>
        <v>-</v>
      </c>
      <c r="AE5" s="382" t="str">
        <f ca="1">IFERROR(Changes!$B$2*Rotation!E5,"-")</f>
        <v>-</v>
      </c>
      <c r="AF5" s="382" t="str">
        <f ca="1">IFERROR(Changes!$B$2*Rotation!F5,"-")</f>
        <v>-</v>
      </c>
      <c r="AG5" s="382" t="e">
        <f ca="1">(AC5+AD5)*#REF!</f>
        <v>#VALUE!</v>
      </c>
      <c r="AH5" s="382" t="e">
        <f t="shared" ca="1" si="8"/>
        <v>#VALUE!</v>
      </c>
      <c r="AI5" s="382"/>
      <c r="AJ5" s="382"/>
      <c r="AK5" s="382">
        <f t="shared" si="9"/>
        <v>0.477702067545755</v>
      </c>
      <c r="AL5" s="382">
        <f t="shared" si="10"/>
        <v>0.47770251929423929</v>
      </c>
      <c r="AM5" s="382">
        <f t="shared" si="11"/>
        <v>0.48325864968161619</v>
      </c>
      <c r="AN5" s="382">
        <f t="shared" si="12"/>
        <v>0.48325864968161619</v>
      </c>
      <c r="AO5" s="382">
        <f t="shared" si="17"/>
        <v>39.9709175339271</v>
      </c>
      <c r="AP5" s="382">
        <f t="shared" si="18"/>
        <v>39.970993132553005</v>
      </c>
      <c r="AQ5" s="382">
        <f t="shared" si="19"/>
        <v>40.906200982235795</v>
      </c>
      <c r="AR5" s="382">
        <f t="shared" si="20"/>
        <v>40.906200982235795</v>
      </c>
      <c r="AS5" s="388" t="str">
        <f t="shared" ca="1" si="13"/>
        <v>-</v>
      </c>
      <c r="AT5" s="388" t="str">
        <f t="shared" ca="1" si="14"/>
        <v>-</v>
      </c>
      <c r="AU5" s="388" t="str">
        <f t="shared" ca="1" si="15"/>
        <v>-</v>
      </c>
      <c r="AV5" s="388" t="str">
        <f t="shared" ca="1" si="16"/>
        <v>-</v>
      </c>
      <c r="AW5" s="382" t="e">
        <f>#REF!*SIN(#REF!)</f>
        <v>#REF!</v>
      </c>
      <c r="AX5" s="382" t="e">
        <f>#REF!*SIN(#REF!)</f>
        <v>#REF!</v>
      </c>
      <c r="AY5" s="382"/>
      <c r="AZ5" s="382"/>
      <c r="BA5" s="388" t="str">
        <f t="shared" ca="1" si="21"/>
        <v>-</v>
      </c>
      <c r="BB5" s="388" t="str">
        <f t="shared" ca="1" si="22"/>
        <v>-</v>
      </c>
      <c r="BC5" s="388" t="str">
        <f t="shared" ca="1" si="23"/>
        <v>-</v>
      </c>
      <c r="BD5" s="388" t="str">
        <f t="shared" ca="1" si="24"/>
        <v>-</v>
      </c>
    </row>
    <row r="6" spans="1:56">
      <c r="A6" t="e">
        <f>IF(#REF!=0,A5,#REF!)</f>
        <v>#REF!</v>
      </c>
      <c r="C6" s="381" t="e">
        <f>#REF!</f>
        <v>#REF!</v>
      </c>
      <c r="D6" s="381" t="e">
        <f>#REF!</f>
        <v>#REF!</v>
      </c>
      <c r="E6" t="s">
        <v>133</v>
      </c>
      <c r="F6" t="s">
        <v>133</v>
      </c>
      <c r="G6" s="382" t="str">
        <f ca="1">IFERROR(C6*Changes!$B$1,"-")</f>
        <v>-</v>
      </c>
      <c r="H6" s="382" t="str">
        <f ca="1">IFERROR(D6*Changes!$B$1,"-")</f>
        <v>-</v>
      </c>
      <c r="I6" s="382" t="str">
        <f ca="1">IFERROR(E6*Changes!$B$1,"-")</f>
        <v>-</v>
      </c>
      <c r="J6" s="382" t="str">
        <f ca="1">IFERROR(F6*Changes!$B$1,"-")</f>
        <v>-</v>
      </c>
      <c r="K6" s="383" t="str">
        <f t="shared" ca="1" si="0"/>
        <v>-</v>
      </c>
      <c r="L6" s="383" t="str">
        <f t="shared" ca="1" si="1"/>
        <v>-</v>
      </c>
      <c r="M6" s="383" t="str">
        <f t="shared" ca="1" si="2"/>
        <v>-</v>
      </c>
      <c r="N6" s="383" t="str">
        <f t="shared" ca="1" si="3"/>
        <v>-</v>
      </c>
      <c r="O6" s="384">
        <f>[1]Particles!$B$13</f>
        <v>512373.33725154324</v>
      </c>
      <c r="P6" s="384">
        <f>[1]Particles!$B$5</f>
        <v>3152.8432598003224</v>
      </c>
      <c r="Q6" s="383">
        <f>IFERROR(VLOOKUP("s",[1]md!$A:$E,5,0)*14.3998434/U6*100,"-")</f>
        <v>1334.4635279893248</v>
      </c>
      <c r="R6" s="383">
        <f>IFERROR(VLOOKUP("s",[1]md!$A:$E,5,0)*14.3998434/V6*100,"-")</f>
        <v>1334.4715587559799</v>
      </c>
      <c r="S6" s="383">
        <f>IFERROR(VLOOKUP("s",[1]md!$A:$E,5,0)*14.3998434/W6*100,"-")</f>
        <v>1349.98531875</v>
      </c>
      <c r="T6" s="383">
        <f>IFERROR(VLOOKUP("s",[1]md!$A:$E,5,0)*14.3998434/X6*100,"-")</f>
        <v>1349.98531875</v>
      </c>
      <c r="U6" s="386">
        <v>2.4279155608559413</v>
      </c>
      <c r="V6" s="386">
        <v>2.4279009498114426</v>
      </c>
      <c r="W6" s="386">
        <v>2.4</v>
      </c>
      <c r="X6" s="386">
        <v>2.4</v>
      </c>
      <c r="Y6" s="382" t="str">
        <f t="shared" ca="1" si="4"/>
        <v>-</v>
      </c>
      <c r="Z6" s="382" t="str">
        <f t="shared" ca="1" si="5"/>
        <v>-</v>
      </c>
      <c r="AA6" s="382" t="str">
        <f t="shared" ca="1" si="6"/>
        <v>-</v>
      </c>
      <c r="AB6" s="382" t="str">
        <f t="shared" ca="1" si="7"/>
        <v>-</v>
      </c>
      <c r="AC6" s="382" t="str">
        <f ca="1">IFERROR(Changes!$B$2*Rotation!C6,"-")</f>
        <v>-</v>
      </c>
      <c r="AD6" s="382" t="str">
        <f ca="1">IFERROR(Changes!$B$2*Rotation!D6,"-")</f>
        <v>-</v>
      </c>
      <c r="AE6" s="382" t="str">
        <f ca="1">IFERROR(Changes!$B$2*Rotation!E6,"-")</f>
        <v>-</v>
      </c>
      <c r="AF6" s="382" t="str">
        <f ca="1">IFERROR(Changes!$B$2*Rotation!F6,"-")</f>
        <v>-</v>
      </c>
      <c r="AG6" s="382" t="e">
        <f ca="1">(AC6+AD6)*#REF!</f>
        <v>#VALUE!</v>
      </c>
      <c r="AH6" s="382" t="e">
        <f t="shared" ca="1" si="8"/>
        <v>#VALUE!</v>
      </c>
      <c r="AI6" s="382"/>
      <c r="AJ6" s="382"/>
      <c r="AK6" s="382">
        <f t="shared" si="9"/>
        <v>0.47770226359395873</v>
      </c>
      <c r="AL6" s="382">
        <f t="shared" si="10"/>
        <v>0.47770513839370343</v>
      </c>
      <c r="AM6" s="382">
        <f t="shared" si="11"/>
        <v>0.48325864968161619</v>
      </c>
      <c r="AN6" s="382">
        <f t="shared" si="12"/>
        <v>0.48325864968161619</v>
      </c>
      <c r="AO6" s="382">
        <f t="shared" si="17"/>
        <v>39.970950341941652</v>
      </c>
      <c r="AP6" s="382">
        <f t="shared" si="18"/>
        <v>39.971431431659468</v>
      </c>
      <c r="AQ6" s="382">
        <f t="shared" si="19"/>
        <v>40.906200982235795</v>
      </c>
      <c r="AR6" s="382">
        <f t="shared" si="20"/>
        <v>40.906200982235795</v>
      </c>
      <c r="AS6" s="388" t="str">
        <f t="shared" ca="1" si="13"/>
        <v>-</v>
      </c>
      <c r="AT6" s="388" t="str">
        <f t="shared" ca="1" si="14"/>
        <v>-</v>
      </c>
      <c r="AU6" s="388" t="str">
        <f t="shared" ca="1" si="15"/>
        <v>-</v>
      </c>
      <c r="AV6" s="388" t="str">
        <f t="shared" ca="1" si="16"/>
        <v>-</v>
      </c>
      <c r="AW6" s="382" t="e">
        <f>#REF!*SIN(#REF!)</f>
        <v>#REF!</v>
      </c>
      <c r="AX6" s="382" t="e">
        <f>#REF!*SIN(#REF!)</f>
        <v>#REF!</v>
      </c>
      <c r="AY6" s="382"/>
      <c r="AZ6" s="382"/>
      <c r="BA6" s="388" t="str">
        <f t="shared" ca="1" si="21"/>
        <v>-</v>
      </c>
      <c r="BB6" s="388" t="str">
        <f t="shared" ca="1" si="22"/>
        <v>-</v>
      </c>
      <c r="BC6" s="388" t="str">
        <f t="shared" ca="1" si="23"/>
        <v>-</v>
      </c>
      <c r="BD6" s="388" t="str">
        <f t="shared" ca="1" si="24"/>
        <v>-</v>
      </c>
    </row>
    <row r="7" spans="1:56">
      <c r="A7" t="e">
        <f>IF(#REF!=0,A6,#REF!)</f>
        <v>#REF!</v>
      </c>
      <c r="C7" s="381" t="e">
        <f>#REF!</f>
        <v>#REF!</v>
      </c>
      <c r="D7" s="381" t="e">
        <f>#REF!</f>
        <v>#REF!</v>
      </c>
      <c r="E7" t="s">
        <v>133</v>
      </c>
      <c r="F7" t="s">
        <v>133</v>
      </c>
      <c r="G7" s="382" t="str">
        <f ca="1">IFERROR(C7*Changes!$B$1,"-")</f>
        <v>-</v>
      </c>
      <c r="H7" s="382" t="str">
        <f ca="1">IFERROR(D7*Changes!$B$1,"-")</f>
        <v>-</v>
      </c>
      <c r="I7" s="382" t="str">
        <f ca="1">IFERROR(E7*Changes!$B$1,"-")</f>
        <v>-</v>
      </c>
      <c r="J7" s="382" t="str">
        <f ca="1">IFERROR(F7*Changes!$B$1,"-")</f>
        <v>-</v>
      </c>
      <c r="K7" s="383" t="str">
        <f t="shared" ca="1" si="0"/>
        <v>-</v>
      </c>
      <c r="L7" s="383" t="str">
        <f t="shared" ca="1" si="1"/>
        <v>-</v>
      </c>
      <c r="M7" s="383" t="str">
        <f t="shared" ca="1" si="2"/>
        <v>-</v>
      </c>
      <c r="N7" s="383" t="str">
        <f t="shared" ca="1" si="3"/>
        <v>-</v>
      </c>
      <c r="O7" s="384">
        <f>[1]Particles!$B$13</f>
        <v>512373.33725154324</v>
      </c>
      <c r="P7" s="384">
        <f>[1]Particles!$B$5</f>
        <v>3152.8432598003224</v>
      </c>
      <c r="Q7" s="383">
        <f>IFERROR(VLOOKUP("s",[1]md!$A:$E,5,0)*14.3998434/U7*100,"-")</f>
        <v>1334.4656191555196</v>
      </c>
      <c r="R7" s="383">
        <f>IFERROR(VLOOKUP("s",[1]md!$A:$E,5,0)*14.3998434/V7*100,"-")</f>
        <v>1334.4715710167793</v>
      </c>
      <c r="S7" s="383">
        <f>IFERROR(VLOOKUP("s",[1]md!$A:$E,5,0)*14.3998434/W7*100,"-")</f>
        <v>1349.98531875</v>
      </c>
      <c r="T7" s="383">
        <f>IFERROR(VLOOKUP("s",[1]md!$A:$E,5,0)*14.3998434/X7*100,"-")</f>
        <v>1349.98531875</v>
      </c>
      <c r="U7" s="386">
        <v>2.4279117562056967</v>
      </c>
      <c r="V7" s="386">
        <v>2.4279009275044809</v>
      </c>
      <c r="W7" s="386">
        <v>2.4</v>
      </c>
      <c r="X7" s="386">
        <v>2.4</v>
      </c>
      <c r="Y7" s="382" t="str">
        <f t="shared" ca="1" si="4"/>
        <v>-</v>
      </c>
      <c r="Z7" s="382" t="str">
        <f t="shared" ca="1" si="5"/>
        <v>-</v>
      </c>
      <c r="AA7" s="382" t="str">
        <f t="shared" ca="1" si="6"/>
        <v>-</v>
      </c>
      <c r="AB7" s="382" t="str">
        <f t="shared" ca="1" si="7"/>
        <v>-</v>
      </c>
      <c r="AC7" s="382" t="str">
        <f ca="1">IFERROR(Changes!$B$2*Rotation!C7,"-")</f>
        <v>-</v>
      </c>
      <c r="AD7" s="382" t="str">
        <f ca="1">IFERROR(Changes!$B$2*Rotation!D7,"-")</f>
        <v>-</v>
      </c>
      <c r="AE7" s="382" t="str">
        <f ca="1">IFERROR(Changes!$B$2*Rotation!E7,"-")</f>
        <v>-</v>
      </c>
      <c r="AF7" s="382" t="str">
        <f ca="1">IFERROR(Changes!$B$2*Rotation!F7,"-")</f>
        <v>-</v>
      </c>
      <c r="AG7" s="382" t="e">
        <f ca="1">(AC7+AD7)*#REF!</f>
        <v>#VALUE!</v>
      </c>
      <c r="AH7" s="382" t="e">
        <f t="shared" ca="1" si="8"/>
        <v>#VALUE!</v>
      </c>
      <c r="AI7" s="382"/>
      <c r="AJ7" s="382"/>
      <c r="AK7" s="382">
        <f t="shared" si="9"/>
        <v>0.47770301217554512</v>
      </c>
      <c r="AL7" s="382">
        <f t="shared" si="10"/>
        <v>0.47770514278274157</v>
      </c>
      <c r="AM7" s="382">
        <f t="shared" si="11"/>
        <v>0.48325864968161619</v>
      </c>
      <c r="AN7" s="382">
        <f t="shared" si="12"/>
        <v>0.48325864968161619</v>
      </c>
      <c r="AO7" s="382">
        <f t="shared" si="17"/>
        <v>39.971075614703118</v>
      </c>
      <c r="AP7" s="382">
        <f t="shared" si="18"/>
        <v>39.971432166154969</v>
      </c>
      <c r="AQ7" s="382">
        <f t="shared" si="19"/>
        <v>40.906200982235795</v>
      </c>
      <c r="AR7" s="382">
        <f t="shared" si="20"/>
        <v>40.906200982235795</v>
      </c>
      <c r="AS7" s="388" t="str">
        <f t="shared" ca="1" si="13"/>
        <v>-</v>
      </c>
      <c r="AT7" s="388" t="str">
        <f t="shared" ca="1" si="14"/>
        <v>-</v>
      </c>
      <c r="AU7" s="388" t="str">
        <f t="shared" ca="1" si="15"/>
        <v>-</v>
      </c>
      <c r="AV7" s="388" t="str">
        <f t="shared" ca="1" si="16"/>
        <v>-</v>
      </c>
      <c r="AW7" s="382" t="e">
        <f>#REF!*SIN(#REF!)</f>
        <v>#REF!</v>
      </c>
      <c r="AX7" s="382" t="e">
        <f>#REF!*SIN(#REF!)</f>
        <v>#REF!</v>
      </c>
      <c r="AY7" s="382"/>
      <c r="AZ7" s="382"/>
      <c r="BA7" s="388" t="str">
        <f t="shared" ca="1" si="21"/>
        <v>-</v>
      </c>
      <c r="BB7" s="388" t="str">
        <f t="shared" ca="1" si="22"/>
        <v>-</v>
      </c>
      <c r="BC7" s="388" t="str">
        <f t="shared" ca="1" si="23"/>
        <v>-</v>
      </c>
      <c r="BD7" s="388" t="str">
        <f t="shared" ca="1" si="24"/>
        <v>-</v>
      </c>
    </row>
    <row r="8" spans="1:56">
      <c r="A8" t="e">
        <f>IF(#REF!=0,A7,#REF!)</f>
        <v>#REF!</v>
      </c>
      <c r="C8" s="381" t="e">
        <f>#REF!</f>
        <v>#REF!</v>
      </c>
      <c r="D8" s="381" t="e">
        <f>#REF!</f>
        <v>#REF!</v>
      </c>
      <c r="E8" t="s">
        <v>133</v>
      </c>
      <c r="F8" t="s">
        <v>133</v>
      </c>
      <c r="G8" s="382" t="str">
        <f ca="1">IFERROR(C8*Changes!$B$1,"-")</f>
        <v>-</v>
      </c>
      <c r="H8" s="382" t="str">
        <f ca="1">IFERROR(D8*Changes!$B$1,"-")</f>
        <v>-</v>
      </c>
      <c r="I8" s="382" t="str">
        <f ca="1">IFERROR(E8*Changes!$B$1,"-")</f>
        <v>-</v>
      </c>
      <c r="J8" s="382" t="str">
        <f ca="1">IFERROR(F8*Changes!$B$1,"-")</f>
        <v>-</v>
      </c>
      <c r="K8" s="383" t="str">
        <f t="shared" ca="1" si="0"/>
        <v>-</v>
      </c>
      <c r="L8" s="383" t="str">
        <f t="shared" ca="1" si="1"/>
        <v>-</v>
      </c>
      <c r="M8" s="383" t="str">
        <f t="shared" ca="1" si="2"/>
        <v>-</v>
      </c>
      <c r="N8" s="383" t="str">
        <f t="shared" ca="1" si="3"/>
        <v>-</v>
      </c>
      <c r="O8" s="384">
        <f>[1]Particles!$B$13</f>
        <v>512373.33725154324</v>
      </c>
      <c r="P8" s="384">
        <f>[1]Particles!$B$5</f>
        <v>3152.8432598003224</v>
      </c>
      <c r="Q8" s="383">
        <f>IFERROR(VLOOKUP("s",[1]md!$A:$E,5,0)*14.3998434/U8*100,"-")</f>
        <v>1334.4500460872082</v>
      </c>
      <c r="R8" s="383">
        <f>IFERROR(VLOOKUP("s",[1]md!$A:$E,5,0)*14.3998434/V8*100,"-")</f>
        <v>1334.4558794447059</v>
      </c>
      <c r="S8" s="383">
        <f>IFERROR(VLOOKUP("s",[1]md!$A:$E,5,0)*14.3998434/W8*100,"-")</f>
        <v>1349.98531875</v>
      </c>
      <c r="T8" s="383">
        <f>IFERROR(VLOOKUP("s",[1]md!$A:$E,5,0)*14.3998434/X8*100,"-")</f>
        <v>1349.98531875</v>
      </c>
      <c r="U8" s="386">
        <v>2.4279400900018882</v>
      </c>
      <c r="V8" s="386">
        <v>2.42792947665547</v>
      </c>
      <c r="W8" s="386">
        <v>2.4</v>
      </c>
      <c r="X8" s="386">
        <v>2.4</v>
      </c>
      <c r="Y8" s="382" t="str">
        <f t="shared" ca="1" si="4"/>
        <v>-</v>
      </c>
      <c r="Z8" s="382" t="str">
        <f t="shared" ca="1" si="5"/>
        <v>-</v>
      </c>
      <c r="AA8" s="382" t="str">
        <f t="shared" ca="1" si="6"/>
        <v>-</v>
      </c>
      <c r="AB8" s="382" t="str">
        <f t="shared" ca="1" si="7"/>
        <v>-</v>
      </c>
      <c r="AC8" s="382" t="str">
        <f ca="1">IFERROR(Changes!$B$2*Rotation!C8,"-")</f>
        <v>-</v>
      </c>
      <c r="AD8" s="382" t="str">
        <f ca="1">IFERROR(Changes!$B$2*Rotation!D8,"-")</f>
        <v>-</v>
      </c>
      <c r="AE8" s="382" t="str">
        <f ca="1">IFERROR(Changes!$B$2*Rotation!E8,"-")</f>
        <v>-</v>
      </c>
      <c r="AF8" s="382" t="str">
        <f ca="1">IFERROR(Changes!$B$2*Rotation!F8,"-")</f>
        <v>-</v>
      </c>
      <c r="AG8" s="382" t="e">
        <f ca="1">(AC8+AD8)*#REF!</f>
        <v>#VALUE!</v>
      </c>
      <c r="AH8" s="382" t="e">
        <f t="shared" ca="1" si="8"/>
        <v>#VALUE!</v>
      </c>
      <c r="AI8" s="382"/>
      <c r="AJ8" s="382"/>
      <c r="AK8" s="382">
        <f t="shared" si="9"/>
        <v>0.47769743743346527</v>
      </c>
      <c r="AL8" s="382">
        <f t="shared" si="10"/>
        <v>0.47769952561948353</v>
      </c>
      <c r="AM8" s="382">
        <f t="shared" si="11"/>
        <v>0.48325864968161619</v>
      </c>
      <c r="AN8" s="382">
        <f t="shared" si="12"/>
        <v>0.48325864968161619</v>
      </c>
      <c r="AO8" s="382">
        <f t="shared" si="17"/>
        <v>39.970142703955922</v>
      </c>
      <c r="AP8" s="382">
        <f t="shared" si="18"/>
        <v>39.97049215224277</v>
      </c>
      <c r="AQ8" s="382">
        <f t="shared" si="19"/>
        <v>40.906200982235795</v>
      </c>
      <c r="AR8" s="382">
        <f t="shared" si="20"/>
        <v>40.906200982235795</v>
      </c>
      <c r="AS8" s="388" t="str">
        <f t="shared" ca="1" si="13"/>
        <v>-</v>
      </c>
      <c r="AT8" s="388" t="str">
        <f t="shared" ca="1" si="14"/>
        <v>-</v>
      </c>
      <c r="AU8" s="388" t="str">
        <f t="shared" ca="1" si="15"/>
        <v>-</v>
      </c>
      <c r="AV8" s="388" t="str">
        <f t="shared" ca="1" si="16"/>
        <v>-</v>
      </c>
      <c r="AW8" s="382" t="e">
        <f>#REF!*SIN(#REF!)</f>
        <v>#REF!</v>
      </c>
      <c r="AX8" s="382" t="e">
        <f>#REF!*SIN(#REF!)</f>
        <v>#REF!</v>
      </c>
      <c r="AY8" s="382"/>
      <c r="AZ8" s="382"/>
      <c r="BA8" s="388" t="str">
        <f t="shared" ca="1" si="21"/>
        <v>-</v>
      </c>
      <c r="BB8" s="388" t="str">
        <f t="shared" ca="1" si="22"/>
        <v>-</v>
      </c>
      <c r="BC8" s="388" t="str">
        <f t="shared" ca="1" si="23"/>
        <v>-</v>
      </c>
      <c r="BD8" s="388" t="str">
        <f t="shared" ca="1" si="24"/>
        <v>-</v>
      </c>
    </row>
    <row r="9" spans="1:56">
      <c r="A9" t="e">
        <f>IF(#REF!=0,A8,#REF!)</f>
        <v>#REF!</v>
      </c>
      <c r="C9" s="381" t="e">
        <f>#REF!</f>
        <v>#REF!</v>
      </c>
      <c r="D9" s="381" t="e">
        <f>#REF!</f>
        <v>#REF!</v>
      </c>
      <c r="E9" t="s">
        <v>133</v>
      </c>
      <c r="F9" t="s">
        <v>133</v>
      </c>
      <c r="G9" s="382" t="str">
        <f ca="1">IFERROR(C9*Changes!$B$1,"-")</f>
        <v>-</v>
      </c>
      <c r="H9" s="382" t="str">
        <f ca="1">IFERROR(D9*Changes!$B$1,"-")</f>
        <v>-</v>
      </c>
      <c r="I9" s="382" t="str">
        <f ca="1">IFERROR(E9*Changes!$B$1,"-")</f>
        <v>-</v>
      </c>
      <c r="J9" s="382" t="str">
        <f ca="1">IFERROR(F9*Changes!$B$1,"-")</f>
        <v>-</v>
      </c>
      <c r="K9" s="383" t="str">
        <f t="shared" ca="1" si="0"/>
        <v>-</v>
      </c>
      <c r="L9" s="383" t="str">
        <f t="shared" ca="1" si="1"/>
        <v>-</v>
      </c>
      <c r="M9" s="383" t="str">
        <f t="shared" ca="1" si="2"/>
        <v>-</v>
      </c>
      <c r="N9" s="383" t="str">
        <f t="shared" ca="1" si="3"/>
        <v>-</v>
      </c>
      <c r="O9" s="384">
        <f>[1]Particles!$B$13</f>
        <v>512373.33725154324</v>
      </c>
      <c r="P9" s="384">
        <f>[1]Particles!$B$5</f>
        <v>3152.8432598003224</v>
      </c>
      <c r="Q9" s="383">
        <f>IFERROR(VLOOKUP("s",[1]md!$A:$E,5,0)*14.3998434/U9*100,"-")</f>
        <v>1334.446897619046</v>
      </c>
      <c r="R9" s="383">
        <f>IFERROR(VLOOKUP("s",[1]md!$A:$E,5,0)*14.3998434/V9*100,"-")</f>
        <v>1334.4513052155748</v>
      </c>
      <c r="S9" s="383">
        <f>IFERROR(VLOOKUP("s",[1]md!$A:$E,5,0)*14.3998434/W9*100,"-")</f>
        <v>1349.98531875</v>
      </c>
      <c r="T9" s="383">
        <f>IFERROR(VLOOKUP("s",[1]md!$A:$E,5,0)*14.3998434/X9*100,"-")</f>
        <v>1349.98531875</v>
      </c>
      <c r="U9" s="386">
        <v>2.4279458184367075</v>
      </c>
      <c r="V9" s="386">
        <v>2.4279377991065756</v>
      </c>
      <c r="W9" s="386">
        <v>2.4</v>
      </c>
      <c r="X9" s="386">
        <v>2.4</v>
      </c>
      <c r="Y9" s="382" t="str">
        <f t="shared" ca="1" si="4"/>
        <v>-</v>
      </c>
      <c r="Z9" s="382" t="str">
        <f t="shared" ca="1" si="5"/>
        <v>-</v>
      </c>
      <c r="AA9" s="382" t="str">
        <f t="shared" ca="1" si="6"/>
        <v>-</v>
      </c>
      <c r="AB9" s="382" t="str">
        <f t="shared" ca="1" si="7"/>
        <v>-</v>
      </c>
      <c r="AC9" s="382" t="str">
        <f ca="1">IFERROR(Changes!$B$2*Rotation!C9,"-")</f>
        <v>-</v>
      </c>
      <c r="AD9" s="382" t="str">
        <f ca="1">IFERROR(Changes!$B$2*Rotation!D9,"-")</f>
        <v>-</v>
      </c>
      <c r="AE9" s="382" t="str">
        <f ca="1">IFERROR(Changes!$B$2*Rotation!E9,"-")</f>
        <v>-</v>
      </c>
      <c r="AF9" s="382" t="str">
        <f ca="1">IFERROR(Changes!$B$2*Rotation!F9,"-")</f>
        <v>-</v>
      </c>
      <c r="AG9" s="382" t="e">
        <f ca="1">(AC9+AD9)*#REF!</f>
        <v>#VALUE!</v>
      </c>
      <c r="AH9" s="382" t="e">
        <f t="shared" ca="1" si="8"/>
        <v>#VALUE!</v>
      </c>
      <c r="AI9" s="382"/>
      <c r="AJ9" s="382"/>
      <c r="AK9" s="382">
        <f t="shared" si="9"/>
        <v>0.47769631036604349</v>
      </c>
      <c r="AL9" s="382">
        <f t="shared" si="10"/>
        <v>0.47769788816775532</v>
      </c>
      <c r="AM9" s="382">
        <f t="shared" si="11"/>
        <v>0.48325864968161619</v>
      </c>
      <c r="AN9" s="382">
        <f t="shared" si="12"/>
        <v>0.48325864968161619</v>
      </c>
      <c r="AO9" s="382">
        <f t="shared" si="17"/>
        <v>39.969954095062455</v>
      </c>
      <c r="AP9" s="382">
        <f t="shared" si="18"/>
        <v>39.970218132128579</v>
      </c>
      <c r="AQ9" s="382">
        <f t="shared" si="19"/>
        <v>40.906200982235795</v>
      </c>
      <c r="AR9" s="382">
        <f t="shared" si="20"/>
        <v>40.906200982235795</v>
      </c>
      <c r="AS9" s="388" t="str">
        <f t="shared" ca="1" si="13"/>
        <v>-</v>
      </c>
      <c r="AT9" s="388" t="str">
        <f t="shared" ca="1" si="14"/>
        <v>-</v>
      </c>
      <c r="AU9" s="388" t="str">
        <f t="shared" ca="1" si="15"/>
        <v>-</v>
      </c>
      <c r="AV9" s="388" t="str">
        <f t="shared" ca="1" si="16"/>
        <v>-</v>
      </c>
      <c r="AW9" s="382" t="e">
        <f>#REF!*SIN(#REF!)</f>
        <v>#REF!</v>
      </c>
      <c r="AX9" s="382" t="e">
        <f>#REF!*SIN(#REF!)</f>
        <v>#REF!</v>
      </c>
      <c r="AY9" s="382"/>
      <c r="AZ9" s="382"/>
      <c r="BA9" s="388" t="str">
        <f t="shared" ca="1" si="21"/>
        <v>-</v>
      </c>
      <c r="BB9" s="388" t="str">
        <f t="shared" ca="1" si="22"/>
        <v>-</v>
      </c>
      <c r="BC9" s="388" t="str">
        <f t="shared" ca="1" si="23"/>
        <v>-</v>
      </c>
      <c r="BD9" s="388" t="str">
        <f t="shared" ca="1" si="24"/>
        <v>-</v>
      </c>
    </row>
    <row r="10" spans="1:56">
      <c r="A10" t="e">
        <f>IF(#REF!=0,A9,#REF!)</f>
        <v>#REF!</v>
      </c>
      <c r="C10" s="381" t="e">
        <f>#REF!</f>
        <v>#REF!</v>
      </c>
      <c r="D10" s="381" t="e">
        <f>#REF!</f>
        <v>#REF!</v>
      </c>
      <c r="E10" t="s">
        <v>133</v>
      </c>
      <c r="F10" t="s">
        <v>133</v>
      </c>
      <c r="G10" s="382" t="str">
        <f ca="1">IFERROR(C10*Changes!$B$1,"-")</f>
        <v>-</v>
      </c>
      <c r="H10" s="382" t="str">
        <f ca="1">IFERROR(D10*Changes!$B$1,"-")</f>
        <v>-</v>
      </c>
      <c r="I10" s="382" t="str">
        <f ca="1">IFERROR(E10*Changes!$B$1,"-")</f>
        <v>-</v>
      </c>
      <c r="J10" s="382" t="str">
        <f ca="1">IFERROR(F10*Changes!$B$1,"-")</f>
        <v>-</v>
      </c>
      <c r="K10" s="383" t="str">
        <f t="shared" ca="1" si="0"/>
        <v>-</v>
      </c>
      <c r="L10" s="383" t="str">
        <f t="shared" ca="1" si="1"/>
        <v>-</v>
      </c>
      <c r="M10" s="383" t="str">
        <f t="shared" ca="1" si="2"/>
        <v>-</v>
      </c>
      <c r="N10" s="383" t="str">
        <f t="shared" ca="1" si="3"/>
        <v>-</v>
      </c>
      <c r="O10" s="384">
        <f>[1]Particles!$B$13</f>
        <v>512373.33725154324</v>
      </c>
      <c r="P10" s="384">
        <f>[1]Particles!$B$5</f>
        <v>3152.8432598003224</v>
      </c>
      <c r="Q10" s="383">
        <f>IFERROR(VLOOKUP("s",[1]md!$A:$E,5,0)*14.3998434/U10*100,"-")</f>
        <v>1334.4525721534746</v>
      </c>
      <c r="R10" s="383">
        <f>IFERROR(VLOOKUP("s",[1]md!$A:$E,5,0)*14.3998434/V10*100,"-")</f>
        <v>1334.4600945365339</v>
      </c>
      <c r="S10" s="383">
        <f>IFERROR(VLOOKUP("s",[1]md!$A:$E,5,0)*14.3998434/W10*100,"-")</f>
        <v>1349.98531875</v>
      </c>
      <c r="T10" s="383">
        <f>IFERROR(VLOOKUP("s",[1]md!$A:$E,5,0)*14.3998434/X10*100,"-")</f>
        <v>1349.98531875</v>
      </c>
      <c r="U10" s="386">
        <v>2.4279354940067313</v>
      </c>
      <c r="V10" s="386">
        <v>2.4279218076770284</v>
      </c>
      <c r="W10" s="386">
        <v>2.4</v>
      </c>
      <c r="X10" s="386">
        <v>2.4</v>
      </c>
      <c r="Y10" s="382" t="str">
        <f t="shared" ca="1" si="4"/>
        <v>-</v>
      </c>
      <c r="Z10" s="382" t="str">
        <f t="shared" ca="1" si="5"/>
        <v>-</v>
      </c>
      <c r="AA10" s="382" t="str">
        <f t="shared" ca="1" si="6"/>
        <v>-</v>
      </c>
      <c r="AB10" s="382" t="str">
        <f t="shared" ca="1" si="7"/>
        <v>-</v>
      </c>
      <c r="AC10" s="382" t="str">
        <f ca="1">IFERROR(Changes!$B$2*Rotation!C10,"-")</f>
        <v>-</v>
      </c>
      <c r="AD10" s="382" t="str">
        <f ca="1">IFERROR(Changes!$B$2*Rotation!D10,"-")</f>
        <v>-</v>
      </c>
      <c r="AE10" s="382" t="str">
        <f ca="1">IFERROR(Changes!$B$2*Rotation!E10,"-")</f>
        <v>-</v>
      </c>
      <c r="AF10" s="382" t="str">
        <f ca="1">IFERROR(Changes!$B$2*Rotation!F10,"-")</f>
        <v>-</v>
      </c>
      <c r="AG10" s="382" t="e">
        <f ca="1">(AC10+AD10)*#REF!</f>
        <v>#VALUE!</v>
      </c>
      <c r="AH10" s="382" t="e">
        <f t="shared" ca="1" si="8"/>
        <v>#VALUE!</v>
      </c>
      <c r="AI10" s="382"/>
      <c r="AJ10" s="382"/>
      <c r="AK10" s="382">
        <f t="shared" si="9"/>
        <v>0.47769834169764946</v>
      </c>
      <c r="AL10" s="382">
        <f t="shared" si="10"/>
        <v>0.47770103450965951</v>
      </c>
      <c r="AM10" s="382">
        <f t="shared" si="11"/>
        <v>0.48325864968161619</v>
      </c>
      <c r="AN10" s="382">
        <f t="shared" si="12"/>
        <v>0.48325864968161619</v>
      </c>
      <c r="AO10" s="382">
        <f t="shared" si="17"/>
        <v>39.970294028203703</v>
      </c>
      <c r="AP10" s="382">
        <f t="shared" si="18"/>
        <v>39.970744658996288</v>
      </c>
      <c r="AQ10" s="382">
        <f t="shared" si="19"/>
        <v>40.906200982235795</v>
      </c>
      <c r="AR10" s="382">
        <f t="shared" si="20"/>
        <v>40.906200982235795</v>
      </c>
      <c r="AS10" s="388" t="str">
        <f t="shared" ca="1" si="13"/>
        <v>-</v>
      </c>
      <c r="AT10" s="388" t="str">
        <f t="shared" ca="1" si="14"/>
        <v>-</v>
      </c>
      <c r="AU10" s="388" t="str">
        <f t="shared" ca="1" si="15"/>
        <v>-</v>
      </c>
      <c r="AV10" s="388" t="str">
        <f t="shared" ca="1" si="16"/>
        <v>-</v>
      </c>
      <c r="AW10" s="382" t="e">
        <f>#REF!*SIN(#REF!)</f>
        <v>#REF!</v>
      </c>
      <c r="AX10" s="382" t="e">
        <f>#REF!*SIN(#REF!)</f>
        <v>#REF!</v>
      </c>
      <c r="AY10" s="382"/>
      <c r="AZ10" s="382"/>
      <c r="BA10" s="388" t="str">
        <f t="shared" ca="1" si="21"/>
        <v>-</v>
      </c>
      <c r="BB10" s="388" t="str">
        <f t="shared" ca="1" si="22"/>
        <v>-</v>
      </c>
      <c r="BC10" s="388" t="str">
        <f t="shared" ca="1" si="23"/>
        <v>-</v>
      </c>
      <c r="BD10" s="388" t="str">
        <f t="shared" ca="1" si="24"/>
        <v>-</v>
      </c>
    </row>
    <row r="11" spans="1:56">
      <c r="A11" t="e">
        <f>IF(#REF!=0,A10,#REF!)</f>
        <v>#REF!</v>
      </c>
      <c r="C11" s="381" t="e">
        <f>#REF!</f>
        <v>#REF!</v>
      </c>
      <c r="D11" s="381" t="e">
        <f>#REF!</f>
        <v>#REF!</v>
      </c>
      <c r="E11" t="s">
        <v>133</v>
      </c>
      <c r="F11" t="s">
        <v>133</v>
      </c>
      <c r="G11" s="382" t="str">
        <f ca="1">IFERROR(C11*Changes!$B$1,"-")</f>
        <v>-</v>
      </c>
      <c r="H11" s="382" t="str">
        <f ca="1">IFERROR(D11*Changes!$B$1,"-")</f>
        <v>-</v>
      </c>
      <c r="I11" s="382" t="str">
        <f ca="1">IFERROR(E11*Changes!$B$1,"-")</f>
        <v>-</v>
      </c>
      <c r="J11" s="382" t="str">
        <f ca="1">IFERROR(F11*Changes!$B$1,"-")</f>
        <v>-</v>
      </c>
      <c r="K11" s="383" t="str">
        <f t="shared" ca="1" si="0"/>
        <v>-</v>
      </c>
      <c r="L11" s="383" t="str">
        <f t="shared" ca="1" si="1"/>
        <v>-</v>
      </c>
      <c r="M11" s="383" t="str">
        <f t="shared" ca="1" si="2"/>
        <v>-</v>
      </c>
      <c r="N11" s="383" t="str">
        <f t="shared" ca="1" si="3"/>
        <v>-</v>
      </c>
      <c r="O11" s="384">
        <f>[1]Particles!$B$13</f>
        <v>512373.33725154324</v>
      </c>
      <c r="P11" s="384">
        <f>[1]Particles!$B$5</f>
        <v>3152.8432598003224</v>
      </c>
      <c r="Q11" s="383">
        <f>IFERROR(VLOOKUP("s",[1]md!$A:$E,5,0)*14.3998434/U11*100,"-")</f>
        <v>1334.4521294408298</v>
      </c>
      <c r="R11" s="383">
        <f>IFERROR(VLOOKUP("s",[1]md!$A:$E,5,0)*14.3998434/V11*100,"-")</f>
        <v>1334.4600917302839</v>
      </c>
      <c r="S11" s="383">
        <f>IFERROR(VLOOKUP("s",[1]md!$A:$E,5,0)*14.3998434/W11*100,"-")</f>
        <v>1349.98531875</v>
      </c>
      <c r="T11" s="383">
        <f>IFERROR(VLOOKUP("s",[1]md!$A:$E,5,0)*14.3998434/X11*100,"-")</f>
        <v>1349.98531875</v>
      </c>
      <c r="U11" s="386">
        <v>2.4279362994891613</v>
      </c>
      <c r="V11" s="386">
        <v>2.4279218127827304</v>
      </c>
      <c r="W11" s="386">
        <v>2.4</v>
      </c>
      <c r="X11" s="386">
        <v>2.4</v>
      </c>
      <c r="Y11" s="382" t="str">
        <f t="shared" ca="1" si="4"/>
        <v>-</v>
      </c>
      <c r="Z11" s="382" t="str">
        <f t="shared" ca="1" si="5"/>
        <v>-</v>
      </c>
      <c r="AA11" s="382" t="str">
        <f t="shared" ca="1" si="6"/>
        <v>-</v>
      </c>
      <c r="AB11" s="382" t="str">
        <f t="shared" ca="1" si="7"/>
        <v>-</v>
      </c>
      <c r="AC11" s="382" t="str">
        <f ca="1">IFERROR(Changes!$B$2*Rotation!C11,"-")</f>
        <v>-</v>
      </c>
      <c r="AD11" s="382" t="str">
        <f ca="1">IFERROR(Changes!$B$2*Rotation!D11,"-")</f>
        <v>-</v>
      </c>
      <c r="AE11" s="382" t="str">
        <f ca="1">IFERROR(Changes!$B$2*Rotation!E11,"-")</f>
        <v>-</v>
      </c>
      <c r="AF11" s="382" t="str">
        <f ca="1">IFERROR(Changes!$B$2*Rotation!F11,"-")</f>
        <v>-</v>
      </c>
      <c r="AG11" s="382" t="e">
        <f ca="1">(AC11+AD11)*#REF!</f>
        <v>#VALUE!</v>
      </c>
      <c r="AH11" s="382" t="e">
        <f t="shared" ca="1" si="8"/>
        <v>#VALUE!</v>
      </c>
      <c r="AI11" s="382"/>
      <c r="AJ11" s="382"/>
      <c r="AK11" s="382">
        <f t="shared" si="9"/>
        <v>0.47769818321835944</v>
      </c>
      <c r="AL11" s="382">
        <f t="shared" si="10"/>
        <v>0.47770103350509702</v>
      </c>
      <c r="AM11" s="382">
        <f t="shared" si="11"/>
        <v>0.48325864968161619</v>
      </c>
      <c r="AN11" s="382">
        <f t="shared" si="12"/>
        <v>0.48325864968161619</v>
      </c>
      <c r="AO11" s="382">
        <f t="shared" si="17"/>
        <v>39.970267507438543</v>
      </c>
      <c r="AP11" s="382">
        <f t="shared" si="18"/>
        <v>39.970744490886503</v>
      </c>
      <c r="AQ11" s="382">
        <f t="shared" si="19"/>
        <v>40.906200982235795</v>
      </c>
      <c r="AR11" s="382">
        <f t="shared" si="20"/>
        <v>40.906200982235795</v>
      </c>
      <c r="AS11" s="388" t="str">
        <f t="shared" ca="1" si="13"/>
        <v>-</v>
      </c>
      <c r="AT11" s="388" t="str">
        <f t="shared" ca="1" si="14"/>
        <v>-</v>
      </c>
      <c r="AU11" s="388" t="str">
        <f t="shared" ca="1" si="15"/>
        <v>-</v>
      </c>
      <c r="AV11" s="388" t="str">
        <f t="shared" ca="1" si="16"/>
        <v>-</v>
      </c>
      <c r="AW11" s="382" t="e">
        <f>#REF!*SIN(#REF!)</f>
        <v>#REF!</v>
      </c>
      <c r="AX11" s="382" t="e">
        <f>#REF!*SIN(#REF!)</f>
        <v>#REF!</v>
      </c>
      <c r="AY11" s="382"/>
      <c r="AZ11" s="382"/>
      <c r="BA11" s="388" t="str">
        <f t="shared" ca="1" si="21"/>
        <v>-</v>
      </c>
      <c r="BB11" s="388" t="str">
        <f t="shared" ca="1" si="22"/>
        <v>-</v>
      </c>
      <c r="BC11" s="388" t="str">
        <f t="shared" ca="1" si="23"/>
        <v>-</v>
      </c>
      <c r="BD11" s="388" t="str">
        <f t="shared" ca="1" si="24"/>
        <v>-</v>
      </c>
    </row>
    <row r="12" spans="1:56">
      <c r="A12" t="e">
        <f>IF(#REF!=0,A11,#REF!)</f>
        <v>#REF!</v>
      </c>
      <c r="C12" s="381" t="e">
        <f>#REF!</f>
        <v>#REF!</v>
      </c>
      <c r="D12" s="381" t="e">
        <f>#REF!</f>
        <v>#REF!</v>
      </c>
      <c r="E12" t="s">
        <v>133</v>
      </c>
      <c r="F12" t="s">
        <v>133</v>
      </c>
      <c r="G12" s="382" t="str">
        <f ca="1">IFERROR(C12*Changes!$B$1,"-")</f>
        <v>-</v>
      </c>
      <c r="H12" s="382" t="str">
        <f ca="1">IFERROR(D12*Changes!$B$1,"-")</f>
        <v>-</v>
      </c>
      <c r="I12" s="382" t="str">
        <f ca="1">IFERROR(E12*Changes!$B$1,"-")</f>
        <v>-</v>
      </c>
      <c r="J12" s="382" t="str">
        <f ca="1">IFERROR(F12*Changes!$B$1,"-")</f>
        <v>-</v>
      </c>
      <c r="K12" s="383" t="str">
        <f t="shared" ca="1" si="0"/>
        <v>-</v>
      </c>
      <c r="L12" s="383" t="str">
        <f t="shared" ca="1" si="1"/>
        <v>-</v>
      </c>
      <c r="M12" s="383" t="str">
        <f t="shared" ca="1" si="2"/>
        <v>-</v>
      </c>
      <c r="N12" s="383" t="str">
        <f t="shared" ca="1" si="3"/>
        <v>-</v>
      </c>
      <c r="O12" s="384">
        <f>[1]Particles!$B$13</f>
        <v>512373.33725154324</v>
      </c>
      <c r="P12" s="384">
        <f>[1]Particles!$B$5</f>
        <v>3152.8432598003224</v>
      </c>
      <c r="Q12" s="383">
        <f>IFERROR(VLOOKUP("s",[1]md!$A:$E,5,0)*14.3998434/U12*100,"-")</f>
        <v>1334.4521294408298</v>
      </c>
      <c r="R12" s="383">
        <f>IFERROR(VLOOKUP("s",[1]md!$A:$E,5,0)*14.3998434/V12*100,"-")</f>
        <v>1334.4601102757103</v>
      </c>
      <c r="S12" s="383">
        <f>IFERROR(VLOOKUP("s",[1]md!$A:$E,5,0)*14.3998434/W12*100,"-")</f>
        <v>1349.98531875</v>
      </c>
      <c r="T12" s="383">
        <f>IFERROR(VLOOKUP("s",[1]md!$A:$E,5,0)*14.3998434/X12*100,"-")</f>
        <v>1349.98531875</v>
      </c>
      <c r="U12" s="386">
        <v>2.4279362994891613</v>
      </c>
      <c r="V12" s="386">
        <v>2.4279217790411112</v>
      </c>
      <c r="W12" s="386">
        <v>2.4</v>
      </c>
      <c r="X12" s="386">
        <v>2.4</v>
      </c>
      <c r="Y12" s="382" t="str">
        <f t="shared" ca="1" si="4"/>
        <v>-</v>
      </c>
      <c r="Z12" s="382" t="str">
        <f t="shared" ca="1" si="5"/>
        <v>-</v>
      </c>
      <c r="AA12" s="382" t="str">
        <f t="shared" ca="1" si="6"/>
        <v>-</v>
      </c>
      <c r="AB12" s="382" t="str">
        <f t="shared" ca="1" si="7"/>
        <v>-</v>
      </c>
      <c r="AC12" s="382" t="str">
        <f ca="1">IFERROR(Changes!$B$2*Rotation!C12,"-")</f>
        <v>-</v>
      </c>
      <c r="AD12" s="382" t="str">
        <f ca="1">IFERROR(Changes!$B$2*Rotation!D12,"-")</f>
        <v>-</v>
      </c>
      <c r="AE12" s="382" t="str">
        <f ca="1">IFERROR(Changes!$B$2*Rotation!E12,"-")</f>
        <v>-</v>
      </c>
      <c r="AF12" s="382" t="str">
        <f ca="1">IFERROR(Changes!$B$2*Rotation!F12,"-")</f>
        <v>-</v>
      </c>
      <c r="AG12" s="382" t="e">
        <f ca="1">(AC12+AD12)*#REF!</f>
        <v>#VALUE!</v>
      </c>
      <c r="AH12" s="382" t="e">
        <f t="shared" ca="1" si="8"/>
        <v>#VALUE!</v>
      </c>
      <c r="AI12" s="382"/>
      <c r="AJ12" s="382"/>
      <c r="AK12" s="382">
        <f t="shared" si="9"/>
        <v>0.47769818321835944</v>
      </c>
      <c r="AL12" s="382">
        <f t="shared" si="10"/>
        <v>0.47770104014386372</v>
      </c>
      <c r="AM12" s="382">
        <f t="shared" si="11"/>
        <v>0.48325864968161619</v>
      </c>
      <c r="AN12" s="382">
        <f t="shared" si="12"/>
        <v>0.48325864968161619</v>
      </c>
      <c r="AO12" s="382">
        <f t="shared" si="17"/>
        <v>39.970267507438543</v>
      </c>
      <c r="AP12" s="382">
        <f t="shared" si="18"/>
        <v>39.970745601859399</v>
      </c>
      <c r="AQ12" s="382">
        <f t="shared" si="19"/>
        <v>40.906200982235795</v>
      </c>
      <c r="AR12" s="382">
        <f t="shared" si="20"/>
        <v>40.906200982235795</v>
      </c>
      <c r="AS12" s="388" t="str">
        <f t="shared" ca="1" si="13"/>
        <v>-</v>
      </c>
      <c r="AT12" s="388" t="str">
        <f t="shared" ca="1" si="14"/>
        <v>-</v>
      </c>
      <c r="AU12" s="388" t="str">
        <f t="shared" ca="1" si="15"/>
        <v>-</v>
      </c>
      <c r="AV12" s="388" t="str">
        <f t="shared" ca="1" si="16"/>
        <v>-</v>
      </c>
      <c r="AW12" s="382" t="e">
        <f>#REF!*SIN(#REF!)</f>
        <v>#REF!</v>
      </c>
      <c r="AX12" s="382" t="e">
        <f>#REF!*SIN(#REF!)</f>
        <v>#REF!</v>
      </c>
      <c r="AY12" s="382"/>
      <c r="AZ12" s="382"/>
      <c r="BA12" s="388" t="str">
        <f t="shared" ca="1" si="21"/>
        <v>-</v>
      </c>
      <c r="BB12" s="388" t="str">
        <f t="shared" ca="1" si="22"/>
        <v>-</v>
      </c>
      <c r="BC12" s="388" t="str">
        <f t="shared" ca="1" si="23"/>
        <v>-</v>
      </c>
      <c r="BD12" s="388" t="str">
        <f t="shared" ca="1" si="24"/>
        <v>-</v>
      </c>
    </row>
    <row r="13" spans="1:56">
      <c r="A13" t="e">
        <f>IF(#REF!=0,A12,#REF!)</f>
        <v>#REF!</v>
      </c>
      <c r="C13" s="381" t="e">
        <f>#REF!</f>
        <v>#REF!</v>
      </c>
      <c r="D13" s="381" t="e">
        <f>#REF!</f>
        <v>#REF!</v>
      </c>
      <c r="E13" t="s">
        <v>133</v>
      </c>
      <c r="F13" t="s">
        <v>133</v>
      </c>
      <c r="G13" s="382" t="str">
        <f ca="1">IFERROR(C13*Changes!$B$1,"-")</f>
        <v>-</v>
      </c>
      <c r="H13" s="382" t="str">
        <f ca="1">IFERROR(D13*Changes!$B$1,"-")</f>
        <v>-</v>
      </c>
      <c r="I13" s="382" t="str">
        <f ca="1">IFERROR(E13*Changes!$B$1,"-")</f>
        <v>-</v>
      </c>
      <c r="J13" s="382" t="str">
        <f ca="1">IFERROR(F13*Changes!$B$1,"-")</f>
        <v>-</v>
      </c>
      <c r="K13" s="383" t="str">
        <f t="shared" ca="1" si="0"/>
        <v>-</v>
      </c>
      <c r="L13" s="383" t="str">
        <f t="shared" ca="1" si="1"/>
        <v>-</v>
      </c>
      <c r="M13" s="383" t="str">
        <f t="shared" ca="1" si="2"/>
        <v>-</v>
      </c>
      <c r="N13" s="383" t="str">
        <f t="shared" ca="1" si="3"/>
        <v>-</v>
      </c>
      <c r="O13" s="384">
        <f>[1]Particles!$B$13</f>
        <v>512373.33725154324</v>
      </c>
      <c r="P13" s="384">
        <f>[1]Particles!$B$5</f>
        <v>3152.8432598003224</v>
      </c>
      <c r="Q13" s="383">
        <f>IFERROR(VLOOKUP("s",[1]md!$A:$E,5,0)*14.3998434/U13*100,"-")</f>
        <v>1334.4525721534746</v>
      </c>
      <c r="R13" s="383">
        <f>IFERROR(VLOOKUP("s",[1]md!$A:$E,5,0)*14.3998434/V13*100,"-")</f>
        <v>1334.4601123127522</v>
      </c>
      <c r="S13" s="383">
        <f>IFERROR(VLOOKUP("s",[1]md!$A:$E,5,0)*14.3998434/W13*100,"-")</f>
        <v>1349.98531875</v>
      </c>
      <c r="T13" s="383">
        <f>IFERROR(VLOOKUP("s",[1]md!$A:$E,5,0)*14.3998434/X13*100,"-")</f>
        <v>1349.98531875</v>
      </c>
      <c r="U13" s="386">
        <v>2.4279354940067313</v>
      </c>
      <c r="V13" s="386">
        <v>2.4279217753349092</v>
      </c>
      <c r="W13" s="386">
        <v>2.4</v>
      </c>
      <c r="X13" s="386">
        <v>2.4</v>
      </c>
      <c r="Y13" s="382" t="str">
        <f t="shared" ca="1" si="4"/>
        <v>-</v>
      </c>
      <c r="Z13" s="382" t="str">
        <f t="shared" ca="1" si="5"/>
        <v>-</v>
      </c>
      <c r="AA13" s="382" t="str">
        <f t="shared" ca="1" si="6"/>
        <v>-</v>
      </c>
      <c r="AB13" s="382" t="str">
        <f t="shared" ca="1" si="7"/>
        <v>-</v>
      </c>
      <c r="AC13" s="382" t="str">
        <f ca="1">IFERROR(Changes!$B$2*Rotation!C13,"-")</f>
        <v>-</v>
      </c>
      <c r="AD13" s="382" t="str">
        <f ca="1">IFERROR(Changes!$B$2*Rotation!D13,"-")</f>
        <v>-</v>
      </c>
      <c r="AE13" s="382" t="str">
        <f ca="1">IFERROR(Changes!$B$2*Rotation!E13,"-")</f>
        <v>-</v>
      </c>
      <c r="AF13" s="382" t="str">
        <f ca="1">IFERROR(Changes!$B$2*Rotation!F13,"-")</f>
        <v>-</v>
      </c>
      <c r="AG13" s="382" t="e">
        <f ca="1">(AC13+AD13)*#REF!</f>
        <v>#VALUE!</v>
      </c>
      <c r="AH13" s="382" t="e">
        <f t="shared" ca="1" si="8"/>
        <v>#VALUE!</v>
      </c>
      <c r="AI13" s="382"/>
      <c r="AJ13" s="382"/>
      <c r="AK13" s="382">
        <f t="shared" si="9"/>
        <v>0.47769834169764946</v>
      </c>
      <c r="AL13" s="382">
        <f t="shared" si="10"/>
        <v>0.47770104087307036</v>
      </c>
      <c r="AM13" s="382">
        <f t="shared" si="11"/>
        <v>0.48325864968161619</v>
      </c>
      <c r="AN13" s="382">
        <f t="shared" si="12"/>
        <v>0.48325864968161619</v>
      </c>
      <c r="AO13" s="382">
        <f t="shared" si="17"/>
        <v>39.970294028203703</v>
      </c>
      <c r="AP13" s="382">
        <f t="shared" si="18"/>
        <v>39.970745723889408</v>
      </c>
      <c r="AQ13" s="382">
        <f t="shared" si="19"/>
        <v>40.906200982235795</v>
      </c>
      <c r="AR13" s="382">
        <f t="shared" si="20"/>
        <v>40.906200982235795</v>
      </c>
      <c r="AS13" s="388" t="str">
        <f t="shared" ca="1" si="13"/>
        <v>-</v>
      </c>
      <c r="AT13" s="388" t="str">
        <f t="shared" ca="1" si="14"/>
        <v>-</v>
      </c>
      <c r="AU13" s="388" t="str">
        <f t="shared" ca="1" si="15"/>
        <v>-</v>
      </c>
      <c r="AV13" s="388" t="str">
        <f t="shared" ca="1" si="16"/>
        <v>-</v>
      </c>
      <c r="AW13" s="382" t="e">
        <f>#REF!*SIN(#REF!)</f>
        <v>#REF!</v>
      </c>
      <c r="AX13" s="382" t="e">
        <f>#REF!*SIN(#REF!)</f>
        <v>#REF!</v>
      </c>
      <c r="AY13" s="382"/>
      <c r="AZ13" s="382"/>
      <c r="BA13" s="388" t="str">
        <f t="shared" ca="1" si="21"/>
        <v>-</v>
      </c>
      <c r="BB13" s="388" t="str">
        <f t="shared" ca="1" si="22"/>
        <v>-</v>
      </c>
      <c r="BC13" s="388" t="str">
        <f t="shared" ca="1" si="23"/>
        <v>-</v>
      </c>
      <c r="BD13" s="388" t="str">
        <f t="shared" ca="1" si="24"/>
        <v>-</v>
      </c>
    </row>
    <row r="14" spans="1:56">
      <c r="A14" t="e">
        <f>IF(#REF!=0,A13,#REF!)</f>
        <v>#REF!</v>
      </c>
      <c r="C14" s="381" t="e">
        <f>#REF!</f>
        <v>#REF!</v>
      </c>
      <c r="D14" s="381" t="e">
        <f>#REF!</f>
        <v>#REF!</v>
      </c>
      <c r="E14" t="s">
        <v>133</v>
      </c>
      <c r="F14" t="s">
        <v>133</v>
      </c>
      <c r="G14" s="382" t="str">
        <f ca="1">IFERROR(C14*Changes!$B$1,"-")</f>
        <v>-</v>
      </c>
      <c r="H14" s="382" t="str">
        <f ca="1">IFERROR(D14*Changes!$B$1,"-")</f>
        <v>-</v>
      </c>
      <c r="I14" s="382" t="str">
        <f ca="1">IFERROR(E14*Changes!$B$1,"-")</f>
        <v>-</v>
      </c>
      <c r="J14" s="382" t="str">
        <f ca="1">IFERROR(F14*Changes!$B$1,"-")</f>
        <v>-</v>
      </c>
      <c r="K14" s="383" t="str">
        <f t="shared" ca="1" si="0"/>
        <v>-</v>
      </c>
      <c r="L14" s="383" t="str">
        <f t="shared" ca="1" si="1"/>
        <v>-</v>
      </c>
      <c r="M14" s="383" t="str">
        <f t="shared" ca="1" si="2"/>
        <v>-</v>
      </c>
      <c r="N14" s="383" t="str">
        <f t="shared" ca="1" si="3"/>
        <v>-</v>
      </c>
      <c r="O14" s="384">
        <f>[1]Particles!$B$13</f>
        <v>512373.33725154324</v>
      </c>
      <c r="P14" s="384">
        <f>[1]Particles!$B$5</f>
        <v>3152.8432598003224</v>
      </c>
      <c r="Q14" s="383">
        <f>IFERROR(VLOOKUP("s",[1]md!$A:$E,5,0)*14.3998434/U14*100,"-")</f>
        <v>1334.4356709472033</v>
      </c>
      <c r="R14" s="383">
        <f>IFERROR(VLOOKUP("s",[1]md!$A:$E,5,0)*14.3998434/V14*100,"-")</f>
        <v>1334.4384199388535</v>
      </c>
      <c r="S14" s="383">
        <f>IFERROR(VLOOKUP("s",[1]md!$A:$E,5,0)*14.3998434/W14*100,"-")</f>
        <v>1349.98531875</v>
      </c>
      <c r="T14" s="383">
        <f>IFERROR(VLOOKUP("s",[1]md!$A:$E,5,0)*14.3998434/X14*100,"-")</f>
        <v>1349.98531875</v>
      </c>
      <c r="U14" s="386">
        <v>2.4279662448623109</v>
      </c>
      <c r="V14" s="386">
        <v>2.4279612431635931</v>
      </c>
      <c r="W14" s="386">
        <v>2.4</v>
      </c>
      <c r="X14" s="386">
        <v>2.4</v>
      </c>
      <c r="Y14" s="382" t="str">
        <f t="shared" ca="1" si="4"/>
        <v>-</v>
      </c>
      <c r="Z14" s="382" t="str">
        <f t="shared" ca="1" si="5"/>
        <v>-</v>
      </c>
      <c r="AA14" s="382" t="str">
        <f t="shared" ca="1" si="6"/>
        <v>-</v>
      </c>
      <c r="AB14" s="382" t="str">
        <f t="shared" ca="1" si="7"/>
        <v>-</v>
      </c>
      <c r="AC14" s="382" t="str">
        <f ca="1">IFERROR(Changes!$B$2*Rotation!C14,"-")</f>
        <v>-</v>
      </c>
      <c r="AD14" s="382" t="str">
        <f ca="1">IFERROR(Changes!$B$2*Rotation!D14,"-")</f>
        <v>-</v>
      </c>
      <c r="AE14" s="382" t="str">
        <f ca="1">IFERROR(Changes!$B$2*Rotation!E14,"-")</f>
        <v>-</v>
      </c>
      <c r="AF14" s="382" t="str">
        <f ca="1">IFERROR(Changes!$B$2*Rotation!F14,"-")</f>
        <v>-</v>
      </c>
      <c r="AG14" s="382" t="e">
        <f ca="1">(AC14+AD14)*#REF!</f>
        <v>#VALUE!</v>
      </c>
      <c r="AH14" s="382" t="e">
        <f t="shared" ca="1" si="8"/>
        <v>#VALUE!</v>
      </c>
      <c r="AI14" s="382"/>
      <c r="AJ14" s="382"/>
      <c r="AK14" s="382">
        <f t="shared" si="9"/>
        <v>0.47769229151769033</v>
      </c>
      <c r="AL14" s="382">
        <f t="shared" si="10"/>
        <v>0.47769327558320163</v>
      </c>
      <c r="AM14" s="382">
        <f t="shared" si="11"/>
        <v>0.48325864968161619</v>
      </c>
      <c r="AN14" s="382">
        <f t="shared" si="12"/>
        <v>0.48325864968161619</v>
      </c>
      <c r="AO14" s="382">
        <f t="shared" si="17"/>
        <v>39.969281565235441</v>
      </c>
      <c r="AP14" s="382">
        <f t="shared" si="18"/>
        <v>39.969446242090022</v>
      </c>
      <c r="AQ14" s="382">
        <f t="shared" si="19"/>
        <v>40.906200982235795</v>
      </c>
      <c r="AR14" s="382">
        <f t="shared" si="20"/>
        <v>40.906200982235795</v>
      </c>
      <c r="AS14" s="388" t="str">
        <f t="shared" ca="1" si="13"/>
        <v>-</v>
      </c>
      <c r="AT14" s="388" t="str">
        <f t="shared" ca="1" si="14"/>
        <v>-</v>
      </c>
      <c r="AU14" s="388" t="str">
        <f t="shared" ca="1" si="15"/>
        <v>-</v>
      </c>
      <c r="AV14" s="388" t="str">
        <f t="shared" ca="1" si="16"/>
        <v>-</v>
      </c>
      <c r="AW14" s="382" t="e">
        <f>#REF!*SIN(#REF!)</f>
        <v>#REF!</v>
      </c>
      <c r="AX14" s="382" t="e">
        <f>#REF!*SIN(#REF!)</f>
        <v>#REF!</v>
      </c>
      <c r="AY14" s="382"/>
      <c r="AZ14" s="382"/>
      <c r="BA14" s="388" t="str">
        <f t="shared" ca="1" si="21"/>
        <v>-</v>
      </c>
      <c r="BB14" s="388" t="str">
        <f t="shared" ca="1" si="22"/>
        <v>-</v>
      </c>
      <c r="BC14" s="388" t="str">
        <f t="shared" ca="1" si="23"/>
        <v>-</v>
      </c>
      <c r="BD14" s="388" t="str">
        <f t="shared" ca="1" si="24"/>
        <v>-</v>
      </c>
    </row>
    <row r="15" spans="1:56">
      <c r="A15" t="e">
        <f>IF(#REF!=0,A14,#REF!)</f>
        <v>#REF!</v>
      </c>
      <c r="C15" s="381" t="e">
        <f>#REF!</f>
        <v>#REF!</v>
      </c>
      <c r="D15" s="381" t="e">
        <f>#REF!</f>
        <v>#REF!</v>
      </c>
      <c r="E15" t="s">
        <v>133</v>
      </c>
      <c r="F15" t="s">
        <v>133</v>
      </c>
      <c r="G15" s="382" t="str">
        <f ca="1">IFERROR(C15*Changes!$B$1,"-")</f>
        <v>-</v>
      </c>
      <c r="H15" s="382" t="str">
        <f ca="1">IFERROR(D15*Changes!$B$1,"-")</f>
        <v>-</v>
      </c>
      <c r="I15" s="382" t="str">
        <f ca="1">IFERROR(E15*Changes!$B$1,"-")</f>
        <v>-</v>
      </c>
      <c r="J15" s="382" t="str">
        <f ca="1">IFERROR(F15*Changes!$B$1,"-")</f>
        <v>-</v>
      </c>
      <c r="K15" s="383" t="str">
        <f t="shared" ca="1" si="0"/>
        <v>-</v>
      </c>
      <c r="L15" s="383" t="str">
        <f t="shared" ca="1" si="1"/>
        <v>-</v>
      </c>
      <c r="M15" s="383" t="str">
        <f t="shared" ca="1" si="2"/>
        <v>-</v>
      </c>
      <c r="N15" s="383" t="str">
        <f t="shared" ca="1" si="3"/>
        <v>-</v>
      </c>
      <c r="O15" s="384">
        <f>[1]Particles!$B$13</f>
        <v>512373.33725154324</v>
      </c>
      <c r="P15" s="384">
        <f>[1]Particles!$B$5</f>
        <v>3152.8432598003224</v>
      </c>
      <c r="Q15" s="383">
        <f>IFERROR(VLOOKUP("s",[1]md!$A:$E,5,0)*14.3998434/U15*100,"-")</f>
        <v>1334.4359652209032</v>
      </c>
      <c r="R15" s="383">
        <f>IFERROR(VLOOKUP("s",[1]md!$A:$E,5,0)*14.3998434/V15*100,"-")</f>
        <v>1334.4384599742104</v>
      </c>
      <c r="S15" s="383">
        <f>IFERROR(VLOOKUP("s",[1]md!$A:$E,5,0)*14.3998434/W15*100,"-")</f>
        <v>1349.98531875</v>
      </c>
      <c r="T15" s="383">
        <f>IFERROR(VLOOKUP("s",[1]md!$A:$E,5,0)*14.3998434/X15*100,"-")</f>
        <v>1349.98531875</v>
      </c>
      <c r="U15" s="386">
        <v>2.4279657094401337</v>
      </c>
      <c r="V15" s="386">
        <v>2.4279611703207475</v>
      </c>
      <c r="W15" s="386">
        <v>2.4</v>
      </c>
      <c r="X15" s="386">
        <v>2.4</v>
      </c>
      <c r="Y15" s="382" t="str">
        <f t="shared" ca="1" si="4"/>
        <v>-</v>
      </c>
      <c r="Z15" s="382" t="str">
        <f t="shared" ca="1" si="5"/>
        <v>-</v>
      </c>
      <c r="AA15" s="382" t="str">
        <f t="shared" ca="1" si="6"/>
        <v>-</v>
      </c>
      <c r="AB15" s="382" t="str">
        <f t="shared" ca="1" si="7"/>
        <v>-</v>
      </c>
      <c r="AC15" s="382" t="str">
        <f ca="1">IFERROR(Changes!$B$2*Rotation!C15,"-")</f>
        <v>-</v>
      </c>
      <c r="AD15" s="382" t="str">
        <f ca="1">IFERROR(Changes!$B$2*Rotation!D15,"-")</f>
        <v>-</v>
      </c>
      <c r="AE15" s="382" t="str">
        <f ca="1">IFERROR(Changes!$B$2*Rotation!E15,"-")</f>
        <v>-</v>
      </c>
      <c r="AF15" s="382" t="str">
        <f ca="1">IFERROR(Changes!$B$2*Rotation!F15,"-")</f>
        <v>-</v>
      </c>
      <c r="AG15" s="382" t="e">
        <f ca="1">(AC15+AD15)*#REF!</f>
        <v>#VALUE!</v>
      </c>
      <c r="AH15" s="382" t="e">
        <f t="shared" ca="1" si="8"/>
        <v>#VALUE!</v>
      </c>
      <c r="AI15" s="382"/>
      <c r="AJ15" s="382"/>
      <c r="AK15" s="382">
        <f t="shared" si="9"/>
        <v>0.47769239685980697</v>
      </c>
      <c r="AL15" s="382">
        <f t="shared" si="10"/>
        <v>0.47769328991478893</v>
      </c>
      <c r="AM15" s="382">
        <f t="shared" si="11"/>
        <v>0.48325864968161619</v>
      </c>
      <c r="AN15" s="382">
        <f t="shared" si="12"/>
        <v>0.48325864968161619</v>
      </c>
      <c r="AO15" s="382">
        <f t="shared" si="17"/>
        <v>39.9692991935257</v>
      </c>
      <c r="AP15" s="382">
        <f t="shared" si="18"/>
        <v>39.969448640388876</v>
      </c>
      <c r="AQ15" s="382">
        <f t="shared" si="19"/>
        <v>40.906200982235795</v>
      </c>
      <c r="AR15" s="382">
        <f t="shared" si="20"/>
        <v>40.906200982235795</v>
      </c>
      <c r="AS15" s="388" t="str">
        <f t="shared" ca="1" si="13"/>
        <v>-</v>
      </c>
      <c r="AT15" s="388" t="str">
        <f t="shared" ca="1" si="14"/>
        <v>-</v>
      </c>
      <c r="AU15" s="388" t="str">
        <f t="shared" ca="1" si="15"/>
        <v>-</v>
      </c>
      <c r="AV15" s="388" t="str">
        <f t="shared" ca="1" si="16"/>
        <v>-</v>
      </c>
      <c r="AW15" s="382" t="e">
        <f>#REF!*SIN(#REF!)</f>
        <v>#REF!</v>
      </c>
      <c r="AX15" s="382" t="e">
        <f>#REF!*SIN(#REF!)</f>
        <v>#REF!</v>
      </c>
      <c r="AY15" s="382"/>
      <c r="AZ15" s="382"/>
      <c r="BA15" s="388" t="str">
        <f t="shared" ca="1" si="21"/>
        <v>-</v>
      </c>
      <c r="BB15" s="388" t="str">
        <f t="shared" ca="1" si="22"/>
        <v>-</v>
      </c>
      <c r="BC15" s="388" t="str">
        <f t="shared" ca="1" si="23"/>
        <v>-</v>
      </c>
      <c r="BD15" s="388" t="str">
        <f t="shared" ca="1" si="24"/>
        <v>-</v>
      </c>
    </row>
    <row r="16" spans="1:56">
      <c r="A16" t="e">
        <f>IF(#REF!=0,A15,#REF!)</f>
        <v>#REF!</v>
      </c>
      <c r="C16" s="381" t="e">
        <f>#REF!</f>
        <v>#REF!</v>
      </c>
      <c r="D16" s="381" t="e">
        <f>#REF!</f>
        <v>#REF!</v>
      </c>
      <c r="E16" t="s">
        <v>133</v>
      </c>
      <c r="F16" t="s">
        <v>133</v>
      </c>
      <c r="G16" s="382" t="str">
        <f ca="1">IFERROR(C16*Changes!$B$1,"-")</f>
        <v>-</v>
      </c>
      <c r="H16" s="382" t="str">
        <f ca="1">IFERROR(D16*Changes!$B$1,"-")</f>
        <v>-</v>
      </c>
      <c r="I16" s="382" t="str">
        <f ca="1">IFERROR(E16*Changes!$B$1,"-")</f>
        <v>-</v>
      </c>
      <c r="J16" s="382" t="str">
        <f ca="1">IFERROR(F16*Changes!$B$1,"-")</f>
        <v>-</v>
      </c>
      <c r="K16" s="383" t="str">
        <f t="shared" ca="1" si="0"/>
        <v>-</v>
      </c>
      <c r="L16" s="383" t="str">
        <f t="shared" ca="1" si="1"/>
        <v>-</v>
      </c>
      <c r="M16" s="383" t="str">
        <f t="shared" ca="1" si="2"/>
        <v>-</v>
      </c>
      <c r="N16" s="383" t="str">
        <f t="shared" ca="1" si="3"/>
        <v>-</v>
      </c>
      <c r="O16" s="384">
        <f>[1]Particles!$B$13</f>
        <v>512373.33725154324</v>
      </c>
      <c r="P16" s="384">
        <f>[1]Particles!$B$5</f>
        <v>3152.8432598003224</v>
      </c>
      <c r="Q16" s="383">
        <f>IFERROR(VLOOKUP("s",[1]md!$A:$E,5,0)*14.3998434/U16*100,"-")</f>
        <v>1334.435389694464</v>
      </c>
      <c r="R16" s="383">
        <f>IFERROR(VLOOKUP("s",[1]md!$A:$E,5,0)*14.3998434/V16*100,"-")</f>
        <v>1334.4372180656189</v>
      </c>
      <c r="S16" s="383">
        <f>IFERROR(VLOOKUP("s",[1]md!$A:$E,5,0)*14.3998434/W16*100,"-")</f>
        <v>1349.98531875</v>
      </c>
      <c r="T16" s="383">
        <f>IFERROR(VLOOKUP("s",[1]md!$A:$E,5,0)*14.3998434/X16*100,"-")</f>
        <v>1349.98531875</v>
      </c>
      <c r="U16" s="386">
        <v>2.4279667565934617</v>
      </c>
      <c r="V16" s="386">
        <v>2.4279634299293646</v>
      </c>
      <c r="W16" s="386">
        <v>2.4</v>
      </c>
      <c r="X16" s="386">
        <v>2.4</v>
      </c>
      <c r="Y16" s="382" t="str">
        <f t="shared" ca="1" si="4"/>
        <v>-</v>
      </c>
      <c r="Z16" s="382" t="str">
        <f t="shared" ca="1" si="5"/>
        <v>-</v>
      </c>
      <c r="AA16" s="382" t="str">
        <f t="shared" ca="1" si="6"/>
        <v>-</v>
      </c>
      <c r="AB16" s="382" t="str">
        <f t="shared" ca="1" si="7"/>
        <v>-</v>
      </c>
      <c r="AC16" s="382" t="str">
        <f ca="1">IFERROR(Changes!$B$2*Rotation!C16,"-")</f>
        <v>-</v>
      </c>
      <c r="AD16" s="382" t="str">
        <f ca="1">IFERROR(Changes!$B$2*Rotation!D16,"-")</f>
        <v>-</v>
      </c>
      <c r="AE16" s="382" t="str">
        <f ca="1">IFERROR(Changes!$B$2*Rotation!E16,"-")</f>
        <v>-</v>
      </c>
      <c r="AF16" s="382" t="str">
        <f ca="1">IFERROR(Changes!$B$2*Rotation!F16,"-")</f>
        <v>-</v>
      </c>
      <c r="AG16" s="382" t="e">
        <f ca="1">(AC16+AD16)*#REF!</f>
        <v>#VALUE!</v>
      </c>
      <c r="AH16" s="382" t="e">
        <f t="shared" ca="1" si="8"/>
        <v>#VALUE!</v>
      </c>
      <c r="AI16" s="382"/>
      <c r="AJ16" s="382"/>
      <c r="AK16" s="382">
        <f t="shared" si="9"/>
        <v>0.47769219083672942</v>
      </c>
      <c r="AL16" s="382">
        <f t="shared" si="10"/>
        <v>0.4776928453447179</v>
      </c>
      <c r="AM16" s="382">
        <f t="shared" si="11"/>
        <v>0.48325864968161619</v>
      </c>
      <c r="AN16" s="382">
        <f t="shared" si="12"/>
        <v>0.48325864968161619</v>
      </c>
      <c r="AO16" s="382">
        <f t="shared" si="17"/>
        <v>39.969264716961682</v>
      </c>
      <c r="AP16" s="382">
        <f t="shared" si="18"/>
        <v>39.969374244483689</v>
      </c>
      <c r="AQ16" s="382">
        <f t="shared" si="19"/>
        <v>40.906200982235795</v>
      </c>
      <c r="AR16" s="382">
        <f t="shared" si="20"/>
        <v>40.906200982235795</v>
      </c>
      <c r="AS16" s="388" t="str">
        <f t="shared" ca="1" si="13"/>
        <v>-</v>
      </c>
      <c r="AT16" s="388" t="str">
        <f t="shared" ca="1" si="14"/>
        <v>-</v>
      </c>
      <c r="AU16" s="388" t="str">
        <f t="shared" ca="1" si="15"/>
        <v>-</v>
      </c>
      <c r="AV16" s="388" t="str">
        <f t="shared" ca="1" si="16"/>
        <v>-</v>
      </c>
      <c r="AW16" s="382" t="e">
        <f>#REF!*SIN(#REF!)</f>
        <v>#REF!</v>
      </c>
      <c r="AX16" s="382" t="e">
        <f>#REF!*SIN(#REF!)</f>
        <v>#REF!</v>
      </c>
      <c r="AY16" s="382"/>
      <c r="AZ16" s="382"/>
      <c r="BA16" s="388" t="str">
        <f t="shared" ca="1" si="21"/>
        <v>-</v>
      </c>
      <c r="BB16" s="388" t="str">
        <f t="shared" ca="1" si="22"/>
        <v>-</v>
      </c>
      <c r="BC16" s="388" t="str">
        <f t="shared" ca="1" si="23"/>
        <v>-</v>
      </c>
      <c r="BD16" s="388" t="str">
        <f t="shared" ca="1" si="24"/>
        <v>-</v>
      </c>
    </row>
    <row r="17" spans="1:56">
      <c r="A17" t="e">
        <f>IF(#REF!=0,A16,#REF!)</f>
        <v>#REF!</v>
      </c>
      <c r="C17" s="381" t="e">
        <f>#REF!</f>
        <v>#REF!</v>
      </c>
      <c r="D17" s="381" t="e">
        <f>#REF!</f>
        <v>#REF!</v>
      </c>
      <c r="E17" t="s">
        <v>133</v>
      </c>
      <c r="F17" t="s">
        <v>133</v>
      </c>
      <c r="G17" s="382" t="str">
        <f ca="1">IFERROR(C17*Changes!$B$1,"-")</f>
        <v>-</v>
      </c>
      <c r="H17" s="382" t="str">
        <f ca="1">IFERROR(D17*Changes!$B$1,"-")</f>
        <v>-</v>
      </c>
      <c r="I17" s="382" t="str">
        <f ca="1">IFERROR(E17*Changes!$B$1,"-")</f>
        <v>-</v>
      </c>
      <c r="J17" s="382" t="str">
        <f ca="1">IFERROR(F17*Changes!$B$1,"-")</f>
        <v>-</v>
      </c>
      <c r="K17" s="383" t="str">
        <f t="shared" ca="1" si="0"/>
        <v>-</v>
      </c>
      <c r="L17" s="383" t="str">
        <f t="shared" ca="1" si="1"/>
        <v>-</v>
      </c>
      <c r="M17" s="383" t="str">
        <f t="shared" ca="1" si="2"/>
        <v>-</v>
      </c>
      <c r="N17" s="383" t="str">
        <f t="shared" ca="1" si="3"/>
        <v>-</v>
      </c>
      <c r="O17" s="384">
        <f>[1]Particles!$B$13</f>
        <v>512373.33725154324</v>
      </c>
      <c r="P17" s="384">
        <f>[1]Particles!$B$5</f>
        <v>3152.8432598003224</v>
      </c>
      <c r="Q17" s="383">
        <f>IFERROR(VLOOKUP("s",[1]md!$A:$E,5,0)*14.3998434/U17*100,"-")</f>
        <v>1334.435389694464</v>
      </c>
      <c r="R17" s="383">
        <f>IFERROR(VLOOKUP("s",[1]md!$A:$E,5,0)*14.3998434/V17*100,"-")</f>
        <v>1334.4372543174209</v>
      </c>
      <c r="S17" s="383">
        <f>IFERROR(VLOOKUP("s",[1]md!$A:$E,5,0)*14.3998434/W17*100,"-")</f>
        <v>1349.98531875</v>
      </c>
      <c r="T17" s="383">
        <f>IFERROR(VLOOKUP("s",[1]md!$A:$E,5,0)*14.3998434/X17*100,"-")</f>
        <v>1349.98531875</v>
      </c>
      <c r="U17" s="386">
        <v>2.4279667565934617</v>
      </c>
      <c r="V17" s="386">
        <v>2.4279633639704379</v>
      </c>
      <c r="W17" s="386">
        <v>2.4</v>
      </c>
      <c r="X17" s="386">
        <v>2.4</v>
      </c>
      <c r="Y17" s="382" t="str">
        <f t="shared" ca="1" si="4"/>
        <v>-</v>
      </c>
      <c r="Z17" s="382" t="str">
        <f t="shared" ca="1" si="5"/>
        <v>-</v>
      </c>
      <c r="AA17" s="382" t="str">
        <f t="shared" ca="1" si="6"/>
        <v>-</v>
      </c>
      <c r="AB17" s="382" t="str">
        <f t="shared" ca="1" si="7"/>
        <v>-</v>
      </c>
      <c r="AC17" s="382" t="str">
        <f ca="1">IFERROR(Changes!$B$2*Rotation!C17,"-")</f>
        <v>-</v>
      </c>
      <c r="AD17" s="382" t="str">
        <f ca="1">IFERROR(Changes!$B$2*Rotation!D17,"-")</f>
        <v>-</v>
      </c>
      <c r="AE17" s="382" t="str">
        <f ca="1">IFERROR(Changes!$B$2*Rotation!E17,"-")</f>
        <v>-</v>
      </c>
      <c r="AF17" s="382" t="str">
        <f ca="1">IFERROR(Changes!$B$2*Rotation!F17,"-")</f>
        <v>-</v>
      </c>
      <c r="AG17" s="382" t="e">
        <f ca="1">(AC17+AD17)*#REF!</f>
        <v>#VALUE!</v>
      </c>
      <c r="AH17" s="382" t="e">
        <f t="shared" ca="1" si="8"/>
        <v>#VALUE!</v>
      </c>
      <c r="AI17" s="382"/>
      <c r="AJ17" s="382"/>
      <c r="AK17" s="382">
        <f t="shared" si="9"/>
        <v>0.47769219083672942</v>
      </c>
      <c r="AL17" s="382">
        <f t="shared" si="10"/>
        <v>0.47769285832189373</v>
      </c>
      <c r="AM17" s="382">
        <f t="shared" si="11"/>
        <v>0.48325864968161619</v>
      </c>
      <c r="AN17" s="382">
        <f t="shared" si="12"/>
        <v>0.48325864968161619</v>
      </c>
      <c r="AO17" s="382">
        <f t="shared" si="17"/>
        <v>39.969264716961682</v>
      </c>
      <c r="AP17" s="382">
        <f t="shared" si="18"/>
        <v>39.96937641612854</v>
      </c>
      <c r="AQ17" s="382">
        <f t="shared" si="19"/>
        <v>40.906200982235795</v>
      </c>
      <c r="AR17" s="382">
        <f t="shared" si="20"/>
        <v>40.906200982235795</v>
      </c>
      <c r="AS17" s="388" t="str">
        <f t="shared" ca="1" si="13"/>
        <v>-</v>
      </c>
      <c r="AT17" s="388" t="str">
        <f t="shared" ca="1" si="14"/>
        <v>-</v>
      </c>
      <c r="AU17" s="388" t="str">
        <f t="shared" ca="1" si="15"/>
        <v>-</v>
      </c>
      <c r="AV17" s="388" t="str">
        <f t="shared" ca="1" si="16"/>
        <v>-</v>
      </c>
      <c r="AW17" s="382" t="e">
        <f>#REF!*SIN(#REF!)</f>
        <v>#REF!</v>
      </c>
      <c r="AX17" s="382" t="e">
        <f>#REF!*SIN(#REF!)</f>
        <v>#REF!</v>
      </c>
      <c r="AY17" s="382"/>
      <c r="AZ17" s="382"/>
      <c r="BA17" s="388" t="str">
        <f t="shared" ca="1" si="21"/>
        <v>-</v>
      </c>
      <c r="BB17" s="388" t="str">
        <f t="shared" ca="1" si="22"/>
        <v>-</v>
      </c>
      <c r="BC17" s="388" t="str">
        <f t="shared" ca="1" si="23"/>
        <v>-</v>
      </c>
      <c r="BD17" s="388" t="str">
        <f t="shared" ca="1" si="24"/>
        <v>-</v>
      </c>
    </row>
    <row r="18" spans="1:56">
      <c r="A18" t="e">
        <f>IF(#REF!=0,A17,#REF!)</f>
        <v>#REF!</v>
      </c>
      <c r="C18" s="381" t="e">
        <f>#REF!</f>
        <v>#REF!</v>
      </c>
      <c r="D18" s="381" t="e">
        <f>#REF!</f>
        <v>#REF!</v>
      </c>
      <c r="E18" t="s">
        <v>133</v>
      </c>
      <c r="F18" t="s">
        <v>133</v>
      </c>
      <c r="G18" s="382" t="str">
        <f ca="1">IFERROR(C18*Changes!$B$1,"-")</f>
        <v>-</v>
      </c>
      <c r="H18" s="382" t="str">
        <f ca="1">IFERROR(D18*Changes!$B$1,"-")</f>
        <v>-</v>
      </c>
      <c r="I18" s="382" t="str">
        <f ca="1">IFERROR(E18*Changes!$B$1,"-")</f>
        <v>-</v>
      </c>
      <c r="J18" s="382" t="str">
        <f ca="1">IFERROR(F18*Changes!$B$1,"-")</f>
        <v>-</v>
      </c>
      <c r="K18" s="383" t="str">
        <f t="shared" ca="1" si="0"/>
        <v>-</v>
      </c>
      <c r="L18" s="383" t="str">
        <f t="shared" ca="1" si="1"/>
        <v>-</v>
      </c>
      <c r="M18" s="383" t="str">
        <f t="shared" ca="1" si="2"/>
        <v>-</v>
      </c>
      <c r="N18" s="383" t="str">
        <f t="shared" ca="1" si="3"/>
        <v>-</v>
      </c>
      <c r="O18" s="384">
        <f>[1]Particles!$B$13</f>
        <v>512373.33725154324</v>
      </c>
      <c r="P18" s="384">
        <f>[1]Particles!$B$5</f>
        <v>3152.8432598003224</v>
      </c>
      <c r="Q18" s="383">
        <f>IFERROR(VLOOKUP("s",[1]md!$A:$E,5,0)*14.3998434/U18*100,"-")</f>
        <v>1334.433066755171</v>
      </c>
      <c r="R18" s="383">
        <f>IFERROR(VLOOKUP("s",[1]md!$A:$E,5,0)*14.3998434/V18*100,"-")</f>
        <v>1334.4348209260793</v>
      </c>
      <c r="S18" s="383">
        <f>IFERROR(VLOOKUP("s",[1]md!$A:$E,5,0)*14.3998434/W18*100,"-")</f>
        <v>1349.98531875</v>
      </c>
      <c r="T18" s="383">
        <f>IFERROR(VLOOKUP("s",[1]md!$A:$E,5,0)*14.3998434/X18*100,"-")</f>
        <v>1349.98531875</v>
      </c>
      <c r="U18" s="386">
        <v>2.4279709831219565</v>
      </c>
      <c r="V18" s="386">
        <v>2.4279677914515969</v>
      </c>
      <c r="W18" s="386">
        <v>2.4</v>
      </c>
      <c r="X18" s="386">
        <v>2.4</v>
      </c>
      <c r="Y18" s="382" t="str">
        <f t="shared" ca="1" si="4"/>
        <v>-</v>
      </c>
      <c r="Z18" s="382" t="str">
        <f t="shared" ca="1" si="5"/>
        <v>-</v>
      </c>
      <c r="AA18" s="382" t="str">
        <f t="shared" ca="1" si="6"/>
        <v>-</v>
      </c>
      <c r="AB18" s="382" t="str">
        <f t="shared" ca="1" si="7"/>
        <v>-</v>
      </c>
      <c r="AC18" s="382" t="str">
        <f ca="1">IFERROR(Changes!$B$2*Rotation!C18,"-")</f>
        <v>-</v>
      </c>
      <c r="AD18" s="382" t="str">
        <f ca="1">IFERROR(Changes!$B$2*Rotation!D18,"-")</f>
        <v>-</v>
      </c>
      <c r="AE18" s="382" t="str">
        <f ca="1">IFERROR(Changes!$B$2*Rotation!E18,"-")</f>
        <v>-</v>
      </c>
      <c r="AF18" s="382" t="str">
        <f ca="1">IFERROR(Changes!$B$2*Rotation!F18,"-")</f>
        <v>-</v>
      </c>
      <c r="AG18" s="382" t="e">
        <f ca="1">(AC18+AD18)*#REF!</f>
        <v>#VALUE!</v>
      </c>
      <c r="AH18" s="382" t="e">
        <f t="shared" ca="1" si="8"/>
        <v>#VALUE!</v>
      </c>
      <c r="AI18" s="382"/>
      <c r="AJ18" s="382"/>
      <c r="AK18" s="382">
        <f t="shared" si="9"/>
        <v>0.47769135928657069</v>
      </c>
      <c r="AL18" s="382">
        <f t="shared" si="10"/>
        <v>0.47769198723285483</v>
      </c>
      <c r="AM18" s="382">
        <f t="shared" si="11"/>
        <v>0.48325864968161619</v>
      </c>
      <c r="AN18" s="382">
        <f t="shared" si="12"/>
        <v>0.48325864968161619</v>
      </c>
      <c r="AO18" s="382">
        <f t="shared" si="17"/>
        <v>39.969125562836368</v>
      </c>
      <c r="AP18" s="382">
        <f t="shared" si="18"/>
        <v>39.969230645249461</v>
      </c>
      <c r="AQ18" s="382">
        <f t="shared" si="19"/>
        <v>40.906200982235795</v>
      </c>
      <c r="AR18" s="382">
        <f t="shared" si="20"/>
        <v>40.906200982235795</v>
      </c>
      <c r="AS18" s="388" t="str">
        <f t="shared" ca="1" si="13"/>
        <v>-</v>
      </c>
      <c r="AT18" s="388" t="str">
        <f t="shared" ca="1" si="14"/>
        <v>-</v>
      </c>
      <c r="AU18" s="388" t="str">
        <f t="shared" ca="1" si="15"/>
        <v>-</v>
      </c>
      <c r="AV18" s="388" t="str">
        <f t="shared" ca="1" si="16"/>
        <v>-</v>
      </c>
      <c r="AW18" s="382" t="e">
        <f>#REF!*SIN(#REF!)</f>
        <v>#REF!</v>
      </c>
      <c r="AX18" s="382" t="e">
        <f>#REF!*SIN(#REF!)</f>
        <v>#REF!</v>
      </c>
      <c r="AY18" s="382"/>
      <c r="AZ18" s="382"/>
      <c r="BA18" s="388" t="str">
        <f t="shared" ca="1" si="21"/>
        <v>-</v>
      </c>
      <c r="BB18" s="388" t="str">
        <f t="shared" ca="1" si="22"/>
        <v>-</v>
      </c>
      <c r="BC18" s="388" t="str">
        <f t="shared" ca="1" si="23"/>
        <v>-</v>
      </c>
      <c r="BD18" s="388" t="str">
        <f t="shared" ca="1" si="24"/>
        <v>-</v>
      </c>
    </row>
    <row r="19" spans="1:56">
      <c r="A19" t="e">
        <f>IF(#REF!=0,A18,#REF!)</f>
        <v>#REF!</v>
      </c>
      <c r="C19" s="381" t="e">
        <f>#REF!</f>
        <v>#REF!</v>
      </c>
      <c r="D19" s="381" t="e">
        <f>#REF!</f>
        <v>#REF!</v>
      </c>
      <c r="E19" t="s">
        <v>133</v>
      </c>
      <c r="F19" t="s">
        <v>133</v>
      </c>
      <c r="G19" s="382" t="str">
        <f ca="1">IFERROR(C19*Changes!$B$1,"-")</f>
        <v>-</v>
      </c>
      <c r="H19" s="382" t="str">
        <f ca="1">IFERROR(D19*Changes!$B$1,"-")</f>
        <v>-</v>
      </c>
      <c r="I19" s="382" t="str">
        <f ca="1">IFERROR(E19*Changes!$B$1,"-")</f>
        <v>-</v>
      </c>
      <c r="J19" s="382" t="str">
        <f ca="1">IFERROR(F19*Changes!$B$1,"-")</f>
        <v>-</v>
      </c>
      <c r="K19" s="383" t="str">
        <f t="shared" ca="1" si="0"/>
        <v>-</v>
      </c>
      <c r="L19" s="383" t="str">
        <f t="shared" ca="1" si="1"/>
        <v>-</v>
      </c>
      <c r="M19" s="383" t="str">
        <f t="shared" ca="1" si="2"/>
        <v>-</v>
      </c>
      <c r="N19" s="383" t="str">
        <f t="shared" ca="1" si="3"/>
        <v>-</v>
      </c>
      <c r="O19" s="384">
        <f>[1]Particles!$B$13</f>
        <v>512373.33725154324</v>
      </c>
      <c r="P19" s="384">
        <f>[1]Particles!$B$5</f>
        <v>3152.8432598003224</v>
      </c>
      <c r="Q19" s="383">
        <f>IFERROR(VLOOKUP("s",[1]md!$A:$E,5,0)*14.3998434/U19*100,"-")</f>
        <v>1334.4316084076324</v>
      </c>
      <c r="R19" s="383">
        <f>IFERROR(VLOOKUP("s",[1]md!$A:$E,5,0)*14.3998434/V19*100,"-")</f>
        <v>1334.4344944896982</v>
      </c>
      <c r="S19" s="383">
        <f>IFERROR(VLOOKUP("s",[1]md!$A:$E,5,0)*14.3998434/W19*100,"-")</f>
        <v>1349.98531875</v>
      </c>
      <c r="T19" s="383">
        <f>IFERROR(VLOOKUP("s",[1]md!$A:$E,5,0)*14.3998434/X19*100,"-")</f>
        <v>1349.98531875</v>
      </c>
      <c r="U19" s="386">
        <v>2.427973636555437</v>
      </c>
      <c r="V19" s="386">
        <v>2.4279683853938416</v>
      </c>
      <c r="W19" s="386">
        <v>2.4</v>
      </c>
      <c r="X19" s="386">
        <v>2.4</v>
      </c>
      <c r="Y19" s="382" t="str">
        <f t="shared" ca="1" si="4"/>
        <v>-</v>
      </c>
      <c r="Z19" s="382" t="str">
        <f t="shared" ca="1" si="5"/>
        <v>-</v>
      </c>
      <c r="AA19" s="382" t="str">
        <f t="shared" ca="1" si="6"/>
        <v>-</v>
      </c>
      <c r="AB19" s="382" t="str">
        <f t="shared" ca="1" si="7"/>
        <v>-</v>
      </c>
      <c r="AC19" s="382" t="str">
        <f ca="1">IFERROR(Changes!$B$2*Rotation!C19,"-")</f>
        <v>-</v>
      </c>
      <c r="AD19" s="382" t="str">
        <f ca="1">IFERROR(Changes!$B$2*Rotation!D19,"-")</f>
        <v>-</v>
      </c>
      <c r="AE19" s="382" t="str">
        <f ca="1">IFERROR(Changes!$B$2*Rotation!E19,"-")</f>
        <v>-</v>
      </c>
      <c r="AF19" s="382" t="str">
        <f ca="1">IFERROR(Changes!$B$2*Rotation!F19,"-")</f>
        <v>-</v>
      </c>
      <c r="AG19" s="382" t="e">
        <f ca="1">(AC19+AD19)*#REF!</f>
        <v>#VALUE!</v>
      </c>
      <c r="AH19" s="382" t="e">
        <f t="shared" ca="1" si="8"/>
        <v>#VALUE!</v>
      </c>
      <c r="AI19" s="382"/>
      <c r="AJ19" s="382"/>
      <c r="AK19" s="382">
        <f t="shared" si="9"/>
        <v>0.47769083723714367</v>
      </c>
      <c r="AL19" s="382">
        <f t="shared" si="10"/>
        <v>0.47769187037735833</v>
      </c>
      <c r="AM19" s="382">
        <f t="shared" si="11"/>
        <v>0.48325864968161619</v>
      </c>
      <c r="AN19" s="382">
        <f t="shared" si="12"/>
        <v>0.48325864968161619</v>
      </c>
      <c r="AO19" s="382">
        <f t="shared" si="17"/>
        <v>39.969038201625864</v>
      </c>
      <c r="AP19" s="382">
        <f t="shared" si="18"/>
        <v>39.969211090290017</v>
      </c>
      <c r="AQ19" s="382">
        <f t="shared" si="19"/>
        <v>40.906200982235795</v>
      </c>
      <c r="AR19" s="382">
        <f t="shared" si="20"/>
        <v>40.906200982235795</v>
      </c>
      <c r="AS19" s="388" t="str">
        <f t="shared" ca="1" si="13"/>
        <v>-</v>
      </c>
      <c r="AT19" s="388" t="str">
        <f t="shared" ca="1" si="14"/>
        <v>-</v>
      </c>
      <c r="AU19" s="388" t="str">
        <f t="shared" ca="1" si="15"/>
        <v>-</v>
      </c>
      <c r="AV19" s="388" t="str">
        <f t="shared" ca="1" si="16"/>
        <v>-</v>
      </c>
      <c r="AW19" s="382" t="e">
        <f>#REF!*SIN(#REF!)</f>
        <v>#REF!</v>
      </c>
      <c r="AX19" s="382" t="e">
        <f>#REF!*SIN(#REF!)</f>
        <v>#REF!</v>
      </c>
      <c r="AY19" s="382"/>
      <c r="AZ19" s="382"/>
      <c r="BA19" s="388" t="str">
        <f t="shared" ca="1" si="21"/>
        <v>-</v>
      </c>
      <c r="BB19" s="388" t="str">
        <f t="shared" ca="1" si="22"/>
        <v>-</v>
      </c>
      <c r="BC19" s="388" t="str">
        <f t="shared" ca="1" si="23"/>
        <v>-</v>
      </c>
      <c r="BD19" s="388" t="str">
        <f t="shared" ca="1" si="24"/>
        <v>-</v>
      </c>
    </row>
    <row r="20" spans="1:56">
      <c r="A20" t="e">
        <f>IF(#REF!=0,A19,#REF!)</f>
        <v>#REF!</v>
      </c>
      <c r="C20" s="381" t="e">
        <f>#REF!</f>
        <v>#REF!</v>
      </c>
      <c r="D20" s="381" t="e">
        <f>#REF!</f>
        <v>#REF!</v>
      </c>
      <c r="E20" t="s">
        <v>133</v>
      </c>
      <c r="F20" t="s">
        <v>133</v>
      </c>
      <c r="G20" s="382" t="str">
        <f ca="1">IFERROR(C20*Changes!$B$1,"-")</f>
        <v>-</v>
      </c>
      <c r="H20" s="382" t="str">
        <f ca="1">IFERROR(D20*Changes!$B$1,"-")</f>
        <v>-</v>
      </c>
      <c r="I20" s="382" t="str">
        <f ca="1">IFERROR(E20*Changes!$B$1,"-")</f>
        <v>-</v>
      </c>
      <c r="J20" s="382" t="str">
        <f ca="1">IFERROR(F20*Changes!$B$1,"-")</f>
        <v>-</v>
      </c>
      <c r="K20" s="383" t="str">
        <f t="shared" ca="1" si="0"/>
        <v>-</v>
      </c>
      <c r="L20" s="383" t="str">
        <f t="shared" ca="1" si="1"/>
        <v>-</v>
      </c>
      <c r="M20" s="383" t="str">
        <f t="shared" ca="1" si="2"/>
        <v>-</v>
      </c>
      <c r="N20" s="383" t="str">
        <f t="shared" ca="1" si="3"/>
        <v>-</v>
      </c>
      <c r="O20" s="384">
        <f>[1]Particles!$B$13</f>
        <v>512373.33725154324</v>
      </c>
      <c r="P20" s="384">
        <f>[1]Particles!$B$5</f>
        <v>3152.8432598003224</v>
      </c>
      <c r="Q20" s="383">
        <f>IFERROR(VLOOKUP("s",[1]md!$A:$E,5,0)*14.3998434/U20*100,"-")</f>
        <v>1334.4329365455692</v>
      </c>
      <c r="R20" s="383">
        <f>IFERROR(VLOOKUP("s",[1]md!$A:$E,5,0)*14.3998434/V20*100,"-")</f>
        <v>1334.4343481890319</v>
      </c>
      <c r="S20" s="383">
        <f>IFERROR(VLOOKUP("s",[1]md!$A:$E,5,0)*14.3998434/W20*100,"-")</f>
        <v>1349.98531875</v>
      </c>
      <c r="T20" s="383">
        <f>IFERROR(VLOOKUP("s",[1]md!$A:$E,5,0)*14.3998434/X20*100,"-")</f>
        <v>1349.98531875</v>
      </c>
      <c r="U20" s="386">
        <v>2.4279712200354244</v>
      </c>
      <c r="V20" s="386">
        <v>2.4279686515840768</v>
      </c>
      <c r="W20" s="386">
        <v>2.4</v>
      </c>
      <c r="X20" s="386">
        <v>2.4</v>
      </c>
      <c r="Y20" s="382" t="str">
        <f t="shared" ca="1" si="4"/>
        <v>-</v>
      </c>
      <c r="Z20" s="382" t="str">
        <f t="shared" ca="1" si="5"/>
        <v>-</v>
      </c>
      <c r="AA20" s="382" t="str">
        <f t="shared" ca="1" si="6"/>
        <v>-</v>
      </c>
      <c r="AB20" s="382" t="str">
        <f t="shared" ca="1" si="7"/>
        <v>-</v>
      </c>
      <c r="AC20" s="382" t="str">
        <f ca="1">IFERROR(Changes!$B$2*Rotation!C20,"-")</f>
        <v>-</v>
      </c>
      <c r="AD20" s="382" t="str">
        <f ca="1">IFERROR(Changes!$B$2*Rotation!D20,"-")</f>
        <v>-</v>
      </c>
      <c r="AE20" s="382" t="str">
        <f ca="1">IFERROR(Changes!$B$2*Rotation!E20,"-")</f>
        <v>-</v>
      </c>
      <c r="AF20" s="382" t="str">
        <f ca="1">IFERROR(Changes!$B$2*Rotation!F20,"-")</f>
        <v>-</v>
      </c>
      <c r="AG20" s="382" t="e">
        <f ca="1">(AC20+AD20)*#REF!</f>
        <v>#VALUE!</v>
      </c>
      <c r="AH20" s="382" t="e">
        <f t="shared" ca="1" si="8"/>
        <v>#VALUE!</v>
      </c>
      <c r="AI20" s="382"/>
      <c r="AJ20" s="382"/>
      <c r="AK20" s="382">
        <f t="shared" si="9"/>
        <v>0.47769131267501475</v>
      </c>
      <c r="AL20" s="382">
        <f t="shared" si="10"/>
        <v>0.47769181800563132</v>
      </c>
      <c r="AM20" s="382">
        <f t="shared" si="11"/>
        <v>0.48325864968161619</v>
      </c>
      <c r="AN20" s="382">
        <f t="shared" si="12"/>
        <v>0.48325864968161619</v>
      </c>
      <c r="AO20" s="382">
        <f t="shared" si="17"/>
        <v>39.969117762724416</v>
      </c>
      <c r="AP20" s="382">
        <f t="shared" si="18"/>
        <v>39.969202326245124</v>
      </c>
      <c r="AQ20" s="382">
        <f t="shared" si="19"/>
        <v>40.906200982235795</v>
      </c>
      <c r="AR20" s="382">
        <f t="shared" si="20"/>
        <v>40.906200982235795</v>
      </c>
      <c r="AS20" s="388" t="str">
        <f t="shared" ca="1" si="13"/>
        <v>-</v>
      </c>
      <c r="AT20" s="388" t="str">
        <f t="shared" ca="1" si="14"/>
        <v>-</v>
      </c>
      <c r="AU20" s="388" t="str">
        <f t="shared" ca="1" si="15"/>
        <v>-</v>
      </c>
      <c r="AV20" s="388" t="str">
        <f t="shared" ca="1" si="16"/>
        <v>-</v>
      </c>
      <c r="AW20" s="382" t="e">
        <f>#REF!*SIN(#REF!)</f>
        <v>#REF!</v>
      </c>
      <c r="AX20" s="382" t="e">
        <f>#REF!*SIN(#REF!)</f>
        <v>#REF!</v>
      </c>
      <c r="AY20" s="382"/>
      <c r="AZ20" s="382"/>
      <c r="BA20" s="388" t="str">
        <f t="shared" ca="1" si="21"/>
        <v>-</v>
      </c>
      <c r="BB20" s="388" t="str">
        <f t="shared" ca="1" si="22"/>
        <v>-</v>
      </c>
      <c r="BC20" s="388" t="str">
        <f t="shared" ca="1" si="23"/>
        <v>-</v>
      </c>
      <c r="BD20" s="388" t="str">
        <f t="shared" ca="1" si="24"/>
        <v>-</v>
      </c>
    </row>
    <row r="21" spans="1:56">
      <c r="A21" t="e">
        <f>IF(#REF!=0,A20,#REF!)</f>
        <v>#REF!</v>
      </c>
      <c r="C21" s="381" t="e">
        <f>#REF!</f>
        <v>#REF!</v>
      </c>
      <c r="D21" s="381" t="e">
        <f>#REF!</f>
        <v>#REF!</v>
      </c>
      <c r="E21" t="s">
        <v>133</v>
      </c>
      <c r="F21" t="s">
        <v>133</v>
      </c>
      <c r="G21" s="382" t="str">
        <f ca="1">IFERROR(C21*Changes!$B$1,"-")</f>
        <v>-</v>
      </c>
      <c r="H21" s="382" t="str">
        <f ca="1">IFERROR(D21*Changes!$B$1,"-")</f>
        <v>-</v>
      </c>
      <c r="I21" s="382" t="str">
        <f ca="1">IFERROR(E21*Changes!$B$1,"-")</f>
        <v>-</v>
      </c>
      <c r="J21" s="382" t="str">
        <f ca="1">IFERROR(F21*Changes!$B$1,"-")</f>
        <v>-</v>
      </c>
      <c r="K21" s="383" t="str">
        <f t="shared" ca="1" si="0"/>
        <v>-</v>
      </c>
      <c r="L21" s="383" t="str">
        <f t="shared" ca="1" si="1"/>
        <v>-</v>
      </c>
      <c r="M21" s="383" t="str">
        <f t="shared" ca="1" si="2"/>
        <v>-</v>
      </c>
      <c r="N21" s="383" t="str">
        <f t="shared" ca="1" si="3"/>
        <v>-</v>
      </c>
      <c r="O21" s="384">
        <f>[1]Particles!$B$13</f>
        <v>512373.33725154324</v>
      </c>
      <c r="P21" s="384">
        <f>[1]Particles!$B$5</f>
        <v>3152.8432598003224</v>
      </c>
      <c r="Q21" s="383">
        <f>IFERROR(VLOOKUP("s",[1]md!$A:$E,5,0)*14.3998434/U21*100,"-")</f>
        <v>1334.4320042448214</v>
      </c>
      <c r="R21" s="383">
        <f>IFERROR(VLOOKUP("s",[1]md!$A:$E,5,0)*14.3998434/V21*100,"-")</f>
        <v>1334.4335606513346</v>
      </c>
      <c r="S21" s="383">
        <f>IFERROR(VLOOKUP("s",[1]md!$A:$E,5,0)*14.3998434/W21*100,"-")</f>
        <v>1349.98531875</v>
      </c>
      <c r="T21" s="383">
        <f>IFERROR(VLOOKUP("s",[1]md!$A:$E,5,0)*14.3998434/X21*100,"-")</f>
        <v>1349.98531875</v>
      </c>
      <c r="U21" s="386">
        <v>2.4279729163372044</v>
      </c>
      <c r="V21" s="386">
        <v>2.4279700844893162</v>
      </c>
      <c r="W21" s="386">
        <v>2.4</v>
      </c>
      <c r="X21" s="386">
        <v>2.4</v>
      </c>
      <c r="Y21" s="382" t="str">
        <f t="shared" ca="1" si="4"/>
        <v>-</v>
      </c>
      <c r="Z21" s="382" t="str">
        <f t="shared" ca="1" si="5"/>
        <v>-</v>
      </c>
      <c r="AA21" s="382" t="str">
        <f t="shared" ca="1" si="6"/>
        <v>-</v>
      </c>
      <c r="AB21" s="382" t="str">
        <f t="shared" ca="1" si="7"/>
        <v>-</v>
      </c>
      <c r="AC21" s="382" t="str">
        <f ca="1">IFERROR(Changes!$B$2*Rotation!C21,"-")</f>
        <v>-</v>
      </c>
      <c r="AD21" s="382" t="str">
        <f ca="1">IFERROR(Changes!$B$2*Rotation!D21,"-")</f>
        <v>-</v>
      </c>
      <c r="AE21" s="382" t="str">
        <f ca="1">IFERROR(Changes!$B$2*Rotation!E21,"-")</f>
        <v>-</v>
      </c>
      <c r="AF21" s="382" t="str">
        <f ca="1">IFERROR(Changes!$B$2*Rotation!F21,"-")</f>
        <v>-</v>
      </c>
      <c r="AG21" s="382" t="e">
        <f ca="1">(AC21+AD21)*#REF!</f>
        <v>#VALUE!</v>
      </c>
      <c r="AH21" s="382" t="e">
        <f t="shared" ca="1" si="8"/>
        <v>#VALUE!</v>
      </c>
      <c r="AI21" s="382"/>
      <c r="AJ21" s="382"/>
      <c r="AK21" s="382">
        <f t="shared" si="9"/>
        <v>0.47769097893627388</v>
      </c>
      <c r="AL21" s="382">
        <f t="shared" si="10"/>
        <v>0.47769153608819215</v>
      </c>
      <c r="AM21" s="382">
        <f t="shared" si="11"/>
        <v>0.48325864968161619</v>
      </c>
      <c r="AN21" s="382">
        <f t="shared" si="12"/>
        <v>0.48325864968161619</v>
      </c>
      <c r="AO21" s="382">
        <f t="shared" si="17"/>
        <v>39.969061913944998</v>
      </c>
      <c r="AP21" s="382">
        <f t="shared" si="18"/>
        <v>39.969155149335592</v>
      </c>
      <c r="AQ21" s="382">
        <f t="shared" si="19"/>
        <v>40.906200982235795</v>
      </c>
      <c r="AR21" s="382">
        <f t="shared" si="20"/>
        <v>40.906200982235795</v>
      </c>
      <c r="AS21" s="388" t="str">
        <f t="shared" ca="1" si="13"/>
        <v>-</v>
      </c>
      <c r="AT21" s="388" t="str">
        <f t="shared" ca="1" si="14"/>
        <v>-</v>
      </c>
      <c r="AU21" s="388" t="str">
        <f t="shared" ca="1" si="15"/>
        <v>-</v>
      </c>
      <c r="AV21" s="388" t="str">
        <f t="shared" ca="1" si="16"/>
        <v>-</v>
      </c>
      <c r="AW21" s="382" t="e">
        <f>#REF!*SIN(#REF!)</f>
        <v>#REF!</v>
      </c>
      <c r="AX21" s="382" t="e">
        <f>#REF!*SIN(#REF!)</f>
        <v>#REF!</v>
      </c>
      <c r="AY21" s="382"/>
      <c r="AZ21" s="382"/>
      <c r="BA21" s="388" t="str">
        <f t="shared" ca="1" si="21"/>
        <v>-</v>
      </c>
      <c r="BB21" s="388" t="str">
        <f t="shared" ca="1" si="22"/>
        <v>-</v>
      </c>
      <c r="BC21" s="388" t="str">
        <f t="shared" ca="1" si="23"/>
        <v>-</v>
      </c>
      <c r="BD21" s="388" t="str">
        <f t="shared" ca="1" si="24"/>
        <v>-</v>
      </c>
    </row>
    <row r="22" spans="1:56">
      <c r="A22" t="e">
        <f>IF(#REF!=0,A21,#REF!)</f>
        <v>#REF!</v>
      </c>
      <c r="C22" s="381" t="e">
        <f>#REF!</f>
        <v>#REF!</v>
      </c>
      <c r="D22" s="381" t="e">
        <f>#REF!</f>
        <v>#REF!</v>
      </c>
      <c r="E22" t="s">
        <v>133</v>
      </c>
      <c r="F22" t="s">
        <v>133</v>
      </c>
      <c r="G22" s="382" t="str">
        <f ca="1">IFERROR(C22*Changes!$B$1,"-")</f>
        <v>-</v>
      </c>
      <c r="H22" s="382" t="str">
        <f ca="1">IFERROR(D22*Changes!$B$1,"-")</f>
        <v>-</v>
      </c>
      <c r="I22" s="382" t="str">
        <f ca="1">IFERROR(E22*Changes!$B$1,"-")</f>
        <v>-</v>
      </c>
      <c r="J22" s="382" t="str">
        <f ca="1">IFERROR(F22*Changes!$B$1,"-")</f>
        <v>-</v>
      </c>
      <c r="K22" s="383" t="str">
        <f t="shared" ca="1" si="0"/>
        <v>-</v>
      </c>
      <c r="L22" s="383" t="str">
        <f t="shared" ca="1" si="1"/>
        <v>-</v>
      </c>
      <c r="M22" s="383" t="str">
        <f t="shared" ca="1" si="2"/>
        <v>-</v>
      </c>
      <c r="N22" s="383" t="str">
        <f t="shared" ca="1" si="3"/>
        <v>-</v>
      </c>
      <c r="O22" s="384">
        <f>[1]Particles!$B$13</f>
        <v>512373.33725154324</v>
      </c>
      <c r="P22" s="384">
        <f>[1]Particles!$B$5</f>
        <v>3152.8432598003224</v>
      </c>
      <c r="Q22" s="383">
        <f>IFERROR(VLOOKUP("s",[1]md!$A:$E,5,0)*14.3998434/U22*100,"-")</f>
        <v>1334.4326006047972</v>
      </c>
      <c r="R22" s="383">
        <f>IFERROR(VLOOKUP("s",[1]md!$A:$E,5,0)*14.3998434/V22*100,"-")</f>
        <v>1334.4334781229907</v>
      </c>
      <c r="S22" s="383">
        <f>IFERROR(VLOOKUP("s",[1]md!$A:$E,5,0)*14.3998434/W22*100,"-")</f>
        <v>1349.98531875</v>
      </c>
      <c r="T22" s="383">
        <f>IFERROR(VLOOKUP("s",[1]md!$A:$E,5,0)*14.3998434/X22*100,"-")</f>
        <v>1349.98531875</v>
      </c>
      <c r="U22" s="386">
        <v>2.4279718312723846</v>
      </c>
      <c r="V22" s="386">
        <v>2.4279702346476819</v>
      </c>
      <c r="W22" s="386">
        <v>2.4</v>
      </c>
      <c r="X22" s="386">
        <v>2.4</v>
      </c>
      <c r="Y22" s="382" t="str">
        <f t="shared" ca="1" si="4"/>
        <v>-</v>
      </c>
      <c r="Z22" s="382" t="str">
        <f t="shared" ca="1" si="5"/>
        <v>-</v>
      </c>
      <c r="AA22" s="382" t="str">
        <f t="shared" ca="1" si="6"/>
        <v>-</v>
      </c>
      <c r="AB22" s="382" t="str">
        <f t="shared" ca="1" si="7"/>
        <v>-</v>
      </c>
      <c r="AC22" s="382" t="str">
        <f ca="1">IFERROR(Changes!$B$2*Rotation!C22,"-")</f>
        <v>-</v>
      </c>
      <c r="AD22" s="382" t="str">
        <f ca="1">IFERROR(Changes!$B$2*Rotation!D22,"-")</f>
        <v>-</v>
      </c>
      <c r="AE22" s="382" t="str">
        <f ca="1">IFERROR(Changes!$B$2*Rotation!E22,"-")</f>
        <v>-</v>
      </c>
      <c r="AF22" s="382" t="str">
        <f ca="1">IFERROR(Changes!$B$2*Rotation!F22,"-")</f>
        <v>-</v>
      </c>
      <c r="AG22" s="382" t="e">
        <f ca="1">(AC22+AD22)*#REF!</f>
        <v>#VALUE!</v>
      </c>
      <c r="AH22" s="382" t="e">
        <f t="shared" ca="1" si="8"/>
        <v>#VALUE!</v>
      </c>
      <c r="AI22" s="382"/>
      <c r="AJ22" s="382"/>
      <c r="AK22" s="382">
        <f t="shared" si="9"/>
        <v>0.47769119241720037</v>
      </c>
      <c r="AL22" s="382">
        <f t="shared" si="10"/>
        <v>0.47769150654525144</v>
      </c>
      <c r="AM22" s="382">
        <f t="shared" si="11"/>
        <v>0.48325864968161619</v>
      </c>
      <c r="AN22" s="382">
        <f t="shared" si="12"/>
        <v>0.48325864968161619</v>
      </c>
      <c r="AO22" s="382">
        <f t="shared" si="17"/>
        <v>39.969097638439081</v>
      </c>
      <c r="AP22" s="382">
        <f t="shared" si="18"/>
        <v>39.969150205532934</v>
      </c>
      <c r="AQ22" s="382">
        <f t="shared" si="19"/>
        <v>40.906200982235795</v>
      </c>
      <c r="AR22" s="382">
        <f t="shared" si="20"/>
        <v>40.906200982235795</v>
      </c>
      <c r="AS22" s="388" t="str">
        <f t="shared" ca="1" si="13"/>
        <v>-</v>
      </c>
      <c r="AT22" s="388" t="str">
        <f t="shared" ca="1" si="14"/>
        <v>-</v>
      </c>
      <c r="AU22" s="388" t="str">
        <f t="shared" ca="1" si="15"/>
        <v>-</v>
      </c>
      <c r="AV22" s="388" t="str">
        <f t="shared" ca="1" si="16"/>
        <v>-</v>
      </c>
      <c r="AW22" s="382" t="e">
        <f>#REF!*SIN(#REF!)</f>
        <v>#REF!</v>
      </c>
      <c r="AX22" s="382" t="e">
        <f>#REF!*SIN(#REF!)</f>
        <v>#REF!</v>
      </c>
      <c r="AY22" s="382"/>
      <c r="AZ22" s="382"/>
      <c r="BA22" s="388" t="str">
        <f t="shared" ca="1" si="21"/>
        <v>-</v>
      </c>
      <c r="BB22" s="388" t="str">
        <f t="shared" ca="1" si="22"/>
        <v>-</v>
      </c>
      <c r="BC22" s="388" t="str">
        <f t="shared" ca="1" si="23"/>
        <v>-</v>
      </c>
      <c r="BD22" s="388" t="str">
        <f t="shared" ca="1" si="24"/>
        <v>-</v>
      </c>
    </row>
    <row r="23" spans="1:56">
      <c r="A23" t="e">
        <f>IF(#REF!=0,A22,#REF!)</f>
        <v>#REF!</v>
      </c>
      <c r="C23" s="381" t="e">
        <f>#REF!</f>
        <v>#REF!</v>
      </c>
      <c r="D23" s="381" t="e">
        <f>#REF!</f>
        <v>#REF!</v>
      </c>
      <c r="E23" t="s">
        <v>133</v>
      </c>
      <c r="F23" t="s">
        <v>133</v>
      </c>
      <c r="G23" s="382" t="str">
        <f ca="1">IFERROR(C23*Changes!$B$1,"-")</f>
        <v>-</v>
      </c>
      <c r="H23" s="382" t="str">
        <f ca="1">IFERROR(D23*Changes!$B$1,"-")</f>
        <v>-</v>
      </c>
      <c r="I23" s="382" t="str">
        <f ca="1">IFERROR(E23*Changes!$B$1,"-")</f>
        <v>-</v>
      </c>
      <c r="J23" s="382" t="str">
        <f ca="1">IFERROR(F23*Changes!$B$1,"-")</f>
        <v>-</v>
      </c>
      <c r="K23" s="383" t="str">
        <f t="shared" ca="1" si="0"/>
        <v>-</v>
      </c>
      <c r="L23" s="383" t="str">
        <f t="shared" ca="1" si="1"/>
        <v>-</v>
      </c>
      <c r="M23" s="383" t="str">
        <f t="shared" ca="1" si="2"/>
        <v>-</v>
      </c>
      <c r="N23" s="383" t="str">
        <f t="shared" ca="1" si="3"/>
        <v>-</v>
      </c>
      <c r="O23" s="384">
        <f>[1]Particles!$B$13</f>
        <v>512373.33725154324</v>
      </c>
      <c r="P23" s="384">
        <f>[1]Particles!$B$5</f>
        <v>3152.8432598003224</v>
      </c>
      <c r="Q23" s="383">
        <f>IFERROR(VLOOKUP("s",[1]md!$A:$E,5,0)*14.3998434/U23*100,"-")</f>
        <v>1334.4805229464537</v>
      </c>
      <c r="R23" s="383">
        <f>IFERROR(VLOOKUP("s",[1]md!$A:$E,5,0)*14.3998434/V23*100,"-")</f>
        <v>1334.4874802028221</v>
      </c>
      <c r="S23" s="383">
        <f>IFERROR(VLOOKUP("s",[1]md!$A:$E,5,0)*14.3998434/W23*100,"-")</f>
        <v>1349.98531875</v>
      </c>
      <c r="T23" s="383">
        <f>IFERROR(VLOOKUP("s",[1]md!$A:$E,5,0)*14.3998434/X23*100,"-")</f>
        <v>1349.98531875</v>
      </c>
      <c r="U23" s="386">
        <v>2.4278846407187347</v>
      </c>
      <c r="V23" s="386">
        <v>2.4278719831133775</v>
      </c>
      <c r="W23" s="386">
        <v>2.4</v>
      </c>
      <c r="X23" s="386">
        <v>2.4</v>
      </c>
      <c r="Y23" s="382" t="str">
        <f t="shared" ca="1" si="4"/>
        <v>-</v>
      </c>
      <c r="Z23" s="382" t="str">
        <f t="shared" ca="1" si="5"/>
        <v>-</v>
      </c>
      <c r="AA23" s="382" t="str">
        <f t="shared" ca="1" si="6"/>
        <v>-</v>
      </c>
      <c r="AB23" s="382" t="str">
        <f t="shared" ca="1" si="7"/>
        <v>-</v>
      </c>
      <c r="AC23" s="382" t="str">
        <f ca="1">IFERROR(Changes!$B$2*Rotation!C23,"-")</f>
        <v>-</v>
      </c>
      <c r="AD23" s="382" t="str">
        <f ca="1">IFERROR(Changes!$B$2*Rotation!D23,"-")</f>
        <v>-</v>
      </c>
      <c r="AE23" s="382" t="str">
        <f ca="1">IFERROR(Changes!$B$2*Rotation!E23,"-")</f>
        <v>-</v>
      </c>
      <c r="AF23" s="382" t="str">
        <f ca="1">IFERROR(Changes!$B$2*Rotation!F23,"-")</f>
        <v>-</v>
      </c>
      <c r="AG23" s="382" t="e">
        <f ca="1">(AC23+AD23)*#REF!</f>
        <v>#VALUE!</v>
      </c>
      <c r="AH23" s="382" t="e">
        <f t="shared" ca="1" si="8"/>
        <v>#VALUE!</v>
      </c>
      <c r="AI23" s="382"/>
      <c r="AJ23" s="382"/>
      <c r="AK23" s="382">
        <f t="shared" si="9"/>
        <v>0.4777083473342183</v>
      </c>
      <c r="AL23" s="382">
        <f t="shared" si="10"/>
        <v>0.47771083784598256</v>
      </c>
      <c r="AM23" s="382">
        <f t="shared" si="11"/>
        <v>0.48325864968161619</v>
      </c>
      <c r="AN23" s="382">
        <f t="shared" si="12"/>
        <v>0.48325864968161619</v>
      </c>
      <c r="AO23" s="382">
        <f t="shared" si="17"/>
        <v>39.971968442322556</v>
      </c>
      <c r="AP23" s="382">
        <f t="shared" si="18"/>
        <v>39.972385227659068</v>
      </c>
      <c r="AQ23" s="382">
        <f t="shared" si="19"/>
        <v>40.906200982235795</v>
      </c>
      <c r="AR23" s="382">
        <f t="shared" si="20"/>
        <v>40.906200982235795</v>
      </c>
      <c r="AS23" s="388" t="str">
        <f t="shared" ca="1" si="13"/>
        <v>-</v>
      </c>
      <c r="AT23" s="388" t="str">
        <f t="shared" ca="1" si="14"/>
        <v>-</v>
      </c>
      <c r="AU23" s="388" t="str">
        <f t="shared" ca="1" si="15"/>
        <v>-</v>
      </c>
      <c r="AV23" s="388" t="str">
        <f t="shared" ca="1" si="16"/>
        <v>-</v>
      </c>
      <c r="AW23" s="382" t="e">
        <f>#REF!*SIN(#REF!)</f>
        <v>#REF!</v>
      </c>
      <c r="AX23" s="382" t="e">
        <f>#REF!*SIN(#REF!)</f>
        <v>#REF!</v>
      </c>
      <c r="AY23" s="382"/>
      <c r="AZ23" s="382"/>
      <c r="BA23" s="388" t="str">
        <f t="shared" ca="1" si="21"/>
        <v>-</v>
      </c>
      <c r="BB23" s="388" t="str">
        <f t="shared" ca="1" si="22"/>
        <v>-</v>
      </c>
      <c r="BC23" s="388" t="str">
        <f t="shared" ca="1" si="23"/>
        <v>-</v>
      </c>
      <c r="BD23" s="388" t="str">
        <f t="shared" ca="1" si="24"/>
        <v>-</v>
      </c>
    </row>
    <row r="24" spans="1:56">
      <c r="A24" t="e">
        <f>IF(#REF!=0,A23,#REF!)</f>
        <v>#REF!</v>
      </c>
      <c r="C24" s="381" t="e">
        <f>#REF!</f>
        <v>#REF!</v>
      </c>
      <c r="D24" s="381" t="e">
        <f>#REF!</f>
        <v>#REF!</v>
      </c>
      <c r="E24" t="s">
        <v>133</v>
      </c>
      <c r="F24" t="s">
        <v>133</v>
      </c>
      <c r="G24" s="382" t="str">
        <f ca="1">IFERROR(C24*Changes!$B$1,"-")</f>
        <v>-</v>
      </c>
      <c r="H24" s="382" t="str">
        <f ca="1">IFERROR(D24*Changes!$B$1,"-")</f>
        <v>-</v>
      </c>
      <c r="I24" s="382" t="str">
        <f ca="1">IFERROR(E24*Changes!$B$1,"-")</f>
        <v>-</v>
      </c>
      <c r="J24" s="382" t="str">
        <f ca="1">IFERROR(F24*Changes!$B$1,"-")</f>
        <v>-</v>
      </c>
      <c r="K24" s="383" t="str">
        <f t="shared" ca="1" si="0"/>
        <v>-</v>
      </c>
      <c r="L24" s="383" t="str">
        <f t="shared" ca="1" si="1"/>
        <v>-</v>
      </c>
      <c r="M24" s="383" t="str">
        <f t="shared" ca="1" si="2"/>
        <v>-</v>
      </c>
      <c r="N24" s="383" t="str">
        <f t="shared" ca="1" si="3"/>
        <v>-</v>
      </c>
      <c r="O24" s="384">
        <f>[1]Particles!$B$13</f>
        <v>512373.33725154324</v>
      </c>
      <c r="P24" s="384">
        <f>[1]Particles!$B$5</f>
        <v>3152.8432598003224</v>
      </c>
      <c r="Q24" s="383">
        <f>IFERROR(VLOOKUP("s",[1]md!$A:$E,5,0)*14.3998434/U24*100,"-")</f>
        <v>1334.4419678835347</v>
      </c>
      <c r="R24" s="383">
        <f>IFERROR(VLOOKUP("s",[1]md!$A:$E,5,0)*14.3998434/V24*100,"-")</f>
        <v>1334.4480040518906</v>
      </c>
      <c r="S24" s="383">
        <f>IFERROR(VLOOKUP("s",[1]md!$A:$E,5,0)*14.3998434/W24*100,"-")</f>
        <v>1349.98531875</v>
      </c>
      <c r="T24" s="383">
        <f>IFERROR(VLOOKUP("s",[1]md!$A:$E,5,0)*14.3998434/X24*100,"-")</f>
        <v>1349.98531875</v>
      </c>
      <c r="U24" s="386">
        <v>2.4279547878269159</v>
      </c>
      <c r="V24" s="386">
        <v>2.427943805350405</v>
      </c>
      <c r="W24" s="386">
        <v>2.4</v>
      </c>
      <c r="X24" s="386">
        <v>2.4</v>
      </c>
      <c r="Y24" s="382" t="str">
        <f t="shared" ca="1" si="4"/>
        <v>-</v>
      </c>
      <c r="Z24" s="382" t="str">
        <f t="shared" ca="1" si="5"/>
        <v>-</v>
      </c>
      <c r="AA24" s="382" t="str">
        <f t="shared" ca="1" si="6"/>
        <v>-</v>
      </c>
      <c r="AB24" s="382" t="str">
        <f t="shared" ca="1" si="7"/>
        <v>-</v>
      </c>
      <c r="AC24" s="382" t="str">
        <f ca="1">IFERROR(Changes!$B$2*Rotation!C24,"-")</f>
        <v>-</v>
      </c>
      <c r="AD24" s="382" t="str">
        <f ca="1">IFERROR(Changes!$B$2*Rotation!D24,"-")</f>
        <v>-</v>
      </c>
      <c r="AE24" s="382" t="str">
        <f ca="1">IFERROR(Changes!$B$2*Rotation!E24,"-")</f>
        <v>-</v>
      </c>
      <c r="AF24" s="382" t="str">
        <f ca="1">IFERROR(Changes!$B$2*Rotation!F24,"-")</f>
        <v>-</v>
      </c>
      <c r="AG24" s="382" t="e">
        <f ca="1">(AC24+AD24)*#REF!</f>
        <v>#VALUE!</v>
      </c>
      <c r="AH24" s="382" t="e">
        <f t="shared" ca="1" si="8"/>
        <v>#VALUE!</v>
      </c>
      <c r="AI24" s="382"/>
      <c r="AJ24" s="382"/>
      <c r="AK24" s="382">
        <f t="shared" si="9"/>
        <v>0.47769454565253638</v>
      </c>
      <c r="AL24" s="382">
        <f t="shared" si="10"/>
        <v>0.47769670643941931</v>
      </c>
      <c r="AM24" s="382">
        <f t="shared" si="11"/>
        <v>0.48325864968161619</v>
      </c>
      <c r="AN24" s="382">
        <f t="shared" si="12"/>
        <v>0.48325864968161619</v>
      </c>
      <c r="AO24" s="382">
        <f t="shared" si="17"/>
        <v>39.96965878029426</v>
      </c>
      <c r="AP24" s="382">
        <f t="shared" si="18"/>
        <v>39.970020375839049</v>
      </c>
      <c r="AQ24" s="382">
        <f t="shared" si="19"/>
        <v>40.906200982235795</v>
      </c>
      <c r="AR24" s="382">
        <f t="shared" si="20"/>
        <v>40.906200982235795</v>
      </c>
      <c r="AS24" s="388" t="str">
        <f t="shared" ca="1" si="13"/>
        <v>-</v>
      </c>
      <c r="AT24" s="388" t="str">
        <f t="shared" ca="1" si="14"/>
        <v>-</v>
      </c>
      <c r="AU24" s="388" t="str">
        <f t="shared" ca="1" si="15"/>
        <v>-</v>
      </c>
      <c r="AV24" s="388" t="str">
        <f t="shared" ca="1" si="16"/>
        <v>-</v>
      </c>
      <c r="AW24" s="382" t="e">
        <f>#REF!*SIN(#REF!)</f>
        <v>#REF!</v>
      </c>
      <c r="AX24" s="382" t="e">
        <f>#REF!*SIN(#REF!)</f>
        <v>#REF!</v>
      </c>
      <c r="AY24" s="382"/>
      <c r="AZ24" s="382"/>
      <c r="BA24" s="388" t="str">
        <f t="shared" ca="1" si="21"/>
        <v>-</v>
      </c>
      <c r="BB24" s="388" t="str">
        <f t="shared" ca="1" si="22"/>
        <v>-</v>
      </c>
      <c r="BC24" s="388" t="str">
        <f t="shared" ca="1" si="23"/>
        <v>-</v>
      </c>
      <c r="BD24" s="388" t="str">
        <f t="shared" ca="1" si="24"/>
        <v>-</v>
      </c>
    </row>
    <row r="25" spans="1:56">
      <c r="A25" t="e">
        <f>IF(#REF!=0,A24,#REF!)</f>
        <v>#REF!</v>
      </c>
      <c r="C25" s="381" t="e">
        <f>#REF!</f>
        <v>#REF!</v>
      </c>
      <c r="D25" s="381" t="e">
        <f>#REF!</f>
        <v>#REF!</v>
      </c>
      <c r="E25" t="s">
        <v>133</v>
      </c>
      <c r="F25" t="s">
        <v>133</v>
      </c>
      <c r="G25" s="382" t="str">
        <f ca="1">IFERROR(C25*Changes!$B$1,"-")</f>
        <v>-</v>
      </c>
      <c r="H25" s="382" t="str">
        <f ca="1">IFERROR(D25*Changes!$B$1,"-")</f>
        <v>-</v>
      </c>
      <c r="I25" s="382" t="str">
        <f ca="1">IFERROR(E25*Changes!$B$1,"-")</f>
        <v>-</v>
      </c>
      <c r="J25" s="382" t="str">
        <f ca="1">IFERROR(F25*Changes!$B$1,"-")</f>
        <v>-</v>
      </c>
      <c r="K25" s="383" t="str">
        <f t="shared" ca="1" si="0"/>
        <v>-</v>
      </c>
      <c r="L25" s="383" t="str">
        <f t="shared" ca="1" si="1"/>
        <v>-</v>
      </c>
      <c r="M25" s="383" t="str">
        <f t="shared" ca="1" si="2"/>
        <v>-</v>
      </c>
      <c r="N25" s="383" t="str">
        <f t="shared" ca="1" si="3"/>
        <v>-</v>
      </c>
      <c r="O25" s="384">
        <f>[1]Particles!$B$13</f>
        <v>512373.33725154324</v>
      </c>
      <c r="P25" s="384">
        <f>[1]Particles!$B$5</f>
        <v>3152.8432598003224</v>
      </c>
      <c r="Q25" s="383">
        <f>IFERROR(VLOOKUP("s",[1]md!$A:$E,5,0)*14.3998434/U25*100,"-")</f>
        <v>1334.4542909202123</v>
      </c>
      <c r="R25" s="383">
        <f>IFERROR(VLOOKUP("s",[1]md!$A:$E,5,0)*14.3998434/V25*100,"-")</f>
        <v>1334.4562604001767</v>
      </c>
      <c r="S25" s="383">
        <f>IFERROR(VLOOKUP("s",[1]md!$A:$E,5,0)*14.3998434/W25*100,"-")</f>
        <v>1349.98531875</v>
      </c>
      <c r="T25" s="383">
        <f>IFERROR(VLOOKUP("s",[1]md!$A:$E,5,0)*14.3998434/X25*100,"-")</f>
        <v>1349.98531875</v>
      </c>
      <c r="U25" s="386">
        <v>2.427932366844717</v>
      </c>
      <c r="V25" s="386">
        <v>2.4279287835394467</v>
      </c>
      <c r="W25" s="386">
        <v>2.4</v>
      </c>
      <c r="X25" s="386">
        <v>2.4</v>
      </c>
      <c r="Y25" s="382" t="str">
        <f t="shared" ca="1" si="4"/>
        <v>-</v>
      </c>
      <c r="Z25" s="382" t="str">
        <f t="shared" ca="1" si="5"/>
        <v>-</v>
      </c>
      <c r="AA25" s="382" t="str">
        <f t="shared" ca="1" si="6"/>
        <v>-</v>
      </c>
      <c r="AB25" s="382" t="str">
        <f t="shared" ca="1" si="7"/>
        <v>-</v>
      </c>
      <c r="AC25" s="382" t="str">
        <f ca="1">IFERROR(Changes!$B$2*Rotation!C25,"-")</f>
        <v>-</v>
      </c>
      <c r="AD25" s="382" t="str">
        <f ca="1">IFERROR(Changes!$B$2*Rotation!D25,"-")</f>
        <v>-</v>
      </c>
      <c r="AE25" s="382" t="str">
        <f ca="1">IFERROR(Changes!$B$2*Rotation!E25,"-")</f>
        <v>-</v>
      </c>
      <c r="AF25" s="382" t="str">
        <f ca="1">IFERROR(Changes!$B$2*Rotation!F25,"-")</f>
        <v>-</v>
      </c>
      <c r="AG25" s="382" t="e">
        <f ca="1">(AC25+AD25)*#REF!</f>
        <v>#VALUE!</v>
      </c>
      <c r="AH25" s="382" t="e">
        <f t="shared" ca="1" si="8"/>
        <v>#VALUE!</v>
      </c>
      <c r="AI25" s="382"/>
      <c r="AJ25" s="382"/>
      <c r="AK25" s="382">
        <f t="shared" si="9"/>
        <v>0.47769895697018705</v>
      </c>
      <c r="AL25" s="382">
        <f t="shared" si="10"/>
        <v>0.47769966199135655</v>
      </c>
      <c r="AM25" s="382">
        <f t="shared" si="11"/>
        <v>0.48325864968161619</v>
      </c>
      <c r="AN25" s="382">
        <f t="shared" si="12"/>
        <v>0.48325864968161619</v>
      </c>
      <c r="AO25" s="382">
        <f t="shared" si="17"/>
        <v>39.970396991257687</v>
      </c>
      <c r="AP25" s="382">
        <f t="shared" si="18"/>
        <v>39.970514973499078</v>
      </c>
      <c r="AQ25" s="382">
        <f t="shared" si="19"/>
        <v>40.906200982235795</v>
      </c>
      <c r="AR25" s="382">
        <f t="shared" si="20"/>
        <v>40.906200982235795</v>
      </c>
      <c r="AS25" s="388" t="str">
        <f t="shared" ca="1" si="13"/>
        <v>-</v>
      </c>
      <c r="AT25" s="388" t="str">
        <f t="shared" ca="1" si="14"/>
        <v>-</v>
      </c>
      <c r="AU25" s="388" t="str">
        <f t="shared" ca="1" si="15"/>
        <v>-</v>
      </c>
      <c r="AV25" s="388" t="str">
        <f t="shared" ca="1" si="16"/>
        <v>-</v>
      </c>
      <c r="AW25" s="382" t="e">
        <f>#REF!*SIN(#REF!)</f>
        <v>#REF!</v>
      </c>
      <c r="AX25" s="382" t="e">
        <f>#REF!*SIN(#REF!)</f>
        <v>#REF!</v>
      </c>
      <c r="AY25" s="382"/>
      <c r="AZ25" s="382"/>
      <c r="BA25" s="388" t="str">
        <f t="shared" ca="1" si="21"/>
        <v>-</v>
      </c>
      <c r="BB25" s="388" t="str">
        <f t="shared" ca="1" si="22"/>
        <v>-</v>
      </c>
      <c r="BC25" s="388" t="str">
        <f t="shared" ca="1" si="23"/>
        <v>-</v>
      </c>
      <c r="BD25" s="388" t="str">
        <f t="shared" ca="1" si="24"/>
        <v>-</v>
      </c>
    </row>
    <row r="26" spans="1:56">
      <c r="A26" t="e">
        <f>IF(#REF!=0,A25,#REF!)</f>
        <v>#REF!</v>
      </c>
      <c r="C26" s="381" t="e">
        <f>#REF!</f>
        <v>#REF!</v>
      </c>
      <c r="D26" s="381" t="e">
        <f>#REF!</f>
        <v>#REF!</v>
      </c>
      <c r="E26" t="s">
        <v>133</v>
      </c>
      <c r="F26" t="s">
        <v>133</v>
      </c>
      <c r="G26" s="382" t="str">
        <f ca="1">IFERROR(C26*Changes!$B$1,"-")</f>
        <v>-</v>
      </c>
      <c r="H26" s="382" t="str">
        <f ca="1">IFERROR(D26*Changes!$B$1,"-")</f>
        <v>-</v>
      </c>
      <c r="I26" s="382" t="str">
        <f ca="1">IFERROR(E26*Changes!$B$1,"-")</f>
        <v>-</v>
      </c>
      <c r="J26" s="382" t="str">
        <f ca="1">IFERROR(F26*Changes!$B$1,"-")</f>
        <v>-</v>
      </c>
      <c r="K26" s="383" t="str">
        <f t="shared" ca="1" si="0"/>
        <v>-</v>
      </c>
      <c r="L26" s="383" t="str">
        <f t="shared" ca="1" si="1"/>
        <v>-</v>
      </c>
      <c r="M26" s="383" t="str">
        <f t="shared" ca="1" si="2"/>
        <v>-</v>
      </c>
      <c r="N26" s="383" t="str">
        <f t="shared" ca="1" si="3"/>
        <v>-</v>
      </c>
      <c r="O26" s="384">
        <f>[1]Particles!$B$13</f>
        <v>512373.33725154324</v>
      </c>
      <c r="P26" s="384">
        <f>[1]Particles!$B$5</f>
        <v>3152.8432598003224</v>
      </c>
      <c r="Q26" s="383">
        <f>IFERROR(VLOOKUP("s",[1]md!$A:$E,5,0)*14.3998434/U26*100,"-")</f>
        <v>1334.4540825848501</v>
      </c>
      <c r="R26" s="383">
        <f>IFERROR(VLOOKUP("s",[1]md!$A:$E,5,0)*14.3998434/V26*100,"-")</f>
        <v>1334.4668554145426</v>
      </c>
      <c r="S26" s="383">
        <f>IFERROR(VLOOKUP("s",[1]md!$A:$E,5,0)*14.3998434/W26*100,"-")</f>
        <v>1349.98531875</v>
      </c>
      <c r="T26" s="383">
        <f>IFERROR(VLOOKUP("s",[1]md!$A:$E,5,0)*14.3998434/X26*100,"-")</f>
        <v>1349.98531875</v>
      </c>
      <c r="U26" s="386">
        <v>2.4279327458942292</v>
      </c>
      <c r="V26" s="386">
        <v>2.4279095069720018</v>
      </c>
      <c r="W26" s="386">
        <v>2.4</v>
      </c>
      <c r="X26" s="386">
        <v>2.4</v>
      </c>
      <c r="Y26" s="382" t="str">
        <f t="shared" ca="1" si="4"/>
        <v>-</v>
      </c>
      <c r="Z26" s="382" t="str">
        <f t="shared" ca="1" si="5"/>
        <v>-</v>
      </c>
      <c r="AA26" s="382" t="str">
        <f t="shared" ca="1" si="6"/>
        <v>-</v>
      </c>
      <c r="AB26" s="382" t="str">
        <f t="shared" ca="1" si="7"/>
        <v>-</v>
      </c>
      <c r="AC26" s="382" t="str">
        <f ca="1">IFERROR(Changes!$B$2*Rotation!C26,"-")</f>
        <v>-</v>
      </c>
      <c r="AD26" s="382" t="str">
        <f ca="1">IFERROR(Changes!$B$2*Rotation!D26,"-")</f>
        <v>-</v>
      </c>
      <c r="AE26" s="382" t="str">
        <f ca="1">IFERROR(Changes!$B$2*Rotation!E26,"-")</f>
        <v>-</v>
      </c>
      <c r="AF26" s="382" t="str">
        <f ca="1">IFERROR(Changes!$B$2*Rotation!F26,"-")</f>
        <v>-</v>
      </c>
      <c r="AG26" s="382" t="e">
        <f ca="1">(AC26+AD26)*#REF!</f>
        <v>#VALUE!</v>
      </c>
      <c r="AH26" s="382" t="e">
        <f t="shared" ca="1" si="8"/>
        <v>#VALUE!</v>
      </c>
      <c r="AI26" s="382"/>
      <c r="AJ26" s="382"/>
      <c r="AK26" s="382">
        <f t="shared" si="9"/>
        <v>0.47769888239169767</v>
      </c>
      <c r="AL26" s="382">
        <f t="shared" si="10"/>
        <v>0.47770345472322157</v>
      </c>
      <c r="AM26" s="382">
        <f t="shared" si="11"/>
        <v>0.48325864968161619</v>
      </c>
      <c r="AN26" s="382">
        <f t="shared" si="12"/>
        <v>0.48325864968161619</v>
      </c>
      <c r="AO26" s="382">
        <f t="shared" si="17"/>
        <v>39.97038451088045</v>
      </c>
      <c r="AP26" s="382">
        <f t="shared" si="18"/>
        <v>39.971149673749771</v>
      </c>
      <c r="AQ26" s="382">
        <f t="shared" si="19"/>
        <v>40.906200982235795</v>
      </c>
      <c r="AR26" s="382">
        <f t="shared" si="20"/>
        <v>40.906200982235795</v>
      </c>
      <c r="AS26" s="388" t="str">
        <f t="shared" ca="1" si="13"/>
        <v>-</v>
      </c>
      <c r="AT26" s="388" t="str">
        <f t="shared" ca="1" si="14"/>
        <v>-</v>
      </c>
      <c r="AU26" s="388" t="str">
        <f t="shared" ca="1" si="15"/>
        <v>-</v>
      </c>
      <c r="AV26" s="388" t="str">
        <f t="shared" ca="1" si="16"/>
        <v>-</v>
      </c>
      <c r="AW26" s="382" t="e">
        <f>#REF!*SIN(#REF!)</f>
        <v>#REF!</v>
      </c>
      <c r="AX26" s="382" t="e">
        <f>#REF!*SIN(#REF!)</f>
        <v>#REF!</v>
      </c>
      <c r="AY26" s="382"/>
      <c r="AZ26" s="382"/>
      <c r="BA26" s="388" t="str">
        <f t="shared" ca="1" si="21"/>
        <v>-</v>
      </c>
      <c r="BB26" s="388" t="str">
        <f t="shared" ca="1" si="22"/>
        <v>-</v>
      </c>
      <c r="BC26" s="388" t="str">
        <f t="shared" ca="1" si="23"/>
        <v>-</v>
      </c>
      <c r="BD26" s="388" t="str">
        <f t="shared" ca="1" si="24"/>
        <v>-</v>
      </c>
    </row>
    <row r="27" spans="1:56">
      <c r="A27" t="e">
        <f>IF(#REF!=0,A26,#REF!)</f>
        <v>#REF!</v>
      </c>
      <c r="C27" s="381" t="e">
        <f>#REF!</f>
        <v>#REF!</v>
      </c>
      <c r="D27" s="381" t="e">
        <f>#REF!</f>
        <v>#REF!</v>
      </c>
      <c r="E27" t="s">
        <v>133</v>
      </c>
      <c r="F27" t="s">
        <v>133</v>
      </c>
      <c r="G27" s="382" t="str">
        <f ca="1">IFERROR(C27*Changes!$B$1,"-")</f>
        <v>-</v>
      </c>
      <c r="H27" s="382" t="str">
        <f ca="1">IFERROR(D27*Changes!$B$1,"-")</f>
        <v>-</v>
      </c>
      <c r="I27" s="382" t="str">
        <f ca="1">IFERROR(E27*Changes!$B$1,"-")</f>
        <v>-</v>
      </c>
      <c r="J27" s="382" t="str">
        <f ca="1">IFERROR(F27*Changes!$B$1,"-")</f>
        <v>-</v>
      </c>
      <c r="K27" s="383" t="str">
        <f t="shared" ca="1" si="0"/>
        <v>-</v>
      </c>
      <c r="L27" s="383" t="str">
        <f t="shared" ca="1" si="1"/>
        <v>-</v>
      </c>
      <c r="M27" s="383" t="str">
        <f t="shared" ca="1" si="2"/>
        <v>-</v>
      </c>
      <c r="N27" s="383" t="str">
        <f t="shared" ca="1" si="3"/>
        <v>-</v>
      </c>
      <c r="O27" s="384">
        <f>[1]Particles!$B$13</f>
        <v>512373.33725154324</v>
      </c>
      <c r="P27" s="384">
        <f>[1]Particles!$B$5</f>
        <v>3152.8432598003224</v>
      </c>
      <c r="Q27" s="383">
        <f>IFERROR(VLOOKUP("s",[1]md!$A:$E,5,0)*14.3998434/U27*100,"-")</f>
        <v>1334.4540825848501</v>
      </c>
      <c r="R27" s="383">
        <f>IFERROR(VLOOKUP("s",[1]md!$A:$E,5,0)*14.3998434/V27*100,"-")</f>
        <v>1334.4668553989607</v>
      </c>
      <c r="S27" s="383">
        <f>IFERROR(VLOOKUP("s",[1]md!$A:$E,5,0)*14.3998434/W27*100,"-")</f>
        <v>1349.98531875</v>
      </c>
      <c r="T27" s="383">
        <f>IFERROR(VLOOKUP("s",[1]md!$A:$E,5,0)*14.3998434/X27*100,"-")</f>
        <v>1349.98531875</v>
      </c>
      <c r="U27" s="386">
        <v>2.4279327458942292</v>
      </c>
      <c r="V27" s="386">
        <v>2.4279095070003516</v>
      </c>
      <c r="W27" s="386">
        <v>2.4</v>
      </c>
      <c r="X27" s="386">
        <v>2.4</v>
      </c>
      <c r="Y27" s="382" t="str">
        <f t="shared" ca="1" si="4"/>
        <v>-</v>
      </c>
      <c r="Z27" s="382" t="str">
        <f t="shared" ca="1" si="5"/>
        <v>-</v>
      </c>
      <c r="AA27" s="382" t="str">
        <f t="shared" ca="1" si="6"/>
        <v>-</v>
      </c>
      <c r="AB27" s="382" t="str">
        <f t="shared" ca="1" si="7"/>
        <v>-</v>
      </c>
      <c r="AC27" s="382" t="str">
        <f ca="1">IFERROR(Changes!$B$2*Rotation!C27,"-")</f>
        <v>-</v>
      </c>
      <c r="AD27" s="382" t="str">
        <f ca="1">IFERROR(Changes!$B$2*Rotation!D27,"-")</f>
        <v>-</v>
      </c>
      <c r="AE27" s="382" t="str">
        <f ca="1">IFERROR(Changes!$B$2*Rotation!E27,"-")</f>
        <v>-</v>
      </c>
      <c r="AF27" s="382" t="str">
        <f ca="1">IFERROR(Changes!$B$2*Rotation!F27,"-")</f>
        <v>-</v>
      </c>
      <c r="AG27" s="382" t="e">
        <f ca="1">(AC27+AD27)*#REF!</f>
        <v>#VALUE!</v>
      </c>
      <c r="AH27" s="382" t="e">
        <f t="shared" ca="1" si="8"/>
        <v>#VALUE!</v>
      </c>
      <c r="AI27" s="382"/>
      <c r="AJ27" s="382"/>
      <c r="AK27" s="382">
        <f t="shared" si="9"/>
        <v>0.47769888239169767</v>
      </c>
      <c r="AL27" s="382">
        <f t="shared" si="10"/>
        <v>0.47770345471764364</v>
      </c>
      <c r="AM27" s="382">
        <f t="shared" si="11"/>
        <v>0.48325864968161619</v>
      </c>
      <c r="AN27" s="382">
        <f t="shared" si="12"/>
        <v>0.48325864968161619</v>
      </c>
      <c r="AO27" s="382">
        <f t="shared" si="17"/>
        <v>39.97038451088045</v>
      </c>
      <c r="AP27" s="382">
        <f t="shared" si="18"/>
        <v>39.971149672816324</v>
      </c>
      <c r="AQ27" s="382">
        <f t="shared" si="19"/>
        <v>40.906200982235795</v>
      </c>
      <c r="AR27" s="382">
        <f t="shared" si="20"/>
        <v>40.906200982235795</v>
      </c>
      <c r="AS27" s="388" t="str">
        <f t="shared" ca="1" si="13"/>
        <v>-</v>
      </c>
      <c r="AT27" s="388" t="str">
        <f t="shared" ca="1" si="14"/>
        <v>-</v>
      </c>
      <c r="AU27" s="388" t="str">
        <f t="shared" ca="1" si="15"/>
        <v>-</v>
      </c>
      <c r="AV27" s="388" t="str">
        <f t="shared" ca="1" si="16"/>
        <v>-</v>
      </c>
      <c r="AW27" s="382" t="e">
        <f>#REF!*SIN(#REF!)</f>
        <v>#REF!</v>
      </c>
      <c r="AX27" s="382" t="e">
        <f>#REF!*SIN(#REF!)</f>
        <v>#REF!</v>
      </c>
      <c r="AY27" s="382"/>
      <c r="AZ27" s="382"/>
      <c r="BA27" s="388" t="str">
        <f t="shared" ca="1" si="21"/>
        <v>-</v>
      </c>
      <c r="BB27" s="388" t="str">
        <f t="shared" ca="1" si="22"/>
        <v>-</v>
      </c>
      <c r="BC27" s="388" t="str">
        <f t="shared" ca="1" si="23"/>
        <v>-</v>
      </c>
      <c r="BD27" s="388" t="str">
        <f t="shared" ca="1" si="24"/>
        <v>-</v>
      </c>
    </row>
    <row r="28" spans="1:56">
      <c r="A28" t="e">
        <f>IF(#REF!=0,A27,#REF!)</f>
        <v>#REF!</v>
      </c>
      <c r="C28" s="381" t="e">
        <f>#REF!</f>
        <v>#REF!</v>
      </c>
      <c r="D28" s="381" t="e">
        <f>#REF!</f>
        <v>#REF!</v>
      </c>
      <c r="E28" t="s">
        <v>133</v>
      </c>
      <c r="F28" t="s">
        <v>133</v>
      </c>
      <c r="G28" s="382" t="str">
        <f ca="1">IFERROR(C28*Changes!$B$1,"-")</f>
        <v>-</v>
      </c>
      <c r="H28" s="382" t="str">
        <f ca="1">IFERROR(D28*Changes!$B$1,"-")</f>
        <v>-</v>
      </c>
      <c r="I28" s="382" t="str">
        <f ca="1">IFERROR(E28*Changes!$B$1,"-")</f>
        <v>-</v>
      </c>
      <c r="J28" s="382" t="str">
        <f ca="1">IFERROR(F28*Changes!$B$1,"-")</f>
        <v>-</v>
      </c>
      <c r="K28" s="383" t="str">
        <f t="shared" ca="1" si="0"/>
        <v>-</v>
      </c>
      <c r="L28" s="383" t="str">
        <f t="shared" ca="1" si="1"/>
        <v>-</v>
      </c>
      <c r="M28" s="383" t="str">
        <f t="shared" ca="1" si="2"/>
        <v>-</v>
      </c>
      <c r="N28" s="383" t="str">
        <f t="shared" ca="1" si="3"/>
        <v>-</v>
      </c>
      <c r="O28" s="384">
        <f>[1]Particles!$B$13</f>
        <v>512373.33725154324</v>
      </c>
      <c r="P28" s="384">
        <f>[1]Particles!$B$5</f>
        <v>3152.8432598003224</v>
      </c>
      <c r="Q28" s="383">
        <f>IFERROR(VLOOKUP("s",[1]md!$A:$E,5,0)*14.3998434/U28*100,"-")</f>
        <v>1334.4470252244555</v>
      </c>
      <c r="R28" s="383">
        <f>IFERROR(VLOOKUP("s",[1]md!$A:$E,5,0)*14.3998434/V28*100,"-")</f>
        <v>1334.4531591681898</v>
      </c>
      <c r="S28" s="383">
        <f>IFERROR(VLOOKUP("s",[1]md!$A:$E,5,0)*14.3998434/W28*100,"-")</f>
        <v>1349.98531875</v>
      </c>
      <c r="T28" s="383">
        <f>IFERROR(VLOOKUP("s",[1]md!$A:$E,5,0)*14.3998434/X28*100,"-")</f>
        <v>1349.98531875</v>
      </c>
      <c r="U28" s="386">
        <v>2.4279455862663668</v>
      </c>
      <c r="V28" s="386">
        <v>2.4279344259783389</v>
      </c>
      <c r="W28" s="386">
        <v>2.4</v>
      </c>
      <c r="X28" s="386">
        <v>2.4</v>
      </c>
      <c r="Y28" s="382" t="str">
        <f t="shared" ca="1" si="4"/>
        <v>-</v>
      </c>
      <c r="Z28" s="382" t="str">
        <f t="shared" ca="1" si="5"/>
        <v>-</v>
      </c>
      <c r="AA28" s="382" t="str">
        <f t="shared" ca="1" si="6"/>
        <v>-</v>
      </c>
      <c r="AB28" s="382" t="str">
        <f t="shared" ca="1" si="7"/>
        <v>-</v>
      </c>
      <c r="AC28" s="382" t="str">
        <f ca="1">IFERROR(Changes!$B$2*Rotation!C28,"-")</f>
        <v>-</v>
      </c>
      <c r="AD28" s="382" t="str">
        <f ca="1">IFERROR(Changes!$B$2*Rotation!D28,"-")</f>
        <v>-</v>
      </c>
      <c r="AE28" s="382" t="str">
        <f ca="1">IFERROR(Changes!$B$2*Rotation!E28,"-")</f>
        <v>-</v>
      </c>
      <c r="AF28" s="382" t="str">
        <f ca="1">IFERROR(Changes!$B$2*Rotation!F28,"-")</f>
        <v>-</v>
      </c>
      <c r="AG28" s="382" t="e">
        <f ca="1">(AC28+AD28)*#REF!</f>
        <v>#VALUE!</v>
      </c>
      <c r="AH28" s="382" t="e">
        <f t="shared" ca="1" si="8"/>
        <v>#VALUE!</v>
      </c>
      <c r="AI28" s="382"/>
      <c r="AJ28" s="382"/>
      <c r="AK28" s="382">
        <f t="shared" si="9"/>
        <v>0.47769635604536831</v>
      </c>
      <c r="AL28" s="382">
        <f t="shared" si="10"/>
        <v>0.47769855183322252</v>
      </c>
      <c r="AM28" s="382">
        <f t="shared" si="11"/>
        <v>0.48325864968161619</v>
      </c>
      <c r="AN28" s="382">
        <f t="shared" si="12"/>
        <v>0.48325864968161619</v>
      </c>
      <c r="AO28" s="382">
        <f t="shared" si="17"/>
        <v>39.969961739252142</v>
      </c>
      <c r="AP28" s="382">
        <f t="shared" si="18"/>
        <v>39.970329193418877</v>
      </c>
      <c r="AQ28" s="382">
        <f t="shared" si="19"/>
        <v>40.906200982235795</v>
      </c>
      <c r="AR28" s="382">
        <f t="shared" si="20"/>
        <v>40.906200982235795</v>
      </c>
      <c r="AS28" s="388" t="str">
        <f t="shared" ca="1" si="13"/>
        <v>-</v>
      </c>
      <c r="AT28" s="388" t="str">
        <f t="shared" ca="1" si="14"/>
        <v>-</v>
      </c>
      <c r="AU28" s="388" t="str">
        <f t="shared" ca="1" si="15"/>
        <v>-</v>
      </c>
      <c r="AV28" s="388" t="str">
        <f t="shared" ca="1" si="16"/>
        <v>-</v>
      </c>
      <c r="AW28" s="382" t="e">
        <f>#REF!*SIN(#REF!)</f>
        <v>#REF!</v>
      </c>
      <c r="AX28" s="382" t="e">
        <f>#REF!*SIN(#REF!)</f>
        <v>#REF!</v>
      </c>
      <c r="AY28" s="382"/>
      <c r="AZ28" s="382"/>
      <c r="BA28" s="388" t="str">
        <f t="shared" ca="1" si="21"/>
        <v>-</v>
      </c>
      <c r="BB28" s="388" t="str">
        <f t="shared" ca="1" si="22"/>
        <v>-</v>
      </c>
      <c r="BC28" s="388" t="str">
        <f t="shared" ca="1" si="23"/>
        <v>-</v>
      </c>
      <c r="BD28" s="388" t="str">
        <f t="shared" ca="1" si="24"/>
        <v>-</v>
      </c>
    </row>
    <row r="29" spans="1:56">
      <c r="A29" t="e">
        <f>IF(#REF!=0,A28,#REF!)</f>
        <v>#REF!</v>
      </c>
      <c r="C29" s="381" t="e">
        <f>#REF!</f>
        <v>#REF!</v>
      </c>
      <c r="D29" s="381" t="e">
        <f>#REF!</f>
        <v>#REF!</v>
      </c>
      <c r="E29" t="s">
        <v>133</v>
      </c>
      <c r="F29" t="s">
        <v>133</v>
      </c>
      <c r="G29" s="382" t="str">
        <f ca="1">IFERROR(C29*Changes!$B$1,"-")</f>
        <v>-</v>
      </c>
      <c r="H29" s="382" t="str">
        <f ca="1">IFERROR(D29*Changes!$B$1,"-")</f>
        <v>-</v>
      </c>
      <c r="I29" s="382" t="str">
        <f ca="1">IFERROR(E29*Changes!$B$1,"-")</f>
        <v>-</v>
      </c>
      <c r="J29" s="382" t="str">
        <f ca="1">IFERROR(F29*Changes!$B$1,"-")</f>
        <v>-</v>
      </c>
      <c r="K29" s="383" t="str">
        <f t="shared" ca="1" si="0"/>
        <v>-</v>
      </c>
      <c r="L29" s="383" t="str">
        <f t="shared" ca="1" si="1"/>
        <v>-</v>
      </c>
      <c r="M29" s="383" t="str">
        <f t="shared" ca="1" si="2"/>
        <v>-</v>
      </c>
      <c r="N29" s="383" t="str">
        <f t="shared" ca="1" si="3"/>
        <v>-</v>
      </c>
      <c r="O29" s="384">
        <f>[1]Particles!$B$13</f>
        <v>512373.33725154324</v>
      </c>
      <c r="P29" s="384">
        <f>[1]Particles!$B$5</f>
        <v>3152.8432598003224</v>
      </c>
      <c r="Q29" s="383">
        <f>IFERROR(VLOOKUP("s",[1]md!$A:$E,5,0)*14.3998434/U29*100,"-")</f>
        <v>1334.4632232988581</v>
      </c>
      <c r="R29" s="383">
        <f>IFERROR(VLOOKUP("s",[1]md!$A:$E,5,0)*14.3998434/V29*100,"-")</f>
        <v>1334.4663835654296</v>
      </c>
      <c r="S29" s="383">
        <f>IFERROR(VLOOKUP("s",[1]md!$A:$E,5,0)*14.3998434/W29*100,"-")</f>
        <v>1349.98531875</v>
      </c>
      <c r="T29" s="383">
        <f>IFERROR(VLOOKUP("s",[1]md!$A:$E,5,0)*14.3998434/X29*100,"-")</f>
        <v>1349.98531875</v>
      </c>
      <c r="U29" s="386">
        <v>2.4279161152082174</v>
      </c>
      <c r="V29" s="386">
        <v>2.4279103654476901</v>
      </c>
      <c r="W29" s="386">
        <v>2.4</v>
      </c>
      <c r="X29" s="386">
        <v>2.4</v>
      </c>
      <c r="Y29" s="382" t="str">
        <f t="shared" ca="1" si="4"/>
        <v>-</v>
      </c>
      <c r="Z29" s="382" t="str">
        <f t="shared" ca="1" si="5"/>
        <v>-</v>
      </c>
      <c r="AA29" s="382" t="str">
        <f t="shared" ca="1" si="6"/>
        <v>-</v>
      </c>
      <c r="AB29" s="382" t="str">
        <f t="shared" ca="1" si="7"/>
        <v>-</v>
      </c>
      <c r="AC29" s="382" t="str">
        <f ca="1">IFERROR(Changes!$B$2*Rotation!C29,"-")</f>
        <v>-</v>
      </c>
      <c r="AD29" s="382" t="str">
        <f ca="1">IFERROR(Changes!$B$2*Rotation!D29,"-")</f>
        <v>-</v>
      </c>
      <c r="AE29" s="382" t="str">
        <f ca="1">IFERROR(Changes!$B$2*Rotation!E29,"-")</f>
        <v>-</v>
      </c>
      <c r="AF29" s="382" t="str">
        <f ca="1">IFERROR(Changes!$B$2*Rotation!F29,"-")</f>
        <v>-</v>
      </c>
      <c r="AG29" s="382" t="e">
        <f ca="1">(AC29+AD29)*#REF!</f>
        <v>#VALUE!</v>
      </c>
      <c r="AH29" s="382" t="e">
        <f t="shared" ca="1" si="8"/>
        <v>#VALUE!</v>
      </c>
      <c r="AI29" s="382"/>
      <c r="AJ29" s="382"/>
      <c r="AK29" s="382">
        <f t="shared" si="9"/>
        <v>0.47770215452291814</v>
      </c>
      <c r="AL29" s="382">
        <f t="shared" si="10"/>
        <v>0.47770328581385502</v>
      </c>
      <c r="AM29" s="382">
        <f t="shared" si="11"/>
        <v>0.48325864968161619</v>
      </c>
      <c r="AN29" s="382">
        <f t="shared" si="12"/>
        <v>0.48325864968161619</v>
      </c>
      <c r="AO29" s="382">
        <f t="shared" si="17"/>
        <v>39.970932089264274</v>
      </c>
      <c r="AP29" s="382">
        <f t="shared" si="18"/>
        <v>39.971121407258039</v>
      </c>
      <c r="AQ29" s="382">
        <f t="shared" si="19"/>
        <v>40.906200982235795</v>
      </c>
      <c r="AR29" s="382">
        <f t="shared" si="20"/>
        <v>40.906200982235795</v>
      </c>
      <c r="AS29" s="388" t="str">
        <f t="shared" ca="1" si="13"/>
        <v>-</v>
      </c>
      <c r="AT29" s="388" t="str">
        <f t="shared" ca="1" si="14"/>
        <v>-</v>
      </c>
      <c r="AU29" s="388" t="str">
        <f t="shared" ca="1" si="15"/>
        <v>-</v>
      </c>
      <c r="AV29" s="388" t="str">
        <f t="shared" ca="1" si="16"/>
        <v>-</v>
      </c>
      <c r="AW29" s="382" t="e">
        <f>#REF!*SIN(#REF!)</f>
        <v>#REF!</v>
      </c>
      <c r="AX29" s="382" t="e">
        <f>#REF!*SIN(#REF!)</f>
        <v>#REF!</v>
      </c>
      <c r="AY29" s="382"/>
      <c r="AZ29" s="382"/>
      <c r="BA29" s="388" t="str">
        <f t="shared" ca="1" si="21"/>
        <v>-</v>
      </c>
      <c r="BB29" s="388" t="str">
        <f t="shared" ca="1" si="22"/>
        <v>-</v>
      </c>
      <c r="BC29" s="388" t="str">
        <f t="shared" ca="1" si="23"/>
        <v>-</v>
      </c>
      <c r="BD29" s="388" t="str">
        <f t="shared" ca="1" si="24"/>
        <v>-</v>
      </c>
    </row>
    <row r="30" spans="1:56">
      <c r="A30" t="e">
        <f>IF(#REF!=0,A29,#REF!)</f>
        <v>#REF!</v>
      </c>
      <c r="C30" s="381" t="e">
        <f>#REF!</f>
        <v>#REF!</v>
      </c>
      <c r="D30" s="381" t="e">
        <f>#REF!</f>
        <v>#REF!</v>
      </c>
      <c r="E30" t="s">
        <v>133</v>
      </c>
      <c r="F30" t="s">
        <v>133</v>
      </c>
      <c r="G30" s="382" t="str">
        <f ca="1">IFERROR(C30*Changes!$B$1,"-")</f>
        <v>-</v>
      </c>
      <c r="H30" s="382" t="str">
        <f ca="1">IFERROR(D30*Changes!$B$1,"-")</f>
        <v>-</v>
      </c>
      <c r="I30" s="382" t="str">
        <f ca="1">IFERROR(E30*Changes!$B$1,"-")</f>
        <v>-</v>
      </c>
      <c r="J30" s="382" t="str">
        <f ca="1">IFERROR(F30*Changes!$B$1,"-")</f>
        <v>-</v>
      </c>
      <c r="K30" s="383" t="str">
        <f t="shared" ca="1" si="0"/>
        <v>-</v>
      </c>
      <c r="L30" s="383" t="str">
        <f t="shared" ca="1" si="1"/>
        <v>-</v>
      </c>
      <c r="M30" s="383" t="str">
        <f t="shared" ca="1" si="2"/>
        <v>-</v>
      </c>
      <c r="N30" s="383" t="str">
        <f t="shared" ca="1" si="3"/>
        <v>-</v>
      </c>
      <c r="O30" s="384">
        <f>[1]Particles!$B$13</f>
        <v>512373.33725154324</v>
      </c>
      <c r="P30" s="384">
        <f>[1]Particles!$B$5</f>
        <v>3152.8432598003224</v>
      </c>
      <c r="Q30" s="383">
        <f>IFERROR(VLOOKUP("s",[1]md!$A:$E,5,0)*14.3998434/U30*100,"-")</f>
        <v>1334.4632232988581</v>
      </c>
      <c r="R30" s="383">
        <f>IFERROR(VLOOKUP("s",[1]md!$A:$E,5,0)*14.3998434/V30*100,"-")</f>
        <v>1334.4663835652259</v>
      </c>
      <c r="S30" s="383">
        <f>IFERROR(VLOOKUP("s",[1]md!$A:$E,5,0)*14.3998434/W30*100,"-")</f>
        <v>1349.98531875</v>
      </c>
      <c r="T30" s="383">
        <f>IFERROR(VLOOKUP("s",[1]md!$A:$E,5,0)*14.3998434/X30*100,"-")</f>
        <v>1349.98531875</v>
      </c>
      <c r="U30" s="386">
        <v>2.4279161152082174</v>
      </c>
      <c r="V30" s="386">
        <v>2.4279103654480609</v>
      </c>
      <c r="W30" s="386">
        <v>2.4</v>
      </c>
      <c r="X30" s="386">
        <v>2.4</v>
      </c>
      <c r="Y30" s="382" t="str">
        <f t="shared" ca="1" si="4"/>
        <v>-</v>
      </c>
      <c r="Z30" s="382" t="str">
        <f t="shared" ca="1" si="5"/>
        <v>-</v>
      </c>
      <c r="AA30" s="382" t="str">
        <f t="shared" ca="1" si="6"/>
        <v>-</v>
      </c>
      <c r="AB30" s="382" t="str">
        <f t="shared" ca="1" si="7"/>
        <v>-</v>
      </c>
      <c r="AC30" s="382" t="str">
        <f ca="1">IFERROR(Changes!$B$2*Rotation!C30,"-")</f>
        <v>-</v>
      </c>
      <c r="AD30" s="382" t="str">
        <f ca="1">IFERROR(Changes!$B$2*Rotation!D30,"-")</f>
        <v>-</v>
      </c>
      <c r="AE30" s="382" t="str">
        <f ca="1">IFERROR(Changes!$B$2*Rotation!E30,"-")</f>
        <v>-</v>
      </c>
      <c r="AF30" s="382" t="str">
        <f ca="1">IFERROR(Changes!$B$2*Rotation!F30,"-")</f>
        <v>-</v>
      </c>
      <c r="AG30" s="382" t="e">
        <f ca="1">(AC30+AD30)*#REF!</f>
        <v>#VALUE!</v>
      </c>
      <c r="AH30" s="382" t="e">
        <f t="shared" ca="1" si="8"/>
        <v>#VALUE!</v>
      </c>
      <c r="AI30" s="382"/>
      <c r="AJ30" s="382"/>
      <c r="AK30" s="382">
        <f t="shared" si="9"/>
        <v>0.47770215452291814</v>
      </c>
      <c r="AL30" s="382">
        <f t="shared" si="10"/>
        <v>0.47770328581378202</v>
      </c>
      <c r="AM30" s="382">
        <f t="shared" si="11"/>
        <v>0.48325864968161619</v>
      </c>
      <c r="AN30" s="382">
        <f t="shared" si="12"/>
        <v>0.48325864968161619</v>
      </c>
      <c r="AO30" s="382">
        <f t="shared" si="17"/>
        <v>39.970932089264274</v>
      </c>
      <c r="AP30" s="382">
        <f t="shared" si="18"/>
        <v>39.971121407245818</v>
      </c>
      <c r="AQ30" s="382">
        <f t="shared" si="19"/>
        <v>40.906200982235795</v>
      </c>
      <c r="AR30" s="382">
        <f t="shared" si="20"/>
        <v>40.906200982235795</v>
      </c>
      <c r="AS30" s="388" t="str">
        <f t="shared" ca="1" si="13"/>
        <v>-</v>
      </c>
      <c r="AT30" s="388" t="str">
        <f t="shared" ca="1" si="14"/>
        <v>-</v>
      </c>
      <c r="AU30" s="388" t="str">
        <f t="shared" ca="1" si="15"/>
        <v>-</v>
      </c>
      <c r="AV30" s="388" t="str">
        <f t="shared" ca="1" si="16"/>
        <v>-</v>
      </c>
      <c r="AW30" s="382" t="e">
        <f>#REF!*SIN(#REF!)</f>
        <v>#REF!</v>
      </c>
      <c r="AX30" s="382" t="e">
        <f>#REF!*SIN(#REF!)</f>
        <v>#REF!</v>
      </c>
      <c r="AY30" s="382"/>
      <c r="AZ30" s="382"/>
      <c r="BA30" s="388" t="str">
        <f t="shared" ca="1" si="21"/>
        <v>-</v>
      </c>
      <c r="BB30" s="388" t="str">
        <f t="shared" ca="1" si="22"/>
        <v>-</v>
      </c>
      <c r="BC30" s="388" t="str">
        <f t="shared" ca="1" si="23"/>
        <v>-</v>
      </c>
      <c r="BD30" s="388" t="str">
        <f t="shared" ca="1" si="24"/>
        <v>-</v>
      </c>
    </row>
    <row r="31" spans="1:56">
      <c r="A31" t="e">
        <f>IF(#REF!=0,A30,#REF!)</f>
        <v>#REF!</v>
      </c>
      <c r="C31" s="381" t="e">
        <f>#REF!</f>
        <v>#REF!</v>
      </c>
      <c r="D31" s="381" t="e">
        <f>#REF!</f>
        <v>#REF!</v>
      </c>
      <c r="E31" t="s">
        <v>133</v>
      </c>
      <c r="F31" t="s">
        <v>133</v>
      </c>
      <c r="G31" s="382" t="str">
        <f ca="1">IFERROR(C31*Changes!$B$1,"-")</f>
        <v>-</v>
      </c>
      <c r="H31" s="382" t="str">
        <f ca="1">IFERROR(D31*Changes!$B$1,"-")</f>
        <v>-</v>
      </c>
      <c r="I31" s="382" t="str">
        <f ca="1">IFERROR(E31*Changes!$B$1,"-")</f>
        <v>-</v>
      </c>
      <c r="J31" s="382" t="str">
        <f ca="1">IFERROR(F31*Changes!$B$1,"-")</f>
        <v>-</v>
      </c>
      <c r="K31" s="383" t="str">
        <f t="shared" ca="1" si="0"/>
        <v>-</v>
      </c>
      <c r="L31" s="383" t="str">
        <f t="shared" ca="1" si="1"/>
        <v>-</v>
      </c>
      <c r="M31" s="383" t="str">
        <f t="shared" ca="1" si="2"/>
        <v>-</v>
      </c>
      <c r="N31" s="383" t="str">
        <f t="shared" ca="1" si="3"/>
        <v>-</v>
      </c>
      <c r="O31" s="384">
        <f>[1]Particles!$B$13</f>
        <v>512373.33725154324</v>
      </c>
      <c r="P31" s="384">
        <f>[1]Particles!$B$5</f>
        <v>3152.8432598003224</v>
      </c>
      <c r="Q31" s="383">
        <f>IFERROR(VLOOKUP("s",[1]md!$A:$E,5,0)*14.3998434/U31*100,"-")</f>
        <v>1334.4628717329349</v>
      </c>
      <c r="R31" s="383">
        <f>IFERROR(VLOOKUP("s",[1]md!$A:$E,5,0)*14.3998434/V31*100,"-")</f>
        <v>1334.4641344381682</v>
      </c>
      <c r="S31" s="383">
        <f>IFERROR(VLOOKUP("s",[1]md!$A:$E,5,0)*14.3998434/W31*100,"-")</f>
        <v>1349.98531875</v>
      </c>
      <c r="T31" s="383">
        <f>IFERROR(VLOOKUP("s",[1]md!$A:$E,5,0)*14.3998434/X31*100,"-")</f>
        <v>1349.98531875</v>
      </c>
      <c r="U31" s="386">
        <v>2.4279167548457741</v>
      </c>
      <c r="V31" s="386">
        <v>2.4279144574867719</v>
      </c>
      <c r="W31" s="386">
        <v>2.4</v>
      </c>
      <c r="X31" s="386">
        <v>2.4</v>
      </c>
      <c r="Y31" s="382" t="str">
        <f t="shared" ca="1" si="4"/>
        <v>-</v>
      </c>
      <c r="Z31" s="382" t="str">
        <f t="shared" ca="1" si="5"/>
        <v>-</v>
      </c>
      <c r="AA31" s="382" t="str">
        <f t="shared" ca="1" si="6"/>
        <v>-</v>
      </c>
      <c r="AB31" s="382" t="str">
        <f t="shared" ca="1" si="7"/>
        <v>-</v>
      </c>
      <c r="AC31" s="382" t="str">
        <f ca="1">IFERROR(Changes!$B$2*Rotation!C31,"-")</f>
        <v>-</v>
      </c>
      <c r="AD31" s="382" t="str">
        <f ca="1">IFERROR(Changes!$B$2*Rotation!D31,"-")</f>
        <v>-</v>
      </c>
      <c r="AE31" s="382" t="str">
        <f ca="1">IFERROR(Changes!$B$2*Rotation!E31,"-")</f>
        <v>-</v>
      </c>
      <c r="AF31" s="382" t="str">
        <f ca="1">IFERROR(Changes!$B$2*Rotation!F31,"-")</f>
        <v>-</v>
      </c>
      <c r="AG31" s="382" t="e">
        <f ca="1">(AC31+AD31)*#REF!</f>
        <v>#VALUE!</v>
      </c>
      <c r="AH31" s="382" t="e">
        <f t="shared" ca="1" si="8"/>
        <v>#VALUE!</v>
      </c>
      <c r="AI31" s="382"/>
      <c r="AJ31" s="382"/>
      <c r="AK31" s="382">
        <f t="shared" si="9"/>
        <v>0.4777020286717174</v>
      </c>
      <c r="AL31" s="382">
        <f t="shared" si="10"/>
        <v>0.47770248068643006</v>
      </c>
      <c r="AM31" s="382">
        <f t="shared" si="11"/>
        <v>0.48325864968161619</v>
      </c>
      <c r="AN31" s="382">
        <f t="shared" si="12"/>
        <v>0.48325864968161619</v>
      </c>
      <c r="AO31" s="382">
        <f t="shared" si="17"/>
        <v>39.970911028487855</v>
      </c>
      <c r="AP31" s="382">
        <f t="shared" si="18"/>
        <v>39.970986671660071</v>
      </c>
      <c r="AQ31" s="382">
        <f t="shared" si="19"/>
        <v>40.906200982235795</v>
      </c>
      <c r="AR31" s="382">
        <f t="shared" si="20"/>
        <v>40.906200982235795</v>
      </c>
      <c r="AS31" s="388" t="str">
        <f t="shared" ca="1" si="13"/>
        <v>-</v>
      </c>
      <c r="AT31" s="388" t="str">
        <f t="shared" ca="1" si="14"/>
        <v>-</v>
      </c>
      <c r="AU31" s="388" t="str">
        <f t="shared" ca="1" si="15"/>
        <v>-</v>
      </c>
      <c r="AV31" s="388" t="str">
        <f t="shared" ca="1" si="16"/>
        <v>-</v>
      </c>
      <c r="AW31" s="382" t="e">
        <f>#REF!*SIN(#REF!)</f>
        <v>#REF!</v>
      </c>
      <c r="AX31" s="382" t="e">
        <f>#REF!*SIN(#REF!)</f>
        <v>#REF!</v>
      </c>
      <c r="AY31" s="382"/>
      <c r="AZ31" s="382"/>
      <c r="BA31" s="388" t="str">
        <f t="shared" ca="1" si="21"/>
        <v>-</v>
      </c>
      <c r="BB31" s="388" t="str">
        <f t="shared" ca="1" si="22"/>
        <v>-</v>
      </c>
      <c r="BC31" s="388" t="str">
        <f t="shared" ca="1" si="23"/>
        <v>-</v>
      </c>
      <c r="BD31" s="388" t="str">
        <f t="shared" ca="1" si="24"/>
        <v>-</v>
      </c>
    </row>
    <row r="32" spans="1:56">
      <c r="A32" t="e">
        <f>IF(#REF!=0,A31,#REF!)</f>
        <v>#REF!</v>
      </c>
      <c r="C32" s="381" t="e">
        <f>#REF!</f>
        <v>#REF!</v>
      </c>
      <c r="D32" s="381" t="e">
        <f>#REF!</f>
        <v>#REF!</v>
      </c>
      <c r="E32" t="s">
        <v>133</v>
      </c>
      <c r="F32" t="s">
        <v>133</v>
      </c>
      <c r="G32" s="382" t="str">
        <f ca="1">IFERROR(C32*Changes!$B$1,"-")</f>
        <v>-</v>
      </c>
      <c r="H32" s="382" t="str">
        <f ca="1">IFERROR(D32*Changes!$B$1,"-")</f>
        <v>-</v>
      </c>
      <c r="I32" s="382" t="str">
        <f ca="1">IFERROR(E32*Changes!$B$1,"-")</f>
        <v>-</v>
      </c>
      <c r="J32" s="382" t="str">
        <f ca="1">IFERROR(F32*Changes!$B$1,"-")</f>
        <v>-</v>
      </c>
      <c r="K32" s="383" t="str">
        <f t="shared" ca="1" si="0"/>
        <v>-</v>
      </c>
      <c r="L32" s="383" t="str">
        <f t="shared" ca="1" si="1"/>
        <v>-</v>
      </c>
      <c r="M32" s="383" t="str">
        <f t="shared" ca="1" si="2"/>
        <v>-</v>
      </c>
      <c r="N32" s="383" t="str">
        <f t="shared" ca="1" si="3"/>
        <v>-</v>
      </c>
      <c r="O32" s="384">
        <f>[1]Particles!$B$13</f>
        <v>512373.33725154324</v>
      </c>
      <c r="P32" s="384">
        <f>[1]Particles!$B$5</f>
        <v>3152.8432598003224</v>
      </c>
      <c r="Q32" s="383">
        <f>IFERROR(VLOOKUP("s",[1]md!$A:$E,5,0)*14.3998434/U32*100,"-")</f>
        <v>1334.4643431014283</v>
      </c>
      <c r="R32" s="383">
        <f>IFERROR(VLOOKUP("s",[1]md!$A:$E,5,0)*14.3998434/V32*100,"-")</f>
        <v>1334.4744731581948</v>
      </c>
      <c r="S32" s="383">
        <f>IFERROR(VLOOKUP("s",[1]md!$A:$E,5,0)*14.3998434/W32*100,"-")</f>
        <v>1349.98531875</v>
      </c>
      <c r="T32" s="383">
        <f>IFERROR(VLOOKUP("s",[1]md!$A:$E,5,0)*14.3998434/X32*100,"-")</f>
        <v>1349.98531875</v>
      </c>
      <c r="U32" s="386">
        <v>2.427914077846395</v>
      </c>
      <c r="V32" s="386">
        <v>2.4278956474395743</v>
      </c>
      <c r="W32" s="386">
        <v>2.4</v>
      </c>
      <c r="X32" s="386">
        <v>2.4</v>
      </c>
      <c r="Y32" s="382" t="str">
        <f t="shared" ca="1" si="4"/>
        <v>-</v>
      </c>
      <c r="Z32" s="382" t="str">
        <f t="shared" ca="1" si="5"/>
        <v>-</v>
      </c>
      <c r="AA32" s="382" t="str">
        <f t="shared" ca="1" si="6"/>
        <v>-</v>
      </c>
      <c r="AB32" s="382" t="str">
        <f t="shared" ca="1" si="7"/>
        <v>-</v>
      </c>
      <c r="AC32" s="382" t="str">
        <f ca="1">IFERROR(Changes!$B$2*Rotation!C32,"-")</f>
        <v>-</v>
      </c>
      <c r="AD32" s="382" t="str">
        <f ca="1">IFERROR(Changes!$B$2*Rotation!D32,"-")</f>
        <v>-</v>
      </c>
      <c r="AE32" s="382" t="str">
        <f ca="1">IFERROR(Changes!$B$2*Rotation!E32,"-")</f>
        <v>-</v>
      </c>
      <c r="AF32" s="382" t="str">
        <f ca="1">IFERROR(Changes!$B$2*Rotation!F32,"-")</f>
        <v>-</v>
      </c>
      <c r="AG32" s="382" t="e">
        <f ca="1">(AC32+AD32)*#REF!</f>
        <v>#VALUE!</v>
      </c>
      <c r="AH32" s="382" t="e">
        <f t="shared" ca="1" si="8"/>
        <v>#VALUE!</v>
      </c>
      <c r="AI32" s="382"/>
      <c r="AJ32" s="382"/>
      <c r="AK32" s="382">
        <f t="shared" si="9"/>
        <v>0.47770255538229811</v>
      </c>
      <c r="AL32" s="382">
        <f t="shared" si="10"/>
        <v>0.47770618167177414</v>
      </c>
      <c r="AM32" s="382">
        <f t="shared" si="11"/>
        <v>0.48325864968161619</v>
      </c>
      <c r="AN32" s="382">
        <f t="shared" si="12"/>
        <v>0.48325864968161619</v>
      </c>
      <c r="AO32" s="382">
        <f t="shared" si="17"/>
        <v>39.97099917177426</v>
      </c>
      <c r="AP32" s="382">
        <f t="shared" si="18"/>
        <v>39.971606022050281</v>
      </c>
      <c r="AQ32" s="382">
        <f t="shared" si="19"/>
        <v>40.906200982235795</v>
      </c>
      <c r="AR32" s="382">
        <f t="shared" si="20"/>
        <v>40.906200982235795</v>
      </c>
      <c r="AS32" s="388" t="str">
        <f t="shared" ca="1" si="13"/>
        <v>-</v>
      </c>
      <c r="AT32" s="388" t="str">
        <f t="shared" ca="1" si="14"/>
        <v>-</v>
      </c>
      <c r="AU32" s="388" t="str">
        <f t="shared" ca="1" si="15"/>
        <v>-</v>
      </c>
      <c r="AV32" s="388" t="str">
        <f t="shared" ca="1" si="16"/>
        <v>-</v>
      </c>
      <c r="AW32" s="382" t="e">
        <f>#REF!*SIN(#REF!)</f>
        <v>#REF!</v>
      </c>
      <c r="AX32" s="382" t="e">
        <f>#REF!*SIN(#REF!)</f>
        <v>#REF!</v>
      </c>
      <c r="AY32" s="382"/>
      <c r="AZ32" s="382"/>
      <c r="BA32" s="388" t="str">
        <f t="shared" ca="1" si="21"/>
        <v>-</v>
      </c>
      <c r="BB32" s="388" t="str">
        <f t="shared" ca="1" si="22"/>
        <v>-</v>
      </c>
      <c r="BC32" s="388" t="str">
        <f t="shared" ca="1" si="23"/>
        <v>-</v>
      </c>
      <c r="BD32" s="388" t="str">
        <f t="shared" ca="1" si="24"/>
        <v>-</v>
      </c>
    </row>
    <row r="33" spans="1:56">
      <c r="A33" t="e">
        <f>IF(#REF!=0,A32,#REF!)</f>
        <v>#REF!</v>
      </c>
      <c r="C33" s="381" t="e">
        <f>#REF!</f>
        <v>#REF!</v>
      </c>
      <c r="D33" s="381" t="e">
        <f>#REF!</f>
        <v>#REF!</v>
      </c>
      <c r="E33" t="s">
        <v>133</v>
      </c>
      <c r="F33" t="s">
        <v>133</v>
      </c>
      <c r="G33" s="382" t="str">
        <f ca="1">IFERROR(C33*Changes!$B$1,"-")</f>
        <v>-</v>
      </c>
      <c r="H33" s="382" t="str">
        <f ca="1">IFERROR(D33*Changes!$B$1,"-")</f>
        <v>-</v>
      </c>
      <c r="I33" s="382" t="str">
        <f ca="1">IFERROR(E33*Changes!$B$1,"-")</f>
        <v>-</v>
      </c>
      <c r="J33" s="382" t="str">
        <f ca="1">IFERROR(F33*Changes!$B$1,"-")</f>
        <v>-</v>
      </c>
      <c r="K33" s="383" t="str">
        <f t="shared" ca="1" si="0"/>
        <v>-</v>
      </c>
      <c r="L33" s="383" t="str">
        <f t="shared" ca="1" si="1"/>
        <v>-</v>
      </c>
      <c r="M33" s="383" t="str">
        <f t="shared" ca="1" si="2"/>
        <v>-</v>
      </c>
      <c r="N33" s="383" t="str">
        <f t="shared" ca="1" si="3"/>
        <v>-</v>
      </c>
      <c r="O33" s="384">
        <f>[1]Particles!$B$13</f>
        <v>512373.33725154324</v>
      </c>
      <c r="P33" s="384">
        <f>[1]Particles!$B$5</f>
        <v>3152.8432598003224</v>
      </c>
      <c r="Q33" s="383">
        <f>IFERROR(VLOOKUP("s",[1]md!$A:$E,5,0)*14.3998434/U33*100,"-")</f>
        <v>1334.4669212515307</v>
      </c>
      <c r="R33" s="383">
        <f>IFERROR(VLOOKUP("s",[1]md!$A:$E,5,0)*14.3998434/V33*100,"-")</f>
        <v>1334.4744733041834</v>
      </c>
      <c r="S33" s="383">
        <f>IFERROR(VLOOKUP("s",[1]md!$A:$E,5,0)*14.3998434/W33*100,"-")</f>
        <v>1349.98531875</v>
      </c>
      <c r="T33" s="383">
        <f>IFERROR(VLOOKUP("s",[1]md!$A:$E,5,0)*14.3998434/X33*100,"-")</f>
        <v>1349.98531875</v>
      </c>
      <c r="U33" s="386">
        <v>2.4279093871891528</v>
      </c>
      <c r="V33" s="386">
        <v>2.4278956471739672</v>
      </c>
      <c r="W33" s="386">
        <v>2.4</v>
      </c>
      <c r="X33" s="386">
        <v>2.4</v>
      </c>
      <c r="Y33" s="382" t="str">
        <f t="shared" ca="1" si="4"/>
        <v>-</v>
      </c>
      <c r="Z33" s="382" t="str">
        <f t="shared" ca="1" si="5"/>
        <v>-</v>
      </c>
      <c r="AA33" s="382" t="str">
        <f t="shared" ca="1" si="6"/>
        <v>-</v>
      </c>
      <c r="AB33" s="382" t="str">
        <f t="shared" ca="1" si="7"/>
        <v>-</v>
      </c>
      <c r="AC33" s="382" t="str">
        <f ca="1">IFERROR(Changes!$B$2*Rotation!C33,"-")</f>
        <v>-</v>
      </c>
      <c r="AD33" s="382" t="str">
        <f ca="1">IFERROR(Changes!$B$2*Rotation!D33,"-")</f>
        <v>-</v>
      </c>
      <c r="AE33" s="382" t="str">
        <f ca="1">IFERROR(Changes!$B$2*Rotation!E33,"-")</f>
        <v>-</v>
      </c>
      <c r="AF33" s="382" t="str">
        <f ca="1">IFERROR(Changes!$B$2*Rotation!F33,"-")</f>
        <v>-</v>
      </c>
      <c r="AG33" s="382" t="e">
        <f ca="1">(AC33+AD33)*#REF!</f>
        <v>#VALUE!</v>
      </c>
      <c r="AH33" s="382" t="e">
        <f t="shared" ca="1" si="8"/>
        <v>#VALUE!</v>
      </c>
      <c r="AI33" s="382"/>
      <c r="AJ33" s="382"/>
      <c r="AK33" s="382">
        <f t="shared" si="9"/>
        <v>0.47770347829110316</v>
      </c>
      <c r="AL33" s="382">
        <f t="shared" si="10"/>
        <v>0.47770618172403428</v>
      </c>
      <c r="AM33" s="382">
        <f t="shared" si="11"/>
        <v>0.48325864968161619</v>
      </c>
      <c r="AN33" s="382">
        <f t="shared" si="12"/>
        <v>0.48325864968161619</v>
      </c>
      <c r="AO33" s="382">
        <f t="shared" si="17"/>
        <v>39.971153617767072</v>
      </c>
      <c r="AP33" s="382">
        <f t="shared" si="18"/>
        <v>39.971606030795925</v>
      </c>
      <c r="AQ33" s="382">
        <f t="shared" si="19"/>
        <v>40.906200982235795</v>
      </c>
      <c r="AR33" s="382">
        <f t="shared" si="20"/>
        <v>40.906200982235795</v>
      </c>
      <c r="AS33" s="388" t="str">
        <f t="shared" ca="1" si="13"/>
        <v>-</v>
      </c>
      <c r="AT33" s="388" t="str">
        <f t="shared" ca="1" si="14"/>
        <v>-</v>
      </c>
      <c r="AU33" s="388" t="str">
        <f t="shared" ca="1" si="15"/>
        <v>-</v>
      </c>
      <c r="AV33" s="388" t="str">
        <f t="shared" ca="1" si="16"/>
        <v>-</v>
      </c>
      <c r="AW33" s="382" t="e">
        <f>#REF!*SIN(#REF!)</f>
        <v>#REF!</v>
      </c>
      <c r="AX33" s="382" t="e">
        <f>#REF!*SIN(#REF!)</f>
        <v>#REF!</v>
      </c>
      <c r="AY33" s="382"/>
      <c r="AZ33" s="382"/>
      <c r="BA33" s="388" t="str">
        <f t="shared" ca="1" si="21"/>
        <v>-</v>
      </c>
      <c r="BB33" s="388" t="str">
        <f t="shared" ca="1" si="22"/>
        <v>-</v>
      </c>
      <c r="BC33" s="388" t="str">
        <f t="shared" ca="1" si="23"/>
        <v>-</v>
      </c>
      <c r="BD33" s="388" t="str">
        <f t="shared" ca="1" si="24"/>
        <v>-</v>
      </c>
    </row>
    <row r="34" spans="1:56">
      <c r="A34" t="e">
        <f>IF(#REF!=0,A33,#REF!)</f>
        <v>#REF!</v>
      </c>
      <c r="C34" s="381" t="e">
        <f>#REF!</f>
        <v>#REF!</v>
      </c>
      <c r="D34" s="381" t="e">
        <f>#REF!</f>
        <v>#REF!</v>
      </c>
      <c r="E34" t="s">
        <v>133</v>
      </c>
      <c r="F34" t="s">
        <v>133</v>
      </c>
      <c r="G34" s="382" t="str">
        <f ca="1">IFERROR(C34*Changes!$B$1,"-")</f>
        <v>-</v>
      </c>
      <c r="H34" s="382" t="str">
        <f ca="1">IFERROR(D34*Changes!$B$1,"-")</f>
        <v>-</v>
      </c>
      <c r="I34" s="382" t="str">
        <f ca="1">IFERROR(E34*Changes!$B$1,"-")</f>
        <v>-</v>
      </c>
      <c r="J34" s="382" t="str">
        <f ca="1">IFERROR(F34*Changes!$B$1,"-")</f>
        <v>-</v>
      </c>
      <c r="K34" s="383" t="str">
        <f t="shared" ref="K34:K65" ca="1" si="25">IFERROR($O34-G34-Q34-AC34-AO34,"-")</f>
        <v>-</v>
      </c>
      <c r="L34" s="383" t="str">
        <f t="shared" ref="L34:L65" ca="1" si="26">IFERROR($O34-H34-R34-AD34-AP34,"-")</f>
        <v>-</v>
      </c>
      <c r="M34" s="383" t="str">
        <f t="shared" ref="M34:M65" ca="1" si="27">IFERROR($O34-I34-S34-AE34-AQ34,"-")</f>
        <v>-</v>
      </c>
      <c r="N34" s="383" t="str">
        <f t="shared" ref="N34:N65" ca="1" si="28">IFERROR($O34-J34-T34-AF34-AR34,"-")</f>
        <v>-</v>
      </c>
      <c r="O34" s="384">
        <f>[1]Particles!$B$13</f>
        <v>512373.33725154324</v>
      </c>
      <c r="P34" s="384">
        <f>[1]Particles!$B$5</f>
        <v>3152.8432598003224</v>
      </c>
      <c r="Q34" s="383">
        <f>IFERROR(VLOOKUP("s",[1]md!$A:$E,5,0)*14.3998434/U34*100,"-")</f>
        <v>1334.4650983171152</v>
      </c>
      <c r="R34" s="383">
        <f>IFERROR(VLOOKUP("s",[1]md!$A:$E,5,0)*14.3998434/V34*100,"-")</f>
        <v>1334.465087022435</v>
      </c>
      <c r="S34" s="383">
        <f>IFERROR(VLOOKUP("s",[1]md!$A:$E,5,0)*14.3998434/W34*100,"-")</f>
        <v>1349.98531875</v>
      </c>
      <c r="T34" s="383">
        <f>IFERROR(VLOOKUP("s",[1]md!$A:$E,5,0)*14.3998434/X34*100,"-")</f>
        <v>1349.98531875</v>
      </c>
      <c r="U34" s="386">
        <v>2.4279127038136084</v>
      </c>
      <c r="V34" s="386">
        <v>2.4279127243630385</v>
      </c>
      <c r="W34" s="386">
        <v>2.4</v>
      </c>
      <c r="X34" s="386">
        <v>2.4</v>
      </c>
      <c r="Y34" s="382" t="str">
        <f t="shared" ref="Y34:Y65" ca="1" si="29">IFERROR(6.582119514/K34*3*2*PI()*10^4,"-")</f>
        <v>-</v>
      </c>
      <c r="Z34" s="382" t="str">
        <f t="shared" ref="Z34:Z65" ca="1" si="30">IFERROR(6.582119514/L34*3*2*PI()*10^4,"-")</f>
        <v>-</v>
      </c>
      <c r="AA34" s="382" t="str">
        <f t="shared" ref="AA34:AA65" ca="1" si="31">IFERROR(6.582119514/M34*3*2*PI()*10^4,"-")</f>
        <v>-</v>
      </c>
      <c r="AB34" s="382" t="str">
        <f t="shared" ref="AB34:AB65" ca="1" si="32">IFERROR(6.582119514/N34*3*2*PI()*10^4,"-")</f>
        <v>-</v>
      </c>
      <c r="AC34" s="382" t="str">
        <f ca="1">IFERROR(Changes!$B$2*Rotation!C34,"-")</f>
        <v>-</v>
      </c>
      <c r="AD34" s="382" t="str">
        <f ca="1">IFERROR(Changes!$B$2*Rotation!D34,"-")</f>
        <v>-</v>
      </c>
      <c r="AE34" s="382" t="str">
        <f ca="1">IFERROR(Changes!$B$2*Rotation!E34,"-")</f>
        <v>-</v>
      </c>
      <c r="AF34" s="382" t="str">
        <f ca="1">IFERROR(Changes!$B$2*Rotation!F34,"-")</f>
        <v>-</v>
      </c>
      <c r="AG34" s="382" t="e">
        <f ca="1">(AC34+AD34)*#REF!</f>
        <v>#VALUE!</v>
      </c>
      <c r="AH34" s="382" t="e">
        <f t="shared" ref="AH34:AH65" ca="1" si="33">AC34+AD34-AG34</f>
        <v>#VALUE!</v>
      </c>
      <c r="AI34" s="382"/>
      <c r="AJ34" s="382"/>
      <c r="AK34" s="382">
        <f t="shared" ref="AK34:AK65" si="34">IFERROR((0.5*6.582119514/U34/$P34)*100/9*100,"-")</f>
        <v>0.47770282572932188</v>
      </c>
      <c r="AL34" s="382">
        <f t="shared" ref="AL34:AL65" si="35">IFERROR((0.5*6.582119514/V34/$P34)*100/9*100,"-")</f>
        <v>0.47770282168612849</v>
      </c>
      <c r="AM34" s="382">
        <f t="shared" ref="AM34:AM65" si="36">IFERROR((0.5*6.582119514/W34/$P34)*100/9*100,"-")</f>
        <v>0.48325864968161619</v>
      </c>
      <c r="AN34" s="382">
        <f t="shared" ref="AN34:AN65" si="37">IFERROR((0.5*6.582119514/X34/$P34)*100/9*100,"-")</f>
        <v>0.48325864968161619</v>
      </c>
      <c r="AO34" s="382">
        <f t="shared" si="17"/>
        <v>39.971044413498845</v>
      </c>
      <c r="AP34" s="382">
        <f t="shared" si="18"/>
        <v>39.971043736882955</v>
      </c>
      <c r="AQ34" s="382">
        <f t="shared" si="19"/>
        <v>40.906200982235795</v>
      </c>
      <c r="AR34" s="382">
        <f t="shared" si="20"/>
        <v>40.906200982235795</v>
      </c>
      <c r="AS34" s="388" t="str">
        <f t="shared" ref="AS34:AS65" ca="1" si="38">IFERROR((2*AG34/-K34)^0.5*3,"-")</f>
        <v>-</v>
      </c>
      <c r="AT34" s="388" t="str">
        <f t="shared" ref="AT34:AT65" ca="1" si="39">IFERROR((2*AH34/-L34)^0.5*3,"-")</f>
        <v>-</v>
      </c>
      <c r="AU34" s="388" t="str">
        <f t="shared" ref="AU34:AU65" ca="1" si="40">IFERROR((2*AI34/-M34)^0.5*3,"-")</f>
        <v>-</v>
      </c>
      <c r="AV34" s="388" t="str">
        <f t="shared" ref="AV34:AV65" ca="1" si="41">IFERROR((2*AJ34/-N34)^0.5*3,"-")</f>
        <v>-</v>
      </c>
      <c r="AW34" s="382" t="e">
        <f>#REF!*SIN(#REF!)</f>
        <v>#REF!</v>
      </c>
      <c r="AX34" s="382" t="e">
        <f>#REF!*SIN(#REF!)</f>
        <v>#REF!</v>
      </c>
      <c r="AY34" s="382"/>
      <c r="AZ34" s="382"/>
      <c r="BA34" s="388" t="str">
        <f t="shared" ca="1" si="21"/>
        <v>-</v>
      </c>
      <c r="BB34" s="388" t="str">
        <f t="shared" ca="1" si="22"/>
        <v>-</v>
      </c>
      <c r="BC34" s="388" t="str">
        <f t="shared" ca="1" si="23"/>
        <v>-</v>
      </c>
      <c r="BD34" s="388" t="str">
        <f t="shared" ca="1" si="24"/>
        <v>-</v>
      </c>
    </row>
    <row r="35" spans="1:56">
      <c r="A35" t="e">
        <f>IF(#REF!=0,A34,#REF!)</f>
        <v>#REF!</v>
      </c>
      <c r="C35" s="381" t="e">
        <f>#REF!</f>
        <v>#REF!</v>
      </c>
      <c r="D35" s="381" t="e">
        <f>#REF!</f>
        <v>#REF!</v>
      </c>
      <c r="E35" t="s">
        <v>133</v>
      </c>
      <c r="F35" t="s">
        <v>133</v>
      </c>
      <c r="G35" s="382" t="str">
        <f ca="1">IFERROR(C35*Changes!$B$1,"-")</f>
        <v>-</v>
      </c>
      <c r="H35" s="382" t="str">
        <f ca="1">IFERROR(D35*Changes!$B$1,"-")</f>
        <v>-</v>
      </c>
      <c r="I35" s="382" t="str">
        <f ca="1">IFERROR(E35*Changes!$B$1,"-")</f>
        <v>-</v>
      </c>
      <c r="J35" s="382" t="str">
        <f ca="1">IFERROR(F35*Changes!$B$1,"-")</f>
        <v>-</v>
      </c>
      <c r="K35" s="383" t="str">
        <f t="shared" ca="1" si="25"/>
        <v>-</v>
      </c>
      <c r="L35" s="383" t="str">
        <f t="shared" ca="1" si="26"/>
        <v>-</v>
      </c>
      <c r="M35" s="383" t="str">
        <f t="shared" ca="1" si="27"/>
        <v>-</v>
      </c>
      <c r="N35" s="383" t="str">
        <f t="shared" ca="1" si="28"/>
        <v>-</v>
      </c>
      <c r="O35" s="384">
        <f>[1]Particles!$B$13</f>
        <v>512373.33725154324</v>
      </c>
      <c r="P35" s="384">
        <f>[1]Particles!$B$5</f>
        <v>3152.8432598003224</v>
      </c>
      <c r="Q35" s="383">
        <f>IFERROR(VLOOKUP("s",[1]md!$A:$E,5,0)*14.3998434/U35*100,"-")</f>
        <v>1334.4616733991923</v>
      </c>
      <c r="R35" s="383">
        <f>IFERROR(VLOOKUP("s",[1]md!$A:$E,5,0)*14.3998434/V35*100,"-")</f>
        <v>1334.4616671379815</v>
      </c>
      <c r="S35" s="383">
        <f>IFERROR(VLOOKUP("s",[1]md!$A:$E,5,0)*14.3998434/W35*100,"-")</f>
        <v>1349.98531875</v>
      </c>
      <c r="T35" s="383">
        <f>IFERROR(VLOOKUP("s",[1]md!$A:$E,5,0)*14.3998434/X35*100,"-")</f>
        <v>1349.98531875</v>
      </c>
      <c r="U35" s="386">
        <v>2.4279189350916588</v>
      </c>
      <c r="V35" s="386">
        <v>2.4279189464833024</v>
      </c>
      <c r="W35" s="386">
        <v>2.4</v>
      </c>
      <c r="X35" s="386">
        <v>2.4</v>
      </c>
      <c r="Y35" s="382" t="str">
        <f t="shared" ca="1" si="29"/>
        <v>-</v>
      </c>
      <c r="Z35" s="382" t="str">
        <f t="shared" ca="1" si="30"/>
        <v>-</v>
      </c>
      <c r="AA35" s="382" t="str">
        <f t="shared" ca="1" si="31"/>
        <v>-</v>
      </c>
      <c r="AB35" s="382" t="str">
        <f t="shared" ca="1" si="32"/>
        <v>-</v>
      </c>
      <c r="AC35" s="382" t="str">
        <f ca="1">IFERROR(Changes!$B$2*Rotation!C35,"-")</f>
        <v>-</v>
      </c>
      <c r="AD35" s="382" t="str">
        <f ca="1">IFERROR(Changes!$B$2*Rotation!D35,"-")</f>
        <v>-</v>
      </c>
      <c r="AE35" s="382" t="str">
        <f ca="1">IFERROR(Changes!$B$2*Rotation!E35,"-")</f>
        <v>-</v>
      </c>
      <c r="AF35" s="382" t="str">
        <f ca="1">IFERROR(Changes!$B$2*Rotation!F35,"-")</f>
        <v>-</v>
      </c>
      <c r="AG35" s="382" t="e">
        <f ca="1">(AC35+AD35)*#REF!</f>
        <v>#VALUE!</v>
      </c>
      <c r="AH35" s="382" t="e">
        <f t="shared" ca="1" si="33"/>
        <v>#VALUE!</v>
      </c>
      <c r="AI35" s="382"/>
      <c r="AJ35" s="382"/>
      <c r="AK35" s="382">
        <f t="shared" si="34"/>
        <v>0.47770159970027726</v>
      </c>
      <c r="AL35" s="382">
        <f t="shared" si="35"/>
        <v>0.4777015974589312</v>
      </c>
      <c r="AM35" s="382">
        <f t="shared" si="36"/>
        <v>0.48325864968161619</v>
      </c>
      <c r="AN35" s="382">
        <f t="shared" si="37"/>
        <v>0.48325864968161619</v>
      </c>
      <c r="AO35" s="382">
        <f t="shared" si="17"/>
        <v>39.970839241597531</v>
      </c>
      <c r="AP35" s="382">
        <f t="shared" si="18"/>
        <v>39.970838866516175</v>
      </c>
      <c r="AQ35" s="382">
        <f t="shared" si="19"/>
        <v>40.906200982235795</v>
      </c>
      <c r="AR35" s="382">
        <f t="shared" si="20"/>
        <v>40.906200982235795</v>
      </c>
      <c r="AS35" s="388" t="str">
        <f t="shared" ca="1" si="38"/>
        <v>-</v>
      </c>
      <c r="AT35" s="388" t="str">
        <f t="shared" ca="1" si="39"/>
        <v>-</v>
      </c>
      <c r="AU35" s="388" t="str">
        <f t="shared" ca="1" si="40"/>
        <v>-</v>
      </c>
      <c r="AV35" s="388" t="str">
        <f t="shared" ca="1" si="41"/>
        <v>-</v>
      </c>
      <c r="AW35" s="382" t="e">
        <f>#REF!*SIN(#REF!)</f>
        <v>#REF!</v>
      </c>
      <c r="AX35" s="382" t="e">
        <f>#REF!*SIN(#REF!)</f>
        <v>#REF!</v>
      </c>
      <c r="AY35" s="382"/>
      <c r="AZ35" s="382"/>
      <c r="BA35" s="388" t="str">
        <f t="shared" ca="1" si="21"/>
        <v>-</v>
      </c>
      <c r="BB35" s="388" t="str">
        <f t="shared" ca="1" si="22"/>
        <v>-</v>
      </c>
      <c r="BC35" s="388" t="str">
        <f t="shared" ca="1" si="23"/>
        <v>-</v>
      </c>
      <c r="BD35" s="388" t="str">
        <f t="shared" ca="1" si="24"/>
        <v>-</v>
      </c>
    </row>
    <row r="36" spans="1:56">
      <c r="A36" t="e">
        <f>IF(#REF!=0,A35,#REF!)</f>
        <v>#REF!</v>
      </c>
      <c r="C36" s="381" t="e">
        <f>#REF!</f>
        <v>#REF!</v>
      </c>
      <c r="D36" s="381" t="e">
        <f>#REF!</f>
        <v>#REF!</v>
      </c>
      <c r="E36" t="s">
        <v>133</v>
      </c>
      <c r="F36" t="s">
        <v>133</v>
      </c>
      <c r="G36" s="382" t="str">
        <f ca="1">IFERROR(C36*Changes!$B$1,"-")</f>
        <v>-</v>
      </c>
      <c r="H36" s="382" t="str">
        <f ca="1">IFERROR(D36*Changes!$B$1,"-")</f>
        <v>-</v>
      </c>
      <c r="I36" s="382" t="str">
        <f ca="1">IFERROR(E36*Changes!$B$1,"-")</f>
        <v>-</v>
      </c>
      <c r="J36" s="382" t="str">
        <f ca="1">IFERROR(F36*Changes!$B$1,"-")</f>
        <v>-</v>
      </c>
      <c r="K36" s="383" t="str">
        <f t="shared" ca="1" si="25"/>
        <v>-</v>
      </c>
      <c r="L36" s="383" t="str">
        <f t="shared" ca="1" si="26"/>
        <v>-</v>
      </c>
      <c r="M36" s="383" t="str">
        <f t="shared" ca="1" si="27"/>
        <v>-</v>
      </c>
      <c r="N36" s="383" t="str">
        <f t="shared" ca="1" si="28"/>
        <v>-</v>
      </c>
      <c r="O36" s="384">
        <f>[1]Particles!$B$13</f>
        <v>512373.33725154324</v>
      </c>
      <c r="P36" s="384">
        <f>[1]Particles!$B$5</f>
        <v>3152.8432598003224</v>
      </c>
      <c r="Q36" s="383">
        <f>IFERROR(VLOOKUP("s",[1]md!$A:$E,5,0)*14.3998434/U36*100,"-")</f>
        <v>1334.4590658095506</v>
      </c>
      <c r="R36" s="383">
        <f>IFERROR(VLOOKUP("s",[1]md!$A:$E,5,0)*14.3998434/V36*100,"-")</f>
        <v>1334.4590580937795</v>
      </c>
      <c r="S36" s="383">
        <f>IFERROR(VLOOKUP("s",[1]md!$A:$E,5,0)*14.3998434/W36*100,"-")</f>
        <v>1349.98531875</v>
      </c>
      <c r="T36" s="383">
        <f>IFERROR(VLOOKUP("s",[1]md!$A:$E,5,0)*14.3998434/X36*100,"-")</f>
        <v>1349.98531875</v>
      </c>
      <c r="U36" s="386">
        <v>2.4279236793482855</v>
      </c>
      <c r="V36" s="386">
        <v>2.4279236933864103</v>
      </c>
      <c r="W36" s="386">
        <v>2.4</v>
      </c>
      <c r="X36" s="386">
        <v>2.4</v>
      </c>
      <c r="Y36" s="382" t="str">
        <f t="shared" ca="1" si="29"/>
        <v>-</v>
      </c>
      <c r="Z36" s="382" t="str">
        <f t="shared" ca="1" si="30"/>
        <v>-</v>
      </c>
      <c r="AA36" s="382" t="str">
        <f t="shared" ca="1" si="31"/>
        <v>-</v>
      </c>
      <c r="AB36" s="382" t="str">
        <f t="shared" ca="1" si="32"/>
        <v>-</v>
      </c>
      <c r="AC36" s="382" t="str">
        <f ca="1">IFERROR(Changes!$B$2*Rotation!C36,"-")</f>
        <v>-</v>
      </c>
      <c r="AD36" s="382" t="str">
        <f ca="1">IFERROR(Changes!$B$2*Rotation!D36,"-")</f>
        <v>-</v>
      </c>
      <c r="AE36" s="382" t="str">
        <f ca="1">IFERROR(Changes!$B$2*Rotation!E36,"-")</f>
        <v>-</v>
      </c>
      <c r="AF36" s="382" t="str">
        <f ca="1">IFERROR(Changes!$B$2*Rotation!F36,"-")</f>
        <v>-</v>
      </c>
      <c r="AG36" s="382" t="e">
        <f ca="1">(AC36+AD36)*#REF!</f>
        <v>#VALUE!</v>
      </c>
      <c r="AH36" s="382" t="e">
        <f t="shared" ca="1" si="33"/>
        <v>#VALUE!</v>
      </c>
      <c r="AI36" s="382"/>
      <c r="AJ36" s="382"/>
      <c r="AK36" s="382">
        <f t="shared" si="34"/>
        <v>0.47770066625290442</v>
      </c>
      <c r="AL36" s="382">
        <f t="shared" si="35"/>
        <v>0.47770066349086476</v>
      </c>
      <c r="AM36" s="382">
        <f t="shared" si="36"/>
        <v>0.48325864968161619</v>
      </c>
      <c r="AN36" s="382">
        <f t="shared" si="37"/>
        <v>0.48325864968161619</v>
      </c>
      <c r="AO36" s="382">
        <f t="shared" si="17"/>
        <v>39.970683032623356</v>
      </c>
      <c r="AP36" s="382">
        <f t="shared" si="18"/>
        <v>39.970682570406659</v>
      </c>
      <c r="AQ36" s="382">
        <f t="shared" si="19"/>
        <v>40.906200982235795</v>
      </c>
      <c r="AR36" s="382">
        <f t="shared" si="20"/>
        <v>40.906200982235795</v>
      </c>
      <c r="AS36" s="388" t="str">
        <f t="shared" ca="1" si="38"/>
        <v>-</v>
      </c>
      <c r="AT36" s="388" t="str">
        <f t="shared" ca="1" si="39"/>
        <v>-</v>
      </c>
      <c r="AU36" s="388" t="str">
        <f t="shared" ca="1" si="40"/>
        <v>-</v>
      </c>
      <c r="AV36" s="388" t="str">
        <f t="shared" ca="1" si="41"/>
        <v>-</v>
      </c>
      <c r="AW36" s="382" t="e">
        <f>#REF!*SIN(#REF!)</f>
        <v>#REF!</v>
      </c>
      <c r="AX36" s="382" t="e">
        <f>#REF!*SIN(#REF!)</f>
        <v>#REF!</v>
      </c>
      <c r="AY36" s="382"/>
      <c r="AZ36" s="382"/>
      <c r="BA36" s="388" t="str">
        <f t="shared" ca="1" si="21"/>
        <v>-</v>
      </c>
      <c r="BB36" s="388" t="str">
        <f t="shared" ca="1" si="22"/>
        <v>-</v>
      </c>
      <c r="BC36" s="388" t="str">
        <f t="shared" ca="1" si="23"/>
        <v>-</v>
      </c>
      <c r="BD36" s="388" t="str">
        <f t="shared" ca="1" si="24"/>
        <v>-</v>
      </c>
    </row>
    <row r="37" spans="1:56">
      <c r="A37" t="e">
        <f>IF(#REF!=0,A36,#REF!)</f>
        <v>#REF!</v>
      </c>
      <c r="C37" s="381" t="e">
        <f>#REF!</f>
        <v>#REF!</v>
      </c>
      <c r="D37" s="381" t="e">
        <f>#REF!</f>
        <v>#REF!</v>
      </c>
      <c r="E37" t="s">
        <v>133</v>
      </c>
      <c r="F37" t="s">
        <v>133</v>
      </c>
      <c r="G37" s="382" t="str">
        <f ca="1">IFERROR(C37*Changes!$B$1,"-")</f>
        <v>-</v>
      </c>
      <c r="H37" s="382" t="str">
        <f ca="1">IFERROR(D37*Changes!$B$1,"-")</f>
        <v>-</v>
      </c>
      <c r="I37" s="382" t="str">
        <f ca="1">IFERROR(E37*Changes!$B$1,"-")</f>
        <v>-</v>
      </c>
      <c r="J37" s="382" t="str">
        <f ca="1">IFERROR(F37*Changes!$B$1,"-")</f>
        <v>-</v>
      </c>
      <c r="K37" s="383" t="str">
        <f t="shared" ca="1" si="25"/>
        <v>-</v>
      </c>
      <c r="L37" s="383" t="str">
        <f t="shared" ca="1" si="26"/>
        <v>-</v>
      </c>
      <c r="M37" s="383" t="str">
        <f t="shared" ca="1" si="27"/>
        <v>-</v>
      </c>
      <c r="N37" s="383" t="str">
        <f t="shared" ca="1" si="28"/>
        <v>-</v>
      </c>
      <c r="O37" s="384">
        <f>[1]Particles!$B$13</f>
        <v>512373.33725154324</v>
      </c>
      <c r="P37" s="384">
        <f>[1]Particles!$B$5</f>
        <v>3152.8432598003224</v>
      </c>
      <c r="Q37" s="383">
        <f>IFERROR(VLOOKUP("s",[1]md!$A:$E,5,0)*14.3998434/U37*100,"-")</f>
        <v>1334.4606177447554</v>
      </c>
      <c r="R37" s="383">
        <f>IFERROR(VLOOKUP("s",[1]md!$A:$E,5,0)*14.3998434/V37*100,"-")</f>
        <v>1334.460617642525</v>
      </c>
      <c r="S37" s="383">
        <f>IFERROR(VLOOKUP("s",[1]md!$A:$E,5,0)*14.3998434/W37*100,"-")</f>
        <v>1349.98531875</v>
      </c>
      <c r="T37" s="383">
        <f>IFERROR(VLOOKUP("s",[1]md!$A:$E,5,0)*14.3998434/X37*100,"-")</f>
        <v>1349.98531875</v>
      </c>
      <c r="U37" s="386">
        <v>2.4279208557503593</v>
      </c>
      <c r="V37" s="386">
        <v>2.4279208559363576</v>
      </c>
      <c r="W37" s="386">
        <v>2.4</v>
      </c>
      <c r="X37" s="386">
        <v>2.4</v>
      </c>
      <c r="Y37" s="382" t="str">
        <f t="shared" ca="1" si="29"/>
        <v>-</v>
      </c>
      <c r="Z37" s="382" t="str">
        <f t="shared" ca="1" si="30"/>
        <v>-</v>
      </c>
      <c r="AA37" s="382" t="str">
        <f t="shared" ca="1" si="31"/>
        <v>-</v>
      </c>
      <c r="AB37" s="382" t="str">
        <f t="shared" ca="1" si="32"/>
        <v>-</v>
      </c>
      <c r="AC37" s="382" t="str">
        <f ca="1">IFERROR(Changes!$B$2*Rotation!C37,"-")</f>
        <v>-</v>
      </c>
      <c r="AD37" s="382" t="str">
        <f ca="1">IFERROR(Changes!$B$2*Rotation!D37,"-")</f>
        <v>-</v>
      </c>
      <c r="AE37" s="382" t="str">
        <f ca="1">IFERROR(Changes!$B$2*Rotation!E37,"-")</f>
        <v>-</v>
      </c>
      <c r="AF37" s="382" t="str">
        <f ca="1">IFERROR(Changes!$B$2*Rotation!F37,"-")</f>
        <v>-</v>
      </c>
      <c r="AG37" s="382" t="e">
        <f ca="1">(AC37+AD37)*#REF!</f>
        <v>#VALUE!</v>
      </c>
      <c r="AH37" s="382" t="e">
        <f t="shared" ca="1" si="33"/>
        <v>#VALUE!</v>
      </c>
      <c r="AI37" s="382"/>
      <c r="AJ37" s="382"/>
      <c r="AK37" s="382">
        <f t="shared" si="34"/>
        <v>0.47770122180421387</v>
      </c>
      <c r="AL37" s="382">
        <f t="shared" si="35"/>
        <v>0.47770122176761809</v>
      </c>
      <c r="AM37" s="382">
        <f t="shared" si="36"/>
        <v>0.48325864968161619</v>
      </c>
      <c r="AN37" s="382">
        <f t="shared" si="37"/>
        <v>0.48325864968161619</v>
      </c>
      <c r="AO37" s="382">
        <f t="shared" si="17"/>
        <v>39.97077600204868</v>
      </c>
      <c r="AP37" s="382">
        <f t="shared" si="18"/>
        <v>39.970775995924519</v>
      </c>
      <c r="AQ37" s="382">
        <f t="shared" si="19"/>
        <v>40.906200982235795</v>
      </c>
      <c r="AR37" s="382">
        <f t="shared" si="20"/>
        <v>40.906200982235795</v>
      </c>
      <c r="AS37" s="388" t="str">
        <f t="shared" ca="1" si="38"/>
        <v>-</v>
      </c>
      <c r="AT37" s="388" t="str">
        <f t="shared" ca="1" si="39"/>
        <v>-</v>
      </c>
      <c r="AU37" s="388" t="str">
        <f t="shared" ca="1" si="40"/>
        <v>-</v>
      </c>
      <c r="AV37" s="388" t="str">
        <f t="shared" ca="1" si="41"/>
        <v>-</v>
      </c>
      <c r="AW37" s="382" t="e">
        <f>#REF!*SIN(#REF!)</f>
        <v>#REF!</v>
      </c>
      <c r="AX37" s="382" t="e">
        <f>#REF!*SIN(#REF!)</f>
        <v>#REF!</v>
      </c>
      <c r="AY37" s="382"/>
      <c r="AZ37" s="382"/>
      <c r="BA37" s="388" t="str">
        <f t="shared" ca="1" si="21"/>
        <v>-</v>
      </c>
      <c r="BB37" s="388" t="str">
        <f t="shared" ca="1" si="22"/>
        <v>-</v>
      </c>
      <c r="BC37" s="388" t="str">
        <f t="shared" ca="1" si="23"/>
        <v>-</v>
      </c>
      <c r="BD37" s="388" t="str">
        <f t="shared" ca="1" si="24"/>
        <v>-</v>
      </c>
    </row>
    <row r="38" spans="1:56">
      <c r="A38" t="e">
        <f>IF(#REF!=0,A37,#REF!)</f>
        <v>#REF!</v>
      </c>
      <c r="C38" s="381" t="e">
        <f>#REF!</f>
        <v>#REF!</v>
      </c>
      <c r="D38" s="381" t="e">
        <f>#REF!</f>
        <v>#REF!</v>
      </c>
      <c r="E38" t="s">
        <v>133</v>
      </c>
      <c r="F38" t="s">
        <v>133</v>
      </c>
      <c r="G38" s="382" t="str">
        <f ca="1">IFERROR(C38*Changes!$B$1,"-")</f>
        <v>-</v>
      </c>
      <c r="H38" s="382" t="str">
        <f ca="1">IFERROR(D38*Changes!$B$1,"-")</f>
        <v>-</v>
      </c>
      <c r="I38" s="382" t="str">
        <f ca="1">IFERROR(E38*Changes!$B$1,"-")</f>
        <v>-</v>
      </c>
      <c r="J38" s="382" t="str">
        <f ca="1">IFERROR(F38*Changes!$B$1,"-")</f>
        <v>-</v>
      </c>
      <c r="K38" s="383" t="str">
        <f t="shared" ca="1" si="25"/>
        <v>-</v>
      </c>
      <c r="L38" s="383" t="str">
        <f t="shared" ca="1" si="26"/>
        <v>-</v>
      </c>
      <c r="M38" s="383" t="str">
        <f t="shared" ca="1" si="27"/>
        <v>-</v>
      </c>
      <c r="N38" s="383" t="str">
        <f t="shared" ca="1" si="28"/>
        <v>-</v>
      </c>
      <c r="O38" s="384">
        <f>[1]Particles!$B$13</f>
        <v>512373.33725154324</v>
      </c>
      <c r="P38" s="384">
        <f>[1]Particles!$B$5</f>
        <v>3152.8432598003224</v>
      </c>
      <c r="Q38" s="383">
        <f>IFERROR(VLOOKUP("s",[1]md!$A:$E,5,0)*14.3998434/U38*100,"-")</f>
        <v>1334.4650339641448</v>
      </c>
      <c r="R38" s="383">
        <f>IFERROR(VLOOKUP("s",[1]md!$A:$E,5,0)*14.3998434/V38*100,"-")</f>
        <v>1334.4650338746951</v>
      </c>
      <c r="S38" s="383">
        <f>IFERROR(VLOOKUP("s",[1]md!$A:$E,5,0)*14.3998434/W38*100,"-")</f>
        <v>1349.98531875</v>
      </c>
      <c r="T38" s="383">
        <f>IFERROR(VLOOKUP("s",[1]md!$A:$E,5,0)*14.3998434/X38*100,"-")</f>
        <v>1349.98531875</v>
      </c>
      <c r="U38" s="386">
        <v>2.4279128208967768</v>
      </c>
      <c r="V38" s="386">
        <v>2.4279128210595204</v>
      </c>
      <c r="W38" s="386">
        <v>2.4</v>
      </c>
      <c r="X38" s="386">
        <v>2.4</v>
      </c>
      <c r="Y38" s="382" t="str">
        <f t="shared" ca="1" si="29"/>
        <v>-</v>
      </c>
      <c r="Z38" s="382" t="str">
        <f t="shared" ca="1" si="30"/>
        <v>-</v>
      </c>
      <c r="AA38" s="382" t="str">
        <f t="shared" ca="1" si="31"/>
        <v>-</v>
      </c>
      <c r="AB38" s="382" t="str">
        <f t="shared" ca="1" si="32"/>
        <v>-</v>
      </c>
      <c r="AC38" s="382" t="str">
        <f ca="1">IFERROR(Changes!$B$2*Rotation!C38,"-")</f>
        <v>-</v>
      </c>
      <c r="AD38" s="382" t="str">
        <f ca="1">IFERROR(Changes!$B$2*Rotation!D38,"-")</f>
        <v>-</v>
      </c>
      <c r="AE38" s="382" t="str">
        <f ca="1">IFERROR(Changes!$B$2*Rotation!E38,"-")</f>
        <v>-</v>
      </c>
      <c r="AF38" s="382" t="str">
        <f ca="1">IFERROR(Changes!$B$2*Rotation!F38,"-")</f>
        <v>-</v>
      </c>
      <c r="AG38" s="382" t="e">
        <f ca="1">(AC38+AD38)*#REF!</f>
        <v>#VALUE!</v>
      </c>
      <c r="AH38" s="382" t="e">
        <f t="shared" ca="1" si="33"/>
        <v>#VALUE!</v>
      </c>
      <c r="AI38" s="382"/>
      <c r="AJ38" s="382"/>
      <c r="AK38" s="382">
        <f t="shared" si="34"/>
        <v>0.47770280269267917</v>
      </c>
      <c r="AL38" s="382">
        <f t="shared" si="35"/>
        <v>0.47770280266065851</v>
      </c>
      <c r="AM38" s="382">
        <f t="shared" si="36"/>
        <v>0.48325864968161619</v>
      </c>
      <c r="AN38" s="382">
        <f t="shared" si="37"/>
        <v>0.48325864968161619</v>
      </c>
      <c r="AO38" s="382">
        <f t="shared" si="17"/>
        <v>39.971040558388111</v>
      </c>
      <c r="AP38" s="382">
        <f t="shared" si="18"/>
        <v>39.971040553029553</v>
      </c>
      <c r="AQ38" s="382">
        <f t="shared" si="19"/>
        <v>40.906200982235795</v>
      </c>
      <c r="AR38" s="382">
        <f t="shared" si="20"/>
        <v>40.906200982235795</v>
      </c>
      <c r="AS38" s="388" t="str">
        <f t="shared" ca="1" si="38"/>
        <v>-</v>
      </c>
      <c r="AT38" s="388" t="str">
        <f t="shared" ca="1" si="39"/>
        <v>-</v>
      </c>
      <c r="AU38" s="388" t="str">
        <f t="shared" ca="1" si="40"/>
        <v>-</v>
      </c>
      <c r="AV38" s="388" t="str">
        <f t="shared" ca="1" si="41"/>
        <v>-</v>
      </c>
      <c r="AW38" s="382" t="e">
        <f>#REF!*SIN(#REF!)</f>
        <v>#REF!</v>
      </c>
      <c r="AX38" s="382" t="e">
        <f>#REF!*SIN(#REF!)</f>
        <v>#REF!</v>
      </c>
      <c r="AY38" s="382"/>
      <c r="AZ38" s="382"/>
      <c r="BA38" s="388" t="str">
        <f t="shared" ca="1" si="21"/>
        <v>-</v>
      </c>
      <c r="BB38" s="388" t="str">
        <f t="shared" ca="1" si="22"/>
        <v>-</v>
      </c>
      <c r="BC38" s="388" t="str">
        <f t="shared" ca="1" si="23"/>
        <v>-</v>
      </c>
      <c r="BD38" s="388" t="str">
        <f t="shared" ca="1" si="24"/>
        <v>-</v>
      </c>
    </row>
    <row r="39" spans="1:56">
      <c r="A39" t="e">
        <f>IF(#REF!=0,A38,#REF!)</f>
        <v>#REF!</v>
      </c>
      <c r="C39" s="381" t="e">
        <f>#REF!</f>
        <v>#REF!</v>
      </c>
      <c r="D39" s="381" t="e">
        <f>#REF!</f>
        <v>#REF!</v>
      </c>
      <c r="E39" t="s">
        <v>133</v>
      </c>
      <c r="F39" t="s">
        <v>133</v>
      </c>
      <c r="G39" s="382" t="str">
        <f ca="1">IFERROR(C39*Changes!$B$1,"-")</f>
        <v>-</v>
      </c>
      <c r="H39" s="382" t="str">
        <f ca="1">IFERROR(D39*Changes!$B$1,"-")</f>
        <v>-</v>
      </c>
      <c r="I39" s="382" t="str">
        <f ca="1">IFERROR(E39*Changes!$B$1,"-")</f>
        <v>-</v>
      </c>
      <c r="J39" s="382" t="str">
        <f ca="1">IFERROR(F39*Changes!$B$1,"-")</f>
        <v>-</v>
      </c>
      <c r="K39" s="383" t="str">
        <f t="shared" ca="1" si="25"/>
        <v>-</v>
      </c>
      <c r="L39" s="383" t="str">
        <f t="shared" ca="1" si="26"/>
        <v>-</v>
      </c>
      <c r="M39" s="383" t="str">
        <f t="shared" ca="1" si="27"/>
        <v>-</v>
      </c>
      <c r="N39" s="383" t="str">
        <f t="shared" ca="1" si="28"/>
        <v>-</v>
      </c>
      <c r="O39" s="384">
        <f>[1]Particles!$B$13</f>
        <v>512373.33725154324</v>
      </c>
      <c r="P39" s="384">
        <f>[1]Particles!$B$5</f>
        <v>3152.8432598003224</v>
      </c>
      <c r="Q39" s="383">
        <f>IFERROR(VLOOKUP("s",[1]md!$A:$E,5,0)*14.3998434/U39*100,"-")</f>
        <v>1334.4647887109061</v>
      </c>
      <c r="R39" s="383">
        <f>IFERROR(VLOOKUP("s",[1]md!$A:$E,5,0)*14.3998434/V39*100,"-")</f>
        <v>1334.4647886422829</v>
      </c>
      <c r="S39" s="383">
        <f>IFERROR(VLOOKUP("s",[1]md!$A:$E,5,0)*14.3998434/W39*100,"-")</f>
        <v>1349.98531875</v>
      </c>
      <c r="T39" s="383">
        <f>IFERROR(VLOOKUP("s",[1]md!$A:$E,5,0)*14.3998434/X39*100,"-")</f>
        <v>1349.98531875</v>
      </c>
      <c r="U39" s="386">
        <v>2.4279132671082375</v>
      </c>
      <c r="V39" s="386">
        <v>2.4279132672330901</v>
      </c>
      <c r="W39" s="386">
        <v>2.4</v>
      </c>
      <c r="X39" s="386">
        <v>2.4</v>
      </c>
      <c r="Y39" s="382" t="str">
        <f t="shared" ca="1" si="29"/>
        <v>-</v>
      </c>
      <c r="Z39" s="382" t="str">
        <f t="shared" ca="1" si="30"/>
        <v>-</v>
      </c>
      <c r="AA39" s="382" t="str">
        <f t="shared" ca="1" si="31"/>
        <v>-</v>
      </c>
      <c r="AB39" s="382" t="str">
        <f t="shared" ca="1" si="32"/>
        <v>-</v>
      </c>
      <c r="AC39" s="382" t="str">
        <f ca="1">IFERROR(Changes!$B$2*Rotation!C39,"-")</f>
        <v>-</v>
      </c>
      <c r="AD39" s="382" t="str">
        <f ca="1">IFERROR(Changes!$B$2*Rotation!D39,"-")</f>
        <v>-</v>
      </c>
      <c r="AE39" s="382" t="str">
        <f ca="1">IFERROR(Changes!$B$2*Rotation!E39,"-")</f>
        <v>-</v>
      </c>
      <c r="AF39" s="382" t="str">
        <f ca="1">IFERROR(Changes!$B$2*Rotation!F39,"-")</f>
        <v>-</v>
      </c>
      <c r="AG39" s="382" t="e">
        <f ca="1">(AC39+AD39)*#REF!</f>
        <v>#VALUE!</v>
      </c>
      <c r="AH39" s="382" t="e">
        <f t="shared" ca="1" si="33"/>
        <v>#VALUE!</v>
      </c>
      <c r="AI39" s="382"/>
      <c r="AJ39" s="382"/>
      <c r="AK39" s="382">
        <f t="shared" si="34"/>
        <v>0.47770271489857696</v>
      </c>
      <c r="AL39" s="382">
        <f t="shared" si="35"/>
        <v>0.47770271487401172</v>
      </c>
      <c r="AM39" s="382">
        <f t="shared" si="36"/>
        <v>0.48325864968161619</v>
      </c>
      <c r="AN39" s="382">
        <f t="shared" si="37"/>
        <v>0.48325864968161619</v>
      </c>
      <c r="AO39" s="382">
        <f t="shared" si="17"/>
        <v>39.971025866318989</v>
      </c>
      <c r="AP39" s="382">
        <f t="shared" si="18"/>
        <v>39.971025862208073</v>
      </c>
      <c r="AQ39" s="382">
        <f t="shared" si="19"/>
        <v>40.906200982235795</v>
      </c>
      <c r="AR39" s="382">
        <f t="shared" si="20"/>
        <v>40.906200982235795</v>
      </c>
      <c r="AS39" s="388" t="str">
        <f t="shared" ca="1" si="38"/>
        <v>-</v>
      </c>
      <c r="AT39" s="388" t="str">
        <f t="shared" ca="1" si="39"/>
        <v>-</v>
      </c>
      <c r="AU39" s="388" t="str">
        <f t="shared" ca="1" si="40"/>
        <v>-</v>
      </c>
      <c r="AV39" s="388" t="str">
        <f t="shared" ca="1" si="41"/>
        <v>-</v>
      </c>
      <c r="AW39" s="382" t="e">
        <f>#REF!*SIN(#REF!)</f>
        <v>#REF!</v>
      </c>
      <c r="AX39" s="382" t="e">
        <f>#REF!*SIN(#REF!)</f>
        <v>#REF!</v>
      </c>
      <c r="AY39" s="382"/>
      <c r="AZ39" s="382"/>
      <c r="BA39" s="388" t="str">
        <f t="shared" ca="1" si="21"/>
        <v>-</v>
      </c>
      <c r="BB39" s="388" t="str">
        <f t="shared" ca="1" si="22"/>
        <v>-</v>
      </c>
      <c r="BC39" s="388" t="str">
        <f t="shared" ca="1" si="23"/>
        <v>-</v>
      </c>
      <c r="BD39" s="388" t="str">
        <f t="shared" ca="1" si="24"/>
        <v>-</v>
      </c>
    </row>
    <row r="40" spans="1:56">
      <c r="A40" t="e">
        <f>IF(#REF!=0,A39,#REF!)</f>
        <v>#REF!</v>
      </c>
      <c r="C40" s="381" t="e">
        <f>#REF!</f>
        <v>#REF!</v>
      </c>
      <c r="D40" s="381" t="e">
        <f>#REF!</f>
        <v>#REF!</v>
      </c>
      <c r="E40" t="s">
        <v>133</v>
      </c>
      <c r="F40" t="s">
        <v>133</v>
      </c>
      <c r="G40" s="382" t="str">
        <f ca="1">IFERROR(C40*Changes!$B$1,"-")</f>
        <v>-</v>
      </c>
      <c r="H40" s="382" t="str">
        <f ca="1">IFERROR(D40*Changes!$B$1,"-")</f>
        <v>-</v>
      </c>
      <c r="I40" s="382" t="str">
        <f ca="1">IFERROR(E40*Changes!$B$1,"-")</f>
        <v>-</v>
      </c>
      <c r="J40" s="382" t="str">
        <f ca="1">IFERROR(F40*Changes!$B$1,"-")</f>
        <v>-</v>
      </c>
      <c r="K40" s="383" t="str">
        <f t="shared" ca="1" si="25"/>
        <v>-</v>
      </c>
      <c r="L40" s="383" t="str">
        <f t="shared" ca="1" si="26"/>
        <v>-</v>
      </c>
      <c r="M40" s="383" t="str">
        <f t="shared" ca="1" si="27"/>
        <v>-</v>
      </c>
      <c r="N40" s="383" t="str">
        <f t="shared" ca="1" si="28"/>
        <v>-</v>
      </c>
      <c r="O40" s="384">
        <f>[1]Particles!$B$13</f>
        <v>512373.33725154324</v>
      </c>
      <c r="P40" s="384">
        <f>[1]Particles!$B$5</f>
        <v>3152.8432598003224</v>
      </c>
      <c r="Q40" s="383">
        <f>IFERROR(VLOOKUP("s",[1]md!$A:$E,5,0)*14.3998434/U40*100,"-")</f>
        <v>1334.4653326943971</v>
      </c>
      <c r="R40" s="383">
        <f>IFERROR(VLOOKUP("s",[1]md!$A:$E,5,0)*14.3998434/V40*100,"-")</f>
        <v>1334.4653235567871</v>
      </c>
      <c r="S40" s="383">
        <f>IFERROR(VLOOKUP("s",[1]md!$A:$E,5,0)*14.3998434/W40*100,"-")</f>
        <v>1349.98531875</v>
      </c>
      <c r="T40" s="383">
        <f>IFERROR(VLOOKUP("s",[1]md!$A:$E,5,0)*14.3998434/X40*100,"-")</f>
        <v>1349.98531875</v>
      </c>
      <c r="U40" s="386">
        <v>2.4279122773899564</v>
      </c>
      <c r="V40" s="386">
        <v>2.427912294014829</v>
      </c>
      <c r="W40" s="386">
        <v>2.4</v>
      </c>
      <c r="X40" s="386">
        <v>2.4</v>
      </c>
      <c r="Y40" s="382" t="str">
        <f t="shared" ca="1" si="29"/>
        <v>-</v>
      </c>
      <c r="Z40" s="382" t="str">
        <f t="shared" ca="1" si="30"/>
        <v>-</v>
      </c>
      <c r="AA40" s="382" t="str">
        <f t="shared" ca="1" si="31"/>
        <v>-</v>
      </c>
      <c r="AB40" s="382" t="str">
        <f t="shared" ca="1" si="32"/>
        <v>-</v>
      </c>
      <c r="AC40" s="382" t="str">
        <f ca="1">IFERROR(Changes!$B$2*Rotation!C40,"-")</f>
        <v>-</v>
      </c>
      <c r="AD40" s="382" t="str">
        <f ca="1">IFERROR(Changes!$B$2*Rotation!D40,"-")</f>
        <v>-</v>
      </c>
      <c r="AE40" s="382" t="str">
        <f ca="1">IFERROR(Changes!$B$2*Rotation!E40,"-")</f>
        <v>-</v>
      </c>
      <c r="AF40" s="382" t="str">
        <f ca="1">IFERROR(Changes!$B$2*Rotation!F40,"-")</f>
        <v>-</v>
      </c>
      <c r="AG40" s="382" t="e">
        <f ca="1">(AC40+AD40)*#REF!</f>
        <v>#VALUE!</v>
      </c>
      <c r="AH40" s="382" t="e">
        <f t="shared" ca="1" si="33"/>
        <v>#VALUE!</v>
      </c>
      <c r="AI40" s="382"/>
      <c r="AJ40" s="382"/>
      <c r="AK40" s="382">
        <f t="shared" si="34"/>
        <v>0.47770290963012235</v>
      </c>
      <c r="AL40" s="382">
        <f t="shared" si="35"/>
        <v>0.47770290635910223</v>
      </c>
      <c r="AM40" s="382">
        <f t="shared" si="36"/>
        <v>0.48325864968161619</v>
      </c>
      <c r="AN40" s="382">
        <f t="shared" si="37"/>
        <v>0.48325864968161619</v>
      </c>
      <c r="AO40" s="382">
        <f t="shared" si="17"/>
        <v>39.971058454039266</v>
      </c>
      <c r="AP40" s="382">
        <f t="shared" si="18"/>
        <v>39.971057906644084</v>
      </c>
      <c r="AQ40" s="382">
        <f t="shared" si="19"/>
        <v>40.906200982235795</v>
      </c>
      <c r="AR40" s="382">
        <f t="shared" si="20"/>
        <v>40.906200982235795</v>
      </c>
      <c r="AS40" s="388" t="str">
        <f t="shared" ca="1" si="38"/>
        <v>-</v>
      </c>
      <c r="AT40" s="388" t="str">
        <f t="shared" ca="1" si="39"/>
        <v>-</v>
      </c>
      <c r="AU40" s="388" t="str">
        <f t="shared" ca="1" si="40"/>
        <v>-</v>
      </c>
      <c r="AV40" s="388" t="str">
        <f t="shared" ca="1" si="41"/>
        <v>-</v>
      </c>
      <c r="AW40" s="382" t="e">
        <f>#REF!*SIN(#REF!)</f>
        <v>#REF!</v>
      </c>
      <c r="AX40" s="382" t="e">
        <f>#REF!*SIN(#REF!)</f>
        <v>#REF!</v>
      </c>
      <c r="AY40" s="382"/>
      <c r="AZ40" s="382"/>
      <c r="BA40" s="388" t="str">
        <f t="shared" ca="1" si="21"/>
        <v>-</v>
      </c>
      <c r="BB40" s="388" t="str">
        <f t="shared" ca="1" si="22"/>
        <v>-</v>
      </c>
      <c r="BC40" s="388" t="str">
        <f t="shared" ca="1" si="23"/>
        <v>-</v>
      </c>
      <c r="BD40" s="388" t="str">
        <f t="shared" ca="1" si="24"/>
        <v>-</v>
      </c>
    </row>
    <row r="41" spans="1:56">
      <c r="A41" t="e">
        <f>IF(#REF!=0,A40,#REF!)</f>
        <v>#REF!</v>
      </c>
      <c r="C41" s="381" t="e">
        <f>#REF!</f>
        <v>#REF!</v>
      </c>
      <c r="D41" s="381" t="e">
        <f>#REF!</f>
        <v>#REF!</v>
      </c>
      <c r="E41" t="s">
        <v>133</v>
      </c>
      <c r="F41" t="s">
        <v>133</v>
      </c>
      <c r="G41" s="382" t="str">
        <f ca="1">IFERROR(C41*Changes!$B$1,"-")</f>
        <v>-</v>
      </c>
      <c r="H41" s="382" t="str">
        <f ca="1">IFERROR(D41*Changes!$B$1,"-")</f>
        <v>-</v>
      </c>
      <c r="I41" s="382" t="str">
        <f ca="1">IFERROR(E41*Changes!$B$1,"-")</f>
        <v>-</v>
      </c>
      <c r="J41" s="382" t="str">
        <f ca="1">IFERROR(F41*Changes!$B$1,"-")</f>
        <v>-</v>
      </c>
      <c r="K41" s="383" t="str">
        <f t="shared" ca="1" si="25"/>
        <v>-</v>
      </c>
      <c r="L41" s="383" t="str">
        <f t="shared" ca="1" si="26"/>
        <v>-</v>
      </c>
      <c r="M41" s="383" t="str">
        <f t="shared" ca="1" si="27"/>
        <v>-</v>
      </c>
      <c r="N41" s="383" t="str">
        <f t="shared" ca="1" si="28"/>
        <v>-</v>
      </c>
      <c r="O41" s="384">
        <f>[1]Particles!$B$13</f>
        <v>512373.33725154324</v>
      </c>
      <c r="P41" s="384">
        <f>[1]Particles!$B$5</f>
        <v>3152.8432598003224</v>
      </c>
      <c r="Q41" s="383">
        <f>IFERROR(VLOOKUP("s",[1]md!$A:$E,5,0)*14.3998434/U41*100,"-")</f>
        <v>1334.4533273691627</v>
      </c>
      <c r="R41" s="383">
        <f>IFERROR(VLOOKUP("s",[1]md!$A:$E,5,0)*14.3998434/V41*100,"-")</f>
        <v>1334.4658727622259</v>
      </c>
      <c r="S41" s="383">
        <f>IFERROR(VLOOKUP("s",[1]md!$A:$E,5,0)*14.3998434/W41*100,"-")</f>
        <v>1349.98531875</v>
      </c>
      <c r="T41" s="383">
        <f>IFERROR(VLOOKUP("s",[1]md!$A:$E,5,0)*14.3998434/X41*100,"-")</f>
        <v>1349.98531875</v>
      </c>
      <c r="U41" s="386">
        <v>2.4279341199497022</v>
      </c>
      <c r="V41" s="386">
        <v>2.4279112947965915</v>
      </c>
      <c r="W41" s="386">
        <v>2.4</v>
      </c>
      <c r="X41" s="386">
        <v>2.4</v>
      </c>
      <c r="Y41" s="382" t="str">
        <f t="shared" ca="1" si="29"/>
        <v>-</v>
      </c>
      <c r="Z41" s="382" t="str">
        <f t="shared" ca="1" si="30"/>
        <v>-</v>
      </c>
      <c r="AA41" s="382" t="str">
        <f t="shared" ca="1" si="31"/>
        <v>-</v>
      </c>
      <c r="AB41" s="382" t="str">
        <f t="shared" ca="1" si="32"/>
        <v>-</v>
      </c>
      <c r="AC41" s="382" t="str">
        <f ca="1">IFERROR(Changes!$B$2*Rotation!C41,"-")</f>
        <v>-</v>
      </c>
      <c r="AD41" s="382" t="str">
        <f ca="1">IFERROR(Changes!$B$2*Rotation!D41,"-")</f>
        <v>-</v>
      </c>
      <c r="AE41" s="382" t="str">
        <f ca="1">IFERROR(Changes!$B$2*Rotation!E41,"-")</f>
        <v>-</v>
      </c>
      <c r="AF41" s="382" t="str">
        <f ca="1">IFERROR(Changes!$B$2*Rotation!F41,"-")</f>
        <v>-</v>
      </c>
      <c r="AG41" s="382" t="e">
        <f ca="1">(AC41+AD41)*#REF!</f>
        <v>#VALUE!</v>
      </c>
      <c r="AH41" s="382" t="e">
        <f t="shared" ca="1" si="33"/>
        <v>#VALUE!</v>
      </c>
      <c r="AI41" s="382"/>
      <c r="AJ41" s="382"/>
      <c r="AK41" s="382">
        <f t="shared" si="34"/>
        <v>0.47769861204467362</v>
      </c>
      <c r="AL41" s="382">
        <f t="shared" si="35"/>
        <v>0.47770310295996538</v>
      </c>
      <c r="AM41" s="382">
        <f t="shared" si="36"/>
        <v>0.48325864968161619</v>
      </c>
      <c r="AN41" s="382">
        <f t="shared" si="37"/>
        <v>0.48325864968161619</v>
      </c>
      <c r="AO41" s="382">
        <f t="shared" si="17"/>
        <v>39.970339269529283</v>
      </c>
      <c r="AP41" s="382">
        <f t="shared" si="18"/>
        <v>39.971090807202138</v>
      </c>
      <c r="AQ41" s="382">
        <f t="shared" si="19"/>
        <v>40.906200982235795</v>
      </c>
      <c r="AR41" s="382">
        <f t="shared" si="20"/>
        <v>40.906200982235795</v>
      </c>
      <c r="AS41" s="388" t="str">
        <f t="shared" ca="1" si="38"/>
        <v>-</v>
      </c>
      <c r="AT41" s="388" t="str">
        <f t="shared" ca="1" si="39"/>
        <v>-</v>
      </c>
      <c r="AU41" s="388" t="str">
        <f t="shared" ca="1" si="40"/>
        <v>-</v>
      </c>
      <c r="AV41" s="388" t="str">
        <f t="shared" ca="1" si="41"/>
        <v>-</v>
      </c>
      <c r="AW41" s="382" t="e">
        <f>#REF!*SIN(#REF!)</f>
        <v>#REF!</v>
      </c>
      <c r="AX41" s="382" t="e">
        <f>#REF!*SIN(#REF!)</f>
        <v>#REF!</v>
      </c>
      <c r="AY41" s="382"/>
      <c r="AZ41" s="382"/>
      <c r="BA41" s="388" t="str">
        <f t="shared" ca="1" si="21"/>
        <v>-</v>
      </c>
      <c r="BB41" s="388" t="str">
        <f t="shared" ca="1" si="22"/>
        <v>-</v>
      </c>
      <c r="BC41" s="388" t="str">
        <f t="shared" ca="1" si="23"/>
        <v>-</v>
      </c>
      <c r="BD41" s="388" t="str">
        <f t="shared" ca="1" si="24"/>
        <v>-</v>
      </c>
    </row>
    <row r="42" spans="1:56">
      <c r="A42" t="e">
        <f>IF(#REF!=0,A41,#REF!)</f>
        <v>#REF!</v>
      </c>
      <c r="C42" s="381" t="e">
        <f>#REF!</f>
        <v>#REF!</v>
      </c>
      <c r="D42" s="381" t="e">
        <f>#REF!</f>
        <v>#REF!</v>
      </c>
      <c r="E42" t="s">
        <v>133</v>
      </c>
      <c r="F42" t="s">
        <v>133</v>
      </c>
      <c r="G42" s="382" t="str">
        <f ca="1">IFERROR(C42*Changes!$B$1,"-")</f>
        <v>-</v>
      </c>
      <c r="H42" s="382" t="str">
        <f ca="1">IFERROR(D42*Changes!$B$1,"-")</f>
        <v>-</v>
      </c>
      <c r="I42" s="382" t="str">
        <f ca="1">IFERROR(E42*Changes!$B$1,"-")</f>
        <v>-</v>
      </c>
      <c r="J42" s="382" t="str">
        <f ca="1">IFERROR(F42*Changes!$B$1,"-")</f>
        <v>-</v>
      </c>
      <c r="K42" s="383" t="str">
        <f t="shared" ca="1" si="25"/>
        <v>-</v>
      </c>
      <c r="L42" s="383" t="str">
        <f t="shared" ca="1" si="26"/>
        <v>-</v>
      </c>
      <c r="M42" s="383" t="str">
        <f t="shared" ca="1" si="27"/>
        <v>-</v>
      </c>
      <c r="N42" s="383" t="str">
        <f t="shared" ca="1" si="28"/>
        <v>-</v>
      </c>
      <c r="O42" s="384">
        <f>[1]Particles!$B$13</f>
        <v>512373.33725154324</v>
      </c>
      <c r="P42" s="384">
        <f>[1]Particles!$B$5</f>
        <v>3152.8432598003224</v>
      </c>
      <c r="Q42" s="383">
        <f>IFERROR(VLOOKUP("s",[1]md!$A:$E,5,0)*14.3998434/U42*100,"-")</f>
        <v>1334.4515565185841</v>
      </c>
      <c r="R42" s="383">
        <f>IFERROR(VLOOKUP("s",[1]md!$A:$E,5,0)*14.3998434/V42*100,"-")</f>
        <v>1334.4586628512793</v>
      </c>
      <c r="S42" s="383">
        <f>IFERROR(VLOOKUP("s",[1]md!$A:$E,5,0)*14.3998434/W42*100,"-")</f>
        <v>1349.98531875</v>
      </c>
      <c r="T42" s="383">
        <f>IFERROR(VLOOKUP("s",[1]md!$A:$E,5,0)*14.3998434/X42*100,"-")</f>
        <v>1349.98531875</v>
      </c>
      <c r="U42" s="386">
        <v>2.4279373418789811</v>
      </c>
      <c r="V42" s="386">
        <v>2.4279244124934594</v>
      </c>
      <c r="W42" s="386">
        <v>2.4</v>
      </c>
      <c r="X42" s="386">
        <v>2.4</v>
      </c>
      <c r="Y42" s="382" t="str">
        <f t="shared" ca="1" si="29"/>
        <v>-</v>
      </c>
      <c r="Z42" s="382" t="str">
        <f t="shared" ca="1" si="30"/>
        <v>-</v>
      </c>
      <c r="AA42" s="382" t="str">
        <f t="shared" ca="1" si="31"/>
        <v>-</v>
      </c>
      <c r="AB42" s="382" t="str">
        <f t="shared" ca="1" si="32"/>
        <v>-</v>
      </c>
      <c r="AC42" s="382" t="str">
        <f ca="1">IFERROR(Changes!$B$2*Rotation!C42,"-")</f>
        <v>-</v>
      </c>
      <c r="AD42" s="382" t="str">
        <f ca="1">IFERROR(Changes!$B$2*Rotation!D42,"-")</f>
        <v>-</v>
      </c>
      <c r="AE42" s="382" t="str">
        <f ca="1">IFERROR(Changes!$B$2*Rotation!E42,"-")</f>
        <v>-</v>
      </c>
      <c r="AF42" s="382" t="str">
        <f ca="1">IFERROR(Changes!$B$2*Rotation!F42,"-")</f>
        <v>-</v>
      </c>
      <c r="AG42" s="382" t="e">
        <f ca="1">(AC42+AD42)*#REF!</f>
        <v>#VALUE!</v>
      </c>
      <c r="AH42" s="382" t="e">
        <f t="shared" ca="1" si="33"/>
        <v>#VALUE!</v>
      </c>
      <c r="AI42" s="382"/>
      <c r="AJ42" s="382"/>
      <c r="AK42" s="382">
        <f t="shared" si="34"/>
        <v>0.47769797812751363</v>
      </c>
      <c r="AL42" s="382">
        <f t="shared" si="35"/>
        <v>0.47770052200461721</v>
      </c>
      <c r="AM42" s="382">
        <f t="shared" si="36"/>
        <v>0.48325864968161619</v>
      </c>
      <c r="AN42" s="382">
        <f t="shared" si="37"/>
        <v>0.48325864968161619</v>
      </c>
      <c r="AO42" s="382">
        <f t="shared" si="17"/>
        <v>39.970233186461407</v>
      </c>
      <c r="AP42" s="382">
        <f t="shared" si="18"/>
        <v>39.970658893231885</v>
      </c>
      <c r="AQ42" s="382">
        <f t="shared" si="19"/>
        <v>40.906200982235795</v>
      </c>
      <c r="AR42" s="382">
        <f t="shared" si="20"/>
        <v>40.906200982235795</v>
      </c>
      <c r="AS42" s="388" t="str">
        <f t="shared" ca="1" si="38"/>
        <v>-</v>
      </c>
      <c r="AT42" s="388" t="str">
        <f t="shared" ca="1" si="39"/>
        <v>-</v>
      </c>
      <c r="AU42" s="388" t="str">
        <f t="shared" ca="1" si="40"/>
        <v>-</v>
      </c>
      <c r="AV42" s="388" t="str">
        <f t="shared" ca="1" si="41"/>
        <v>-</v>
      </c>
      <c r="AW42" s="382" t="e">
        <f>#REF!*SIN(#REF!)</f>
        <v>#REF!</v>
      </c>
      <c r="AX42" s="382" t="e">
        <f>#REF!*SIN(#REF!)</f>
        <v>#REF!</v>
      </c>
      <c r="AY42" s="382"/>
      <c r="AZ42" s="382"/>
      <c r="BA42" s="388" t="str">
        <f t="shared" ca="1" si="21"/>
        <v>-</v>
      </c>
      <c r="BB42" s="388" t="str">
        <f t="shared" ca="1" si="22"/>
        <v>-</v>
      </c>
      <c r="BC42" s="388" t="str">
        <f t="shared" ca="1" si="23"/>
        <v>-</v>
      </c>
      <c r="BD42" s="388" t="str">
        <f t="shared" ca="1" si="24"/>
        <v>-</v>
      </c>
    </row>
    <row r="43" spans="1:56">
      <c r="A43" t="e">
        <f>IF(#REF!=0,A42,#REF!)</f>
        <v>#REF!</v>
      </c>
      <c r="C43" s="381" t="e">
        <f>#REF!</f>
        <v>#REF!</v>
      </c>
      <c r="D43" s="381" t="e">
        <f>#REF!</f>
        <v>#REF!</v>
      </c>
      <c r="E43" t="s">
        <v>133</v>
      </c>
      <c r="F43" t="s">
        <v>133</v>
      </c>
      <c r="G43" s="382" t="str">
        <f ca="1">IFERROR(C43*Changes!$B$1,"-")</f>
        <v>-</v>
      </c>
      <c r="H43" s="382" t="str">
        <f ca="1">IFERROR(D43*Changes!$B$1,"-")</f>
        <v>-</v>
      </c>
      <c r="I43" s="382" t="str">
        <f ca="1">IFERROR(E43*Changes!$B$1,"-")</f>
        <v>-</v>
      </c>
      <c r="J43" s="382" t="str">
        <f ca="1">IFERROR(F43*Changes!$B$1,"-")</f>
        <v>-</v>
      </c>
      <c r="K43" s="383" t="str">
        <f t="shared" ca="1" si="25"/>
        <v>-</v>
      </c>
      <c r="L43" s="383" t="str">
        <f t="shared" ca="1" si="26"/>
        <v>-</v>
      </c>
      <c r="M43" s="383" t="str">
        <f t="shared" ca="1" si="27"/>
        <v>-</v>
      </c>
      <c r="N43" s="383" t="str">
        <f t="shared" ca="1" si="28"/>
        <v>-</v>
      </c>
      <c r="O43" s="384">
        <f>[1]Particles!$B$13</f>
        <v>512373.33725154324</v>
      </c>
      <c r="P43" s="384">
        <f>[1]Particles!$B$5</f>
        <v>3152.8432598003224</v>
      </c>
      <c r="Q43" s="383">
        <f>IFERROR(VLOOKUP("s",[1]md!$A:$E,5,0)*14.3998434/U43*100,"-")</f>
        <v>1334.448900242716</v>
      </c>
      <c r="R43" s="383">
        <f>IFERROR(VLOOKUP("s",[1]md!$A:$E,5,0)*14.3998434/V43*100,"-")</f>
        <v>1334.4561563582015</v>
      </c>
      <c r="S43" s="383">
        <f>IFERROR(VLOOKUP("s",[1]md!$A:$E,5,0)*14.3998434/W43*100,"-")</f>
        <v>1349.98531875</v>
      </c>
      <c r="T43" s="383">
        <f>IFERROR(VLOOKUP("s",[1]md!$A:$E,5,0)*14.3998434/X43*100,"-")</f>
        <v>1349.98531875</v>
      </c>
      <c r="U43" s="386">
        <v>2.4279421747889329</v>
      </c>
      <c r="V43" s="386">
        <v>2.4279289728349172</v>
      </c>
      <c r="W43" s="386">
        <v>2.4</v>
      </c>
      <c r="X43" s="386">
        <v>2.4</v>
      </c>
      <c r="Y43" s="382" t="str">
        <f t="shared" ca="1" si="29"/>
        <v>-</v>
      </c>
      <c r="Z43" s="382" t="str">
        <f t="shared" ca="1" si="30"/>
        <v>-</v>
      </c>
      <c r="AA43" s="382" t="str">
        <f t="shared" ca="1" si="31"/>
        <v>-</v>
      </c>
      <c r="AB43" s="382" t="str">
        <f t="shared" ca="1" si="32"/>
        <v>-</v>
      </c>
      <c r="AC43" s="382" t="str">
        <f ca="1">IFERROR(Changes!$B$2*Rotation!C43,"-")</f>
        <v>-</v>
      </c>
      <c r="AD43" s="382" t="str">
        <f ca="1">IFERROR(Changes!$B$2*Rotation!D43,"-")</f>
        <v>-</v>
      </c>
      <c r="AE43" s="382" t="str">
        <f ca="1">IFERROR(Changes!$B$2*Rotation!E43,"-")</f>
        <v>-</v>
      </c>
      <c r="AF43" s="382" t="str">
        <f ca="1">IFERROR(Changes!$B$2*Rotation!F43,"-")</f>
        <v>-</v>
      </c>
      <c r="AG43" s="382" t="e">
        <f ca="1">(AC43+AD43)*#REF!</f>
        <v>#VALUE!</v>
      </c>
      <c r="AH43" s="382" t="e">
        <f t="shared" ca="1" si="33"/>
        <v>#VALUE!</v>
      </c>
      <c r="AI43" s="382"/>
      <c r="AJ43" s="382"/>
      <c r="AK43" s="382">
        <f t="shared" si="34"/>
        <v>0.47769702725177343</v>
      </c>
      <c r="AL43" s="382">
        <f t="shared" si="35"/>
        <v>0.47769962474711108</v>
      </c>
      <c r="AM43" s="382">
        <f t="shared" si="36"/>
        <v>0.48325864968161619</v>
      </c>
      <c r="AN43" s="382">
        <f t="shared" si="37"/>
        <v>0.48325864968161619</v>
      </c>
      <c r="AO43" s="382">
        <f t="shared" si="17"/>
        <v>39.970074062123523</v>
      </c>
      <c r="AP43" s="382">
        <f t="shared" si="18"/>
        <v>39.970508740831434</v>
      </c>
      <c r="AQ43" s="382">
        <f t="shared" si="19"/>
        <v>40.906200982235795</v>
      </c>
      <c r="AR43" s="382">
        <f t="shared" si="20"/>
        <v>40.906200982235795</v>
      </c>
      <c r="AS43" s="388" t="str">
        <f t="shared" ca="1" si="38"/>
        <v>-</v>
      </c>
      <c r="AT43" s="388" t="str">
        <f t="shared" ca="1" si="39"/>
        <v>-</v>
      </c>
      <c r="AU43" s="388" t="str">
        <f t="shared" ca="1" si="40"/>
        <v>-</v>
      </c>
      <c r="AV43" s="388" t="str">
        <f t="shared" ca="1" si="41"/>
        <v>-</v>
      </c>
      <c r="AW43" s="382" t="e">
        <f>#REF!*SIN(#REF!)</f>
        <v>#REF!</v>
      </c>
      <c r="AX43" s="382" t="e">
        <f>#REF!*SIN(#REF!)</f>
        <v>#REF!</v>
      </c>
      <c r="AY43" s="382"/>
      <c r="AZ43" s="382"/>
      <c r="BA43" s="388" t="str">
        <f t="shared" ca="1" si="21"/>
        <v>-</v>
      </c>
      <c r="BB43" s="388" t="str">
        <f t="shared" ca="1" si="22"/>
        <v>-</v>
      </c>
      <c r="BC43" s="388" t="str">
        <f t="shared" ca="1" si="23"/>
        <v>-</v>
      </c>
      <c r="BD43" s="388" t="str">
        <f t="shared" ca="1" si="24"/>
        <v>-</v>
      </c>
    </row>
    <row r="44" spans="1:56">
      <c r="A44" t="e">
        <f>IF(#REF!=0,A43,#REF!)</f>
        <v>#REF!</v>
      </c>
      <c r="C44" s="381" t="e">
        <f>#REF!</f>
        <v>#REF!</v>
      </c>
      <c r="D44" s="381" t="e">
        <f>#REF!</f>
        <v>#REF!</v>
      </c>
      <c r="E44" t="s">
        <v>133</v>
      </c>
      <c r="F44" t="s">
        <v>133</v>
      </c>
      <c r="G44" s="382" t="str">
        <f ca="1">IFERROR(C44*Changes!$B$1,"-")</f>
        <v>-</v>
      </c>
      <c r="H44" s="382" t="str">
        <f ca="1">IFERROR(D44*Changes!$B$1,"-")</f>
        <v>-</v>
      </c>
      <c r="I44" s="382" t="str">
        <f ca="1">IFERROR(E44*Changes!$B$1,"-")</f>
        <v>-</v>
      </c>
      <c r="J44" s="382" t="str">
        <f ca="1">IFERROR(F44*Changes!$B$1,"-")</f>
        <v>-</v>
      </c>
      <c r="K44" s="383" t="str">
        <f t="shared" ca="1" si="25"/>
        <v>-</v>
      </c>
      <c r="L44" s="383" t="str">
        <f t="shared" ca="1" si="26"/>
        <v>-</v>
      </c>
      <c r="M44" s="383" t="str">
        <f t="shared" ca="1" si="27"/>
        <v>-</v>
      </c>
      <c r="N44" s="383" t="str">
        <f t="shared" ca="1" si="28"/>
        <v>-</v>
      </c>
      <c r="O44" s="384">
        <f>[1]Particles!$B$13</f>
        <v>512373.33725154324</v>
      </c>
      <c r="P44" s="384">
        <f>[1]Particles!$B$5</f>
        <v>3152.8432598003224</v>
      </c>
      <c r="Q44" s="383">
        <f>IFERROR(VLOOKUP("s",[1]md!$A:$E,5,0)*14.3998434/U44*100,"-")</f>
        <v>1334.4483012785495</v>
      </c>
      <c r="R44" s="383">
        <f>IFERROR(VLOOKUP("s",[1]md!$A:$E,5,0)*14.3998434/V44*100,"-")</f>
        <v>1334.4538487505965</v>
      </c>
      <c r="S44" s="383">
        <f>IFERROR(VLOOKUP("s",[1]md!$A:$E,5,0)*14.3998434/W44*100,"-")</f>
        <v>1349.98531875</v>
      </c>
      <c r="T44" s="383">
        <f>IFERROR(VLOOKUP("s",[1]md!$A:$E,5,0)*14.3998434/X44*100,"-")</f>
        <v>1349.98531875</v>
      </c>
      <c r="U44" s="386">
        <v>2.4279432645654047</v>
      </c>
      <c r="V44" s="386">
        <v>2.4279331713370738</v>
      </c>
      <c r="W44" s="386">
        <v>2.4</v>
      </c>
      <c r="X44" s="386">
        <v>2.4</v>
      </c>
      <c r="Y44" s="382" t="str">
        <f t="shared" ca="1" si="29"/>
        <v>-</v>
      </c>
      <c r="Z44" s="382" t="str">
        <f t="shared" ca="1" si="30"/>
        <v>-</v>
      </c>
      <c r="AA44" s="382" t="str">
        <f t="shared" ca="1" si="31"/>
        <v>-</v>
      </c>
      <c r="AB44" s="382" t="str">
        <f t="shared" ca="1" si="32"/>
        <v>-</v>
      </c>
      <c r="AC44" s="382" t="str">
        <f ca="1">IFERROR(Changes!$B$2*Rotation!C44,"-")</f>
        <v>-</v>
      </c>
      <c r="AD44" s="382" t="str">
        <f ca="1">IFERROR(Changes!$B$2*Rotation!D44,"-")</f>
        <v>-</v>
      </c>
      <c r="AE44" s="382" t="str">
        <f ca="1">IFERROR(Changes!$B$2*Rotation!E44,"-")</f>
        <v>-</v>
      </c>
      <c r="AF44" s="382" t="str">
        <f ca="1">IFERROR(Changes!$B$2*Rotation!F44,"-")</f>
        <v>-</v>
      </c>
      <c r="AG44" s="382" t="e">
        <f ca="1">(AC44+AD44)*#REF!</f>
        <v>#VALUE!</v>
      </c>
      <c r="AH44" s="382" t="e">
        <f t="shared" ca="1" si="33"/>
        <v>#VALUE!</v>
      </c>
      <c r="AI44" s="382"/>
      <c r="AJ44" s="382"/>
      <c r="AK44" s="382">
        <f t="shared" si="34"/>
        <v>0.4776968128386162</v>
      </c>
      <c r="AL44" s="382">
        <f t="shared" si="35"/>
        <v>0.47769879868528692</v>
      </c>
      <c r="AM44" s="382">
        <f t="shared" si="36"/>
        <v>0.48325864968161619</v>
      </c>
      <c r="AN44" s="382">
        <f t="shared" si="37"/>
        <v>0.48325864968161619</v>
      </c>
      <c r="AO44" s="382">
        <f t="shared" si="17"/>
        <v>39.970038181189111</v>
      </c>
      <c r="AP44" s="382">
        <f t="shared" si="18"/>
        <v>39.970370502988636</v>
      </c>
      <c r="AQ44" s="382">
        <f t="shared" si="19"/>
        <v>40.906200982235795</v>
      </c>
      <c r="AR44" s="382">
        <f t="shared" si="20"/>
        <v>40.906200982235795</v>
      </c>
      <c r="AS44" s="388" t="str">
        <f t="shared" ca="1" si="38"/>
        <v>-</v>
      </c>
      <c r="AT44" s="388" t="str">
        <f t="shared" ca="1" si="39"/>
        <v>-</v>
      </c>
      <c r="AU44" s="388" t="str">
        <f t="shared" ca="1" si="40"/>
        <v>-</v>
      </c>
      <c r="AV44" s="388" t="str">
        <f t="shared" ca="1" si="41"/>
        <v>-</v>
      </c>
      <c r="AW44" s="382" t="e">
        <f>#REF!*SIN(#REF!)</f>
        <v>#REF!</v>
      </c>
      <c r="AX44" s="382" t="e">
        <f>#REF!*SIN(#REF!)</f>
        <v>#REF!</v>
      </c>
      <c r="AY44" s="382"/>
      <c r="AZ44" s="382"/>
      <c r="BA44" s="388" t="str">
        <f t="shared" ca="1" si="21"/>
        <v>-</v>
      </c>
      <c r="BB44" s="388" t="str">
        <f t="shared" ca="1" si="22"/>
        <v>-</v>
      </c>
      <c r="BC44" s="388" t="str">
        <f t="shared" ca="1" si="23"/>
        <v>-</v>
      </c>
      <c r="BD44" s="388" t="str">
        <f t="shared" ca="1" si="24"/>
        <v>-</v>
      </c>
    </row>
    <row r="45" spans="1:56">
      <c r="A45" t="e">
        <f>IF(#REF!=0,A44,#REF!)</f>
        <v>#REF!</v>
      </c>
      <c r="C45" s="381" t="e">
        <f>#REF!</f>
        <v>#REF!</v>
      </c>
      <c r="D45" s="381" t="e">
        <f>#REF!</f>
        <v>#REF!</v>
      </c>
      <c r="E45" t="s">
        <v>133</v>
      </c>
      <c r="F45" t="s">
        <v>133</v>
      </c>
      <c r="G45" s="382" t="str">
        <f ca="1">IFERROR(C45*Changes!$B$1,"-")</f>
        <v>-</v>
      </c>
      <c r="H45" s="382" t="str">
        <f ca="1">IFERROR(D45*Changes!$B$1,"-")</f>
        <v>-</v>
      </c>
      <c r="I45" s="382" t="str">
        <f ca="1">IFERROR(E45*Changes!$B$1,"-")</f>
        <v>-</v>
      </c>
      <c r="J45" s="382" t="str">
        <f ca="1">IFERROR(F45*Changes!$B$1,"-")</f>
        <v>-</v>
      </c>
      <c r="K45" s="383" t="str">
        <f t="shared" ca="1" si="25"/>
        <v>-</v>
      </c>
      <c r="L45" s="383" t="str">
        <f t="shared" ca="1" si="26"/>
        <v>-</v>
      </c>
      <c r="M45" s="383" t="str">
        <f t="shared" ca="1" si="27"/>
        <v>-</v>
      </c>
      <c r="N45" s="383" t="str">
        <f t="shared" ca="1" si="28"/>
        <v>-</v>
      </c>
      <c r="O45" s="384">
        <f>[1]Particles!$B$13</f>
        <v>512373.33725154324</v>
      </c>
      <c r="P45" s="384">
        <f>[1]Particles!$B$5</f>
        <v>3152.8432598003224</v>
      </c>
      <c r="Q45" s="383">
        <f>IFERROR(VLOOKUP("s",[1]md!$A:$E,5,0)*14.3998434/U45*100,"-")</f>
        <v>1334.4449158289126</v>
      </c>
      <c r="R45" s="383">
        <f>IFERROR(VLOOKUP("s",[1]md!$A:$E,5,0)*14.3998434/V45*100,"-")</f>
        <v>1334.4483290944468</v>
      </c>
      <c r="S45" s="383">
        <f>IFERROR(VLOOKUP("s",[1]md!$A:$E,5,0)*14.3998434/W45*100,"-")</f>
        <v>1349.98531875</v>
      </c>
      <c r="T45" s="383">
        <f>IFERROR(VLOOKUP("s",[1]md!$A:$E,5,0)*14.3998434/X45*100,"-")</f>
        <v>1349.98531875</v>
      </c>
      <c r="U45" s="386">
        <v>2.4279494241899391</v>
      </c>
      <c r="V45" s="386">
        <v>2.4279432139561612</v>
      </c>
      <c r="W45" s="386">
        <v>2.4</v>
      </c>
      <c r="X45" s="386">
        <v>2.4</v>
      </c>
      <c r="Y45" s="382" t="str">
        <f t="shared" ca="1" si="29"/>
        <v>-</v>
      </c>
      <c r="Z45" s="382" t="str">
        <f t="shared" ca="1" si="30"/>
        <v>-</v>
      </c>
      <c r="AA45" s="382" t="str">
        <f t="shared" ca="1" si="31"/>
        <v>-</v>
      </c>
      <c r="AB45" s="382" t="str">
        <f t="shared" ca="1" si="32"/>
        <v>-</v>
      </c>
      <c r="AC45" s="382" t="str">
        <f ca="1">IFERROR(Changes!$B$2*Rotation!C45,"-")</f>
        <v>-</v>
      </c>
      <c r="AD45" s="382" t="str">
        <f ca="1">IFERROR(Changes!$B$2*Rotation!D45,"-")</f>
        <v>-</v>
      </c>
      <c r="AE45" s="382" t="str">
        <f ca="1">IFERROR(Changes!$B$2*Rotation!E45,"-")</f>
        <v>-</v>
      </c>
      <c r="AF45" s="382" t="str">
        <f ca="1">IFERROR(Changes!$B$2*Rotation!F45,"-")</f>
        <v>-</v>
      </c>
      <c r="AG45" s="382" t="e">
        <f ca="1">(AC45+AD45)*#REF!</f>
        <v>#VALUE!</v>
      </c>
      <c r="AH45" s="382" t="e">
        <f t="shared" ca="1" si="33"/>
        <v>#VALUE!</v>
      </c>
      <c r="AI45" s="382"/>
      <c r="AJ45" s="382"/>
      <c r="AK45" s="382">
        <f t="shared" si="34"/>
        <v>0.47769560093816271</v>
      </c>
      <c r="AL45" s="382">
        <f t="shared" si="35"/>
        <v>0.47769682279596376</v>
      </c>
      <c r="AM45" s="382">
        <f t="shared" si="36"/>
        <v>0.48325864968161619</v>
      </c>
      <c r="AN45" s="382">
        <f t="shared" si="37"/>
        <v>0.48325864968161619</v>
      </c>
      <c r="AO45" s="382">
        <f t="shared" si="17"/>
        <v>39.969835376210511</v>
      </c>
      <c r="AP45" s="382">
        <f t="shared" si="18"/>
        <v>39.970039847499443</v>
      </c>
      <c r="AQ45" s="382">
        <f t="shared" si="19"/>
        <v>40.906200982235795</v>
      </c>
      <c r="AR45" s="382">
        <f t="shared" si="20"/>
        <v>40.906200982235795</v>
      </c>
      <c r="AS45" s="388" t="str">
        <f t="shared" ca="1" si="38"/>
        <v>-</v>
      </c>
      <c r="AT45" s="388" t="str">
        <f t="shared" ca="1" si="39"/>
        <v>-</v>
      </c>
      <c r="AU45" s="388" t="str">
        <f t="shared" ca="1" si="40"/>
        <v>-</v>
      </c>
      <c r="AV45" s="388" t="str">
        <f t="shared" ca="1" si="41"/>
        <v>-</v>
      </c>
      <c r="AW45" s="382" t="e">
        <f>#REF!*SIN(#REF!)</f>
        <v>#REF!</v>
      </c>
      <c r="AX45" s="382" t="e">
        <f>#REF!*SIN(#REF!)</f>
        <v>#REF!</v>
      </c>
      <c r="AY45" s="382"/>
      <c r="AZ45" s="382"/>
      <c r="BA45" s="388" t="str">
        <f t="shared" ca="1" si="21"/>
        <v>-</v>
      </c>
      <c r="BB45" s="388" t="str">
        <f t="shared" ca="1" si="22"/>
        <v>-</v>
      </c>
      <c r="BC45" s="388" t="str">
        <f t="shared" ca="1" si="23"/>
        <v>-</v>
      </c>
      <c r="BD45" s="388" t="str">
        <f t="shared" ca="1" si="24"/>
        <v>-</v>
      </c>
    </row>
    <row r="46" spans="1:56">
      <c r="A46" t="e">
        <f>IF(#REF!=0,A45,#REF!)</f>
        <v>#REF!</v>
      </c>
      <c r="C46" s="381" t="e">
        <f>#REF!</f>
        <v>#REF!</v>
      </c>
      <c r="D46" s="381" t="e">
        <f>#REF!</f>
        <v>#REF!</v>
      </c>
      <c r="E46" t="s">
        <v>133</v>
      </c>
      <c r="F46" t="s">
        <v>133</v>
      </c>
      <c r="G46" s="382" t="str">
        <f ca="1">IFERROR(C46*Changes!$B$1,"-")</f>
        <v>-</v>
      </c>
      <c r="H46" s="382" t="str">
        <f ca="1">IFERROR(D46*Changes!$B$1,"-")</f>
        <v>-</v>
      </c>
      <c r="I46" s="382" t="str">
        <f ca="1">IFERROR(E46*Changes!$B$1,"-")</f>
        <v>-</v>
      </c>
      <c r="J46" s="382" t="str">
        <f ca="1">IFERROR(F46*Changes!$B$1,"-")</f>
        <v>-</v>
      </c>
      <c r="K46" s="383" t="str">
        <f t="shared" ca="1" si="25"/>
        <v>-</v>
      </c>
      <c r="L46" s="383" t="str">
        <f t="shared" ca="1" si="26"/>
        <v>-</v>
      </c>
      <c r="M46" s="383" t="str">
        <f t="shared" ca="1" si="27"/>
        <v>-</v>
      </c>
      <c r="N46" s="383" t="str">
        <f t="shared" ca="1" si="28"/>
        <v>-</v>
      </c>
      <c r="O46" s="384">
        <f>[1]Particles!$B$13</f>
        <v>512373.33725154324</v>
      </c>
      <c r="P46" s="384">
        <f>[1]Particles!$B$5</f>
        <v>3152.8432598003224</v>
      </c>
      <c r="Q46" s="383">
        <f>IFERROR(VLOOKUP("s",[1]md!$A:$E,5,0)*14.3998434/U46*100,"-")</f>
        <v>1334.4425460141654</v>
      </c>
      <c r="R46" s="383">
        <f>IFERROR(VLOOKUP("s",[1]md!$A:$E,5,0)*14.3998434/V46*100,"-")</f>
        <v>1334.4476410720158</v>
      </c>
      <c r="S46" s="383">
        <f>IFERROR(VLOOKUP("s",[1]md!$A:$E,5,0)*14.3998434/W46*100,"-")</f>
        <v>1349.98531875</v>
      </c>
      <c r="T46" s="383">
        <f>IFERROR(VLOOKUP("s",[1]md!$A:$E,5,0)*14.3998434/X46*100,"-")</f>
        <v>1349.98531875</v>
      </c>
      <c r="U46" s="386">
        <v>2.4279537359457115</v>
      </c>
      <c r="V46" s="386">
        <v>2.4279444657695262</v>
      </c>
      <c r="W46" s="386">
        <v>2.4</v>
      </c>
      <c r="X46" s="386">
        <v>2.4</v>
      </c>
      <c r="Y46" s="382" t="str">
        <f t="shared" ca="1" si="29"/>
        <v>-</v>
      </c>
      <c r="Z46" s="382" t="str">
        <f t="shared" ca="1" si="30"/>
        <v>-</v>
      </c>
      <c r="AA46" s="382" t="str">
        <f t="shared" ca="1" si="31"/>
        <v>-</v>
      </c>
      <c r="AB46" s="382" t="str">
        <f t="shared" ca="1" si="32"/>
        <v>-</v>
      </c>
      <c r="AC46" s="382" t="str">
        <f ca="1">IFERROR(Changes!$B$2*Rotation!C46,"-")</f>
        <v>-</v>
      </c>
      <c r="AD46" s="382" t="str">
        <f ca="1">IFERROR(Changes!$B$2*Rotation!D46,"-")</f>
        <v>-</v>
      </c>
      <c r="AE46" s="382" t="str">
        <f ca="1">IFERROR(Changes!$B$2*Rotation!E46,"-")</f>
        <v>-</v>
      </c>
      <c r="AF46" s="382" t="str">
        <f ca="1">IFERROR(Changes!$B$2*Rotation!F46,"-")</f>
        <v>-</v>
      </c>
      <c r="AG46" s="382" t="e">
        <f ca="1">(AC46+AD46)*#REF!</f>
        <v>#VALUE!</v>
      </c>
      <c r="AH46" s="382" t="e">
        <f t="shared" ca="1" si="33"/>
        <v>#VALUE!</v>
      </c>
      <c r="AI46" s="382"/>
      <c r="AJ46" s="382"/>
      <c r="AK46" s="382">
        <f t="shared" si="34"/>
        <v>0.47769475260784472</v>
      </c>
      <c r="AL46" s="382">
        <f t="shared" si="35"/>
        <v>0.47769657650232916</v>
      </c>
      <c r="AM46" s="382">
        <f t="shared" si="36"/>
        <v>0.48325864968161619</v>
      </c>
      <c r="AN46" s="382">
        <f t="shared" si="37"/>
        <v>0.48325864968161619</v>
      </c>
      <c r="AO46" s="382">
        <f t="shared" si="17"/>
        <v>39.969693413031536</v>
      </c>
      <c r="AP46" s="382">
        <f t="shared" si="18"/>
        <v>39.96999863155083</v>
      </c>
      <c r="AQ46" s="382">
        <f t="shared" si="19"/>
        <v>40.906200982235795</v>
      </c>
      <c r="AR46" s="382">
        <f t="shared" si="20"/>
        <v>40.906200982235795</v>
      </c>
      <c r="AS46" s="388" t="str">
        <f t="shared" ca="1" si="38"/>
        <v>-</v>
      </c>
      <c r="AT46" s="388" t="str">
        <f t="shared" ca="1" si="39"/>
        <v>-</v>
      </c>
      <c r="AU46" s="388" t="str">
        <f t="shared" ca="1" si="40"/>
        <v>-</v>
      </c>
      <c r="AV46" s="388" t="str">
        <f t="shared" ca="1" si="41"/>
        <v>-</v>
      </c>
      <c r="AW46" s="382" t="e">
        <f>#REF!*SIN(#REF!)</f>
        <v>#REF!</v>
      </c>
      <c r="AX46" s="382" t="e">
        <f>#REF!*SIN(#REF!)</f>
        <v>#REF!</v>
      </c>
      <c r="AY46" s="382"/>
      <c r="AZ46" s="382"/>
      <c r="BA46" s="388" t="str">
        <f t="shared" ca="1" si="21"/>
        <v>-</v>
      </c>
      <c r="BB46" s="388" t="str">
        <f t="shared" ca="1" si="22"/>
        <v>-</v>
      </c>
      <c r="BC46" s="388" t="str">
        <f t="shared" ca="1" si="23"/>
        <v>-</v>
      </c>
      <c r="BD46" s="388" t="str">
        <f t="shared" ca="1" si="24"/>
        <v>-</v>
      </c>
    </row>
    <row r="47" spans="1:56">
      <c r="A47" t="e">
        <f>IF(#REF!=0,A46,#REF!)</f>
        <v>#REF!</v>
      </c>
      <c r="C47" s="381" t="e">
        <f>#REF!</f>
        <v>#REF!</v>
      </c>
      <c r="D47" s="381" t="e">
        <f>#REF!</f>
        <v>#REF!</v>
      </c>
      <c r="E47" t="s">
        <v>133</v>
      </c>
      <c r="F47" t="s">
        <v>133</v>
      </c>
      <c r="G47" s="382" t="str">
        <f ca="1">IFERROR(C47*Changes!$B$1,"-")</f>
        <v>-</v>
      </c>
      <c r="H47" s="382" t="str">
        <f ca="1">IFERROR(D47*Changes!$B$1,"-")</f>
        <v>-</v>
      </c>
      <c r="I47" s="382" t="str">
        <f ca="1">IFERROR(E47*Changes!$B$1,"-")</f>
        <v>-</v>
      </c>
      <c r="J47" s="382" t="str">
        <f ca="1">IFERROR(F47*Changes!$B$1,"-")</f>
        <v>-</v>
      </c>
      <c r="K47" s="383" t="str">
        <f t="shared" ca="1" si="25"/>
        <v>-</v>
      </c>
      <c r="L47" s="383" t="str">
        <f t="shared" ca="1" si="26"/>
        <v>-</v>
      </c>
      <c r="M47" s="383" t="str">
        <f t="shared" ca="1" si="27"/>
        <v>-</v>
      </c>
      <c r="N47" s="383" t="str">
        <f t="shared" ca="1" si="28"/>
        <v>-</v>
      </c>
      <c r="O47" s="384">
        <f>[1]Particles!$B$13</f>
        <v>512373.33725154324</v>
      </c>
      <c r="P47" s="384">
        <f>[1]Particles!$B$5</f>
        <v>3152.8432598003224</v>
      </c>
      <c r="Q47" s="383">
        <f>IFERROR(VLOOKUP("s",[1]md!$A:$E,5,0)*14.3998434/U47*100,"-")</f>
        <v>1334.4455668769197</v>
      </c>
      <c r="R47" s="383">
        <f>IFERROR(VLOOKUP("s",[1]md!$A:$E,5,0)*14.3998434/V47*100,"-")</f>
        <v>1334.4470242911761</v>
      </c>
      <c r="S47" s="383">
        <f>IFERROR(VLOOKUP("s",[1]md!$A:$E,5,0)*14.3998434/W47*100,"-")</f>
        <v>1349.98531875</v>
      </c>
      <c r="T47" s="383">
        <f>IFERROR(VLOOKUP("s",[1]md!$A:$E,5,0)*14.3998434/X47*100,"-")</f>
        <v>1349.98531875</v>
      </c>
      <c r="U47" s="386">
        <v>2.4279482396443322</v>
      </c>
      <c r="V47" s="386">
        <v>2.4279455879644121</v>
      </c>
      <c r="W47" s="386">
        <v>2.4</v>
      </c>
      <c r="X47" s="386">
        <v>2.4</v>
      </c>
      <c r="Y47" s="382" t="str">
        <f t="shared" ca="1" si="29"/>
        <v>-</v>
      </c>
      <c r="Z47" s="382" t="str">
        <f t="shared" ca="1" si="30"/>
        <v>-</v>
      </c>
      <c r="AA47" s="382" t="str">
        <f t="shared" ca="1" si="31"/>
        <v>-</v>
      </c>
      <c r="AB47" s="382" t="str">
        <f t="shared" ca="1" si="32"/>
        <v>-</v>
      </c>
      <c r="AC47" s="382" t="str">
        <f ca="1">IFERROR(Changes!$B$2*Rotation!C47,"-")</f>
        <v>-</v>
      </c>
      <c r="AD47" s="382" t="str">
        <f ca="1">IFERROR(Changes!$B$2*Rotation!D47,"-")</f>
        <v>-</v>
      </c>
      <c r="AE47" s="382" t="str">
        <f ca="1">IFERROR(Changes!$B$2*Rotation!E47,"-")</f>
        <v>-</v>
      </c>
      <c r="AF47" s="382" t="str">
        <f ca="1">IFERROR(Changes!$B$2*Rotation!F47,"-")</f>
        <v>-</v>
      </c>
      <c r="AG47" s="382" t="e">
        <f ca="1">(AC47+AD47)*#REF!</f>
        <v>#VALUE!</v>
      </c>
      <c r="AH47" s="382" t="e">
        <f t="shared" ca="1" si="33"/>
        <v>#VALUE!</v>
      </c>
      <c r="AI47" s="382"/>
      <c r="AJ47" s="382"/>
      <c r="AK47" s="382">
        <f t="shared" si="34"/>
        <v>0.47769583399594223</v>
      </c>
      <c r="AL47" s="382">
        <f t="shared" si="35"/>
        <v>0.47769635571127927</v>
      </c>
      <c r="AM47" s="382">
        <f t="shared" si="36"/>
        <v>0.48325864968161619</v>
      </c>
      <c r="AN47" s="382">
        <f t="shared" si="37"/>
        <v>0.48325864968161619</v>
      </c>
      <c r="AO47" s="382">
        <f t="shared" si="17"/>
        <v>39.969874377127979</v>
      </c>
      <c r="AP47" s="382">
        <f t="shared" si="18"/>
        <v>39.969961683344131</v>
      </c>
      <c r="AQ47" s="382">
        <f t="shared" si="19"/>
        <v>40.906200982235795</v>
      </c>
      <c r="AR47" s="382">
        <f t="shared" si="20"/>
        <v>40.906200982235795</v>
      </c>
      <c r="AS47" s="388" t="str">
        <f t="shared" ca="1" si="38"/>
        <v>-</v>
      </c>
      <c r="AT47" s="388" t="str">
        <f t="shared" ca="1" si="39"/>
        <v>-</v>
      </c>
      <c r="AU47" s="388" t="str">
        <f t="shared" ca="1" si="40"/>
        <v>-</v>
      </c>
      <c r="AV47" s="388" t="str">
        <f t="shared" ca="1" si="41"/>
        <v>-</v>
      </c>
      <c r="AW47" s="382" t="e">
        <f>#REF!*SIN(#REF!)</f>
        <v>#REF!</v>
      </c>
      <c r="AX47" s="382" t="e">
        <f>#REF!*SIN(#REF!)</f>
        <v>#REF!</v>
      </c>
      <c r="AY47" s="382"/>
      <c r="AZ47" s="382"/>
      <c r="BA47" s="388" t="str">
        <f t="shared" ca="1" si="21"/>
        <v>-</v>
      </c>
      <c r="BB47" s="388" t="str">
        <f t="shared" ca="1" si="22"/>
        <v>-</v>
      </c>
      <c r="BC47" s="388" t="str">
        <f t="shared" ca="1" si="23"/>
        <v>-</v>
      </c>
      <c r="BD47" s="388" t="str">
        <f t="shared" ca="1" si="24"/>
        <v>-</v>
      </c>
    </row>
    <row r="48" spans="1:56">
      <c r="A48" t="e">
        <f>IF(#REF!=0,A47,#REF!)</f>
        <v>#REF!</v>
      </c>
      <c r="C48" s="381" t="e">
        <f>#REF!</f>
        <v>#REF!</v>
      </c>
      <c r="D48" s="381" t="e">
        <f>#REF!</f>
        <v>#REF!</v>
      </c>
      <c r="E48" t="s">
        <v>133</v>
      </c>
      <c r="F48" t="s">
        <v>133</v>
      </c>
      <c r="G48" s="382" t="str">
        <f ca="1">IFERROR(C48*Changes!$B$1,"-")</f>
        <v>-</v>
      </c>
      <c r="H48" s="382" t="str">
        <f ca="1">IFERROR(D48*Changes!$B$1,"-")</f>
        <v>-</v>
      </c>
      <c r="I48" s="382" t="str">
        <f ca="1">IFERROR(E48*Changes!$B$1,"-")</f>
        <v>-</v>
      </c>
      <c r="J48" s="382" t="str">
        <f ca="1">IFERROR(F48*Changes!$B$1,"-")</f>
        <v>-</v>
      </c>
      <c r="K48" s="383" t="str">
        <f t="shared" ca="1" si="25"/>
        <v>-</v>
      </c>
      <c r="L48" s="383" t="str">
        <f t="shared" ca="1" si="26"/>
        <v>-</v>
      </c>
      <c r="M48" s="383" t="str">
        <f t="shared" ca="1" si="27"/>
        <v>-</v>
      </c>
      <c r="N48" s="383" t="str">
        <f t="shared" ca="1" si="28"/>
        <v>-</v>
      </c>
      <c r="O48" s="384">
        <f>[1]Particles!$B$13</f>
        <v>512373.33725154324</v>
      </c>
      <c r="P48" s="384">
        <f>[1]Particles!$B$5</f>
        <v>3152.8432598003224</v>
      </c>
      <c r="Q48" s="383">
        <f>IFERROR(VLOOKUP("s",[1]md!$A:$E,5,0)*14.3998434/U48*100,"-")</f>
        <v>1334.4425460141654</v>
      </c>
      <c r="R48" s="383">
        <f>IFERROR(VLOOKUP("s",[1]md!$A:$E,5,0)*14.3998434/V48*100,"-")</f>
        <v>1334.4474070774543</v>
      </c>
      <c r="S48" s="383">
        <f>IFERROR(VLOOKUP("s",[1]md!$A:$E,5,0)*14.3998434/W48*100,"-")</f>
        <v>1349.98531875</v>
      </c>
      <c r="T48" s="383">
        <f>IFERROR(VLOOKUP("s",[1]md!$A:$E,5,0)*14.3998434/X48*100,"-")</f>
        <v>1349.98531875</v>
      </c>
      <c r="U48" s="386">
        <v>2.4279537359457115</v>
      </c>
      <c r="V48" s="386">
        <v>2.4279448915081487</v>
      </c>
      <c r="W48" s="386">
        <v>2.4</v>
      </c>
      <c r="X48" s="386">
        <v>2.4</v>
      </c>
      <c r="Y48" s="382" t="str">
        <f t="shared" ca="1" si="29"/>
        <v>-</v>
      </c>
      <c r="Z48" s="382" t="str">
        <f t="shared" ca="1" si="30"/>
        <v>-</v>
      </c>
      <c r="AA48" s="382" t="str">
        <f t="shared" ca="1" si="31"/>
        <v>-</v>
      </c>
      <c r="AB48" s="382" t="str">
        <f t="shared" ca="1" si="32"/>
        <v>-</v>
      </c>
      <c r="AC48" s="382" t="str">
        <f ca="1">IFERROR(Changes!$B$2*Rotation!C48,"-")</f>
        <v>-</v>
      </c>
      <c r="AD48" s="382" t="str">
        <f ca="1">IFERROR(Changes!$B$2*Rotation!D48,"-")</f>
        <v>-</v>
      </c>
      <c r="AE48" s="382" t="str">
        <f ca="1">IFERROR(Changes!$B$2*Rotation!E48,"-")</f>
        <v>-</v>
      </c>
      <c r="AF48" s="382" t="str">
        <f ca="1">IFERROR(Changes!$B$2*Rotation!F48,"-")</f>
        <v>-</v>
      </c>
      <c r="AG48" s="382" t="e">
        <f ca="1">(AC48+AD48)*#REF!</f>
        <v>#VALUE!</v>
      </c>
      <c r="AH48" s="382" t="e">
        <f t="shared" ca="1" si="33"/>
        <v>#VALUE!</v>
      </c>
      <c r="AI48" s="382"/>
      <c r="AJ48" s="382"/>
      <c r="AK48" s="382">
        <f t="shared" si="34"/>
        <v>0.47769475260784472</v>
      </c>
      <c r="AL48" s="382">
        <f t="shared" si="35"/>
        <v>0.47769649273853232</v>
      </c>
      <c r="AM48" s="382">
        <f t="shared" si="36"/>
        <v>0.48325864968161619</v>
      </c>
      <c r="AN48" s="382">
        <f t="shared" si="37"/>
        <v>0.48325864968161619</v>
      </c>
      <c r="AO48" s="382">
        <f t="shared" si="17"/>
        <v>39.969693413031536</v>
      </c>
      <c r="AP48" s="382">
        <f t="shared" si="18"/>
        <v>39.969984614123376</v>
      </c>
      <c r="AQ48" s="382">
        <f t="shared" si="19"/>
        <v>40.906200982235795</v>
      </c>
      <c r="AR48" s="382">
        <f t="shared" si="20"/>
        <v>40.906200982235795</v>
      </c>
      <c r="AS48" s="388" t="str">
        <f t="shared" ca="1" si="38"/>
        <v>-</v>
      </c>
      <c r="AT48" s="388" t="str">
        <f t="shared" ca="1" si="39"/>
        <v>-</v>
      </c>
      <c r="AU48" s="388" t="str">
        <f t="shared" ca="1" si="40"/>
        <v>-</v>
      </c>
      <c r="AV48" s="388" t="str">
        <f t="shared" ca="1" si="41"/>
        <v>-</v>
      </c>
      <c r="AW48" s="382" t="e">
        <f>#REF!*SIN(#REF!)</f>
        <v>#REF!</v>
      </c>
      <c r="AX48" s="382" t="e">
        <f>#REF!*SIN(#REF!)</f>
        <v>#REF!</v>
      </c>
      <c r="AY48" s="382"/>
      <c r="AZ48" s="382"/>
      <c r="BA48" s="388" t="str">
        <f t="shared" ca="1" si="21"/>
        <v>-</v>
      </c>
      <c r="BB48" s="388" t="str">
        <f t="shared" ca="1" si="22"/>
        <v>-</v>
      </c>
      <c r="BC48" s="388" t="str">
        <f t="shared" ca="1" si="23"/>
        <v>-</v>
      </c>
      <c r="BD48" s="388" t="str">
        <f t="shared" ca="1" si="24"/>
        <v>-</v>
      </c>
    </row>
    <row r="49" spans="1:56">
      <c r="A49" t="e">
        <f>IF(#REF!=0,A48,#REF!)</f>
        <v>#REF!</v>
      </c>
      <c r="C49" s="381" t="e">
        <f>#REF!</f>
        <v>#REF!</v>
      </c>
      <c r="D49" s="381" t="e">
        <f>#REF!</f>
        <v>#REF!</v>
      </c>
      <c r="E49" t="s">
        <v>133</v>
      </c>
      <c r="F49" t="s">
        <v>133</v>
      </c>
      <c r="G49" s="382" t="str">
        <f ca="1">IFERROR(C49*Changes!$B$1,"-")</f>
        <v>-</v>
      </c>
      <c r="H49" s="382" t="str">
        <f ca="1">IFERROR(D49*Changes!$B$1,"-")</f>
        <v>-</v>
      </c>
      <c r="I49" s="382" t="str">
        <f ca="1">IFERROR(E49*Changes!$B$1,"-")</f>
        <v>-</v>
      </c>
      <c r="J49" s="382" t="str">
        <f ca="1">IFERROR(F49*Changes!$B$1,"-")</f>
        <v>-</v>
      </c>
      <c r="K49" s="383" t="str">
        <f t="shared" ca="1" si="25"/>
        <v>-</v>
      </c>
      <c r="L49" s="383" t="str">
        <f t="shared" ca="1" si="26"/>
        <v>-</v>
      </c>
      <c r="M49" s="383" t="str">
        <f t="shared" ca="1" si="27"/>
        <v>-</v>
      </c>
      <c r="N49" s="383" t="str">
        <f t="shared" ca="1" si="28"/>
        <v>-</v>
      </c>
      <c r="O49" s="384">
        <f>[1]Particles!$B$13</f>
        <v>512373.33725154324</v>
      </c>
      <c r="P49" s="384">
        <f>[1]Particles!$B$5</f>
        <v>3152.8432598003224</v>
      </c>
      <c r="Q49" s="383">
        <f>IFERROR(VLOOKUP("s",[1]md!$A:$E,5,0)*14.3998434/U49*100,"-")</f>
        <v>1334.446608553731</v>
      </c>
      <c r="R49" s="383">
        <f>IFERROR(VLOOKUP("s",[1]md!$A:$E,5,0)*14.3998434/V49*100,"-")</f>
        <v>1334.4501635654751</v>
      </c>
      <c r="S49" s="383">
        <f>IFERROR(VLOOKUP("s",[1]md!$A:$E,5,0)*14.3998434/W49*100,"-")</f>
        <v>1349.98531875</v>
      </c>
      <c r="T49" s="383">
        <f>IFERROR(VLOOKUP("s",[1]md!$A:$E,5,0)*14.3998434/X49*100,"-")</f>
        <v>1349.98531875</v>
      </c>
      <c r="U49" s="386">
        <v>2.427946344373765</v>
      </c>
      <c r="V49" s="386">
        <v>2.4279398762582791</v>
      </c>
      <c r="W49" s="386">
        <v>2.4</v>
      </c>
      <c r="X49" s="386">
        <v>2.4</v>
      </c>
      <c r="Y49" s="382" t="str">
        <f t="shared" ca="1" si="29"/>
        <v>-</v>
      </c>
      <c r="Z49" s="382" t="str">
        <f t="shared" ca="1" si="30"/>
        <v>-</v>
      </c>
      <c r="AA49" s="382" t="str">
        <f t="shared" ca="1" si="31"/>
        <v>-</v>
      </c>
      <c r="AB49" s="382" t="str">
        <f t="shared" ca="1" si="32"/>
        <v>-</v>
      </c>
      <c r="AC49" s="382" t="str">
        <f ca="1">IFERROR(Changes!$B$2*Rotation!C49,"-")</f>
        <v>-</v>
      </c>
      <c r="AD49" s="382" t="str">
        <f ca="1">IFERROR(Changes!$B$2*Rotation!D49,"-")</f>
        <v>-</v>
      </c>
      <c r="AE49" s="382" t="str">
        <f ca="1">IFERROR(Changes!$B$2*Rotation!E49,"-")</f>
        <v>-</v>
      </c>
      <c r="AF49" s="382" t="str">
        <f ca="1">IFERROR(Changes!$B$2*Rotation!F49,"-")</f>
        <v>-</v>
      </c>
      <c r="AG49" s="382" t="e">
        <f ca="1">(AC49+AD49)*#REF!</f>
        <v>#VALUE!</v>
      </c>
      <c r="AH49" s="382" t="e">
        <f t="shared" ca="1" si="33"/>
        <v>#VALUE!</v>
      </c>
      <c r="AI49" s="382"/>
      <c r="AJ49" s="382"/>
      <c r="AK49" s="382">
        <f t="shared" si="34"/>
        <v>0.47769620688838954</v>
      </c>
      <c r="AL49" s="382">
        <f t="shared" si="35"/>
        <v>0.47769747948754376</v>
      </c>
      <c r="AM49" s="382">
        <f t="shared" si="36"/>
        <v>0.48325864968161619</v>
      </c>
      <c r="AN49" s="382">
        <f t="shared" si="37"/>
        <v>0.48325864968161619</v>
      </c>
      <c r="AO49" s="382">
        <f t="shared" si="17"/>
        <v>39.969936778635514</v>
      </c>
      <c r="AP49" s="382">
        <f t="shared" si="18"/>
        <v>39.97014974149667</v>
      </c>
      <c r="AQ49" s="382">
        <f t="shared" si="19"/>
        <v>40.906200982235795</v>
      </c>
      <c r="AR49" s="382">
        <f t="shared" si="20"/>
        <v>40.906200982235795</v>
      </c>
      <c r="AS49" s="388" t="str">
        <f t="shared" ca="1" si="38"/>
        <v>-</v>
      </c>
      <c r="AT49" s="388" t="str">
        <f t="shared" ca="1" si="39"/>
        <v>-</v>
      </c>
      <c r="AU49" s="388" t="str">
        <f t="shared" ca="1" si="40"/>
        <v>-</v>
      </c>
      <c r="AV49" s="388" t="str">
        <f t="shared" ca="1" si="41"/>
        <v>-</v>
      </c>
      <c r="AW49" s="382" t="e">
        <f>#REF!*SIN(#REF!)</f>
        <v>#REF!</v>
      </c>
      <c r="AX49" s="382" t="e">
        <f>#REF!*SIN(#REF!)</f>
        <v>#REF!</v>
      </c>
      <c r="AY49" s="382"/>
      <c r="AZ49" s="382"/>
      <c r="BA49" s="388" t="str">
        <f t="shared" ca="1" si="21"/>
        <v>-</v>
      </c>
      <c r="BB49" s="388" t="str">
        <f t="shared" ca="1" si="22"/>
        <v>-</v>
      </c>
      <c r="BC49" s="388" t="str">
        <f t="shared" ca="1" si="23"/>
        <v>-</v>
      </c>
      <c r="BD49" s="388" t="str">
        <f t="shared" ca="1" si="24"/>
        <v>-</v>
      </c>
    </row>
    <row r="50" spans="1:56">
      <c r="A50" t="e">
        <f>IF(#REF!=0,A49,#REF!)</f>
        <v>#REF!</v>
      </c>
      <c r="C50" s="381" t="e">
        <f>#REF!</f>
        <v>#REF!</v>
      </c>
      <c r="D50" s="381" t="e">
        <f>#REF!</f>
        <v>#REF!</v>
      </c>
      <c r="E50" t="s">
        <v>133</v>
      </c>
      <c r="F50" t="s">
        <v>133</v>
      </c>
      <c r="G50" s="382" t="str">
        <f ca="1">IFERROR(C50*Changes!$B$1,"-")</f>
        <v>-</v>
      </c>
      <c r="H50" s="382" t="str">
        <f ca="1">IFERROR(D50*Changes!$B$1,"-")</f>
        <v>-</v>
      </c>
      <c r="I50" s="382" t="str">
        <f ca="1">IFERROR(E50*Changes!$B$1,"-")</f>
        <v>-</v>
      </c>
      <c r="J50" s="382" t="str">
        <f ca="1">IFERROR(F50*Changes!$B$1,"-")</f>
        <v>-</v>
      </c>
      <c r="K50" s="383" t="str">
        <f t="shared" ca="1" si="25"/>
        <v>-</v>
      </c>
      <c r="L50" s="383" t="str">
        <f t="shared" ca="1" si="26"/>
        <v>-</v>
      </c>
      <c r="M50" s="383" t="str">
        <f t="shared" ca="1" si="27"/>
        <v>-</v>
      </c>
      <c r="N50" s="383" t="str">
        <f t="shared" ca="1" si="28"/>
        <v>-</v>
      </c>
      <c r="O50" s="384">
        <f>[1]Particles!$B$13</f>
        <v>512373.33725154324</v>
      </c>
      <c r="P50" s="384">
        <f>[1]Particles!$B$5</f>
        <v>3152.8432598003224</v>
      </c>
      <c r="Q50" s="383">
        <f>IFERROR(VLOOKUP("s",[1]md!$A:$E,5,0)*14.3998434/U50*100,"-")</f>
        <v>1334.4459054218835</v>
      </c>
      <c r="R50" s="383">
        <f>IFERROR(VLOOKUP("s",[1]md!$A:$E,5,0)*14.3998434/V50*100,"-")</f>
        <v>1334.4502575737404</v>
      </c>
      <c r="S50" s="383">
        <f>IFERROR(VLOOKUP("s",[1]md!$A:$E,5,0)*14.3998434/W50*100,"-")</f>
        <v>1349.98531875</v>
      </c>
      <c r="T50" s="383">
        <f>IFERROR(VLOOKUP("s",[1]md!$A:$E,5,0)*14.3998434/X50*100,"-")</f>
        <v>1349.98531875</v>
      </c>
      <c r="U50" s="386">
        <v>2.4279476236810731</v>
      </c>
      <c r="V50" s="386">
        <v>2.4279397052167475</v>
      </c>
      <c r="W50" s="386">
        <v>2.4</v>
      </c>
      <c r="X50" s="386">
        <v>2.4</v>
      </c>
      <c r="Y50" s="382" t="str">
        <f t="shared" ca="1" si="29"/>
        <v>-</v>
      </c>
      <c r="Z50" s="382" t="str">
        <f t="shared" ca="1" si="30"/>
        <v>-</v>
      </c>
      <c r="AA50" s="382" t="str">
        <f t="shared" ca="1" si="31"/>
        <v>-</v>
      </c>
      <c r="AB50" s="382" t="str">
        <f t="shared" ca="1" si="32"/>
        <v>-</v>
      </c>
      <c r="AC50" s="382" t="str">
        <f ca="1">IFERROR(Changes!$B$2*Rotation!C50,"-")</f>
        <v>-</v>
      </c>
      <c r="AD50" s="382" t="str">
        <f ca="1">IFERROR(Changes!$B$2*Rotation!D50,"-")</f>
        <v>-</v>
      </c>
      <c r="AE50" s="382" t="str">
        <f ca="1">IFERROR(Changes!$B$2*Rotation!E50,"-")</f>
        <v>-</v>
      </c>
      <c r="AF50" s="382" t="str">
        <f ca="1">IFERROR(Changes!$B$2*Rotation!F50,"-")</f>
        <v>-</v>
      </c>
      <c r="AG50" s="382" t="e">
        <f ca="1">(AC50+AD50)*#REF!</f>
        <v>#VALUE!</v>
      </c>
      <c r="AH50" s="382" t="e">
        <f t="shared" ca="1" si="33"/>
        <v>#VALUE!</v>
      </c>
      <c r="AI50" s="382"/>
      <c r="AJ50" s="382"/>
      <c r="AK50" s="382">
        <f t="shared" si="34"/>
        <v>0.47769595518598762</v>
      </c>
      <c r="AL50" s="382">
        <f t="shared" si="35"/>
        <v>0.47769751313998937</v>
      </c>
      <c r="AM50" s="382">
        <f t="shared" si="36"/>
        <v>0.48325864968161619</v>
      </c>
      <c r="AN50" s="382">
        <f t="shared" si="37"/>
        <v>0.48325864968161619</v>
      </c>
      <c r="AO50" s="382">
        <f t="shared" si="17"/>
        <v>39.969894657612585</v>
      </c>
      <c r="AP50" s="382">
        <f t="shared" si="18"/>
        <v>39.970155373066426</v>
      </c>
      <c r="AQ50" s="382">
        <f t="shared" si="19"/>
        <v>40.906200982235795</v>
      </c>
      <c r="AR50" s="382">
        <f t="shared" si="20"/>
        <v>40.906200982235795</v>
      </c>
      <c r="AS50" s="388" t="str">
        <f t="shared" ca="1" si="38"/>
        <v>-</v>
      </c>
      <c r="AT50" s="388" t="str">
        <f t="shared" ca="1" si="39"/>
        <v>-</v>
      </c>
      <c r="AU50" s="388" t="str">
        <f t="shared" ca="1" si="40"/>
        <v>-</v>
      </c>
      <c r="AV50" s="388" t="str">
        <f t="shared" ca="1" si="41"/>
        <v>-</v>
      </c>
      <c r="AW50" s="382" t="e">
        <f>#REF!*SIN(#REF!)</f>
        <v>#REF!</v>
      </c>
      <c r="AX50" s="382" t="e">
        <f>#REF!*SIN(#REF!)</f>
        <v>#REF!</v>
      </c>
      <c r="AY50" s="382"/>
      <c r="AZ50" s="382"/>
      <c r="BA50" s="388" t="str">
        <f t="shared" ca="1" si="21"/>
        <v>-</v>
      </c>
      <c r="BB50" s="388" t="str">
        <f t="shared" ca="1" si="22"/>
        <v>-</v>
      </c>
      <c r="BC50" s="388" t="str">
        <f t="shared" ca="1" si="23"/>
        <v>-</v>
      </c>
      <c r="BD50" s="388" t="str">
        <f t="shared" ca="1" si="24"/>
        <v>-</v>
      </c>
    </row>
    <row r="51" spans="1:56">
      <c r="A51" t="e">
        <f>IF(#REF!=0,A50,#REF!)</f>
        <v>#REF!</v>
      </c>
      <c r="C51" s="381" t="e">
        <f>#REF!</f>
        <v>#REF!</v>
      </c>
      <c r="D51" s="381" t="e">
        <f>#REF!</f>
        <v>#REF!</v>
      </c>
      <c r="E51" t="s">
        <v>133</v>
      </c>
      <c r="F51" t="s">
        <v>133</v>
      </c>
      <c r="G51" s="382" t="str">
        <f ca="1">IFERROR(C51*Changes!$B$1,"-")</f>
        <v>-</v>
      </c>
      <c r="H51" s="382" t="str">
        <f ca="1">IFERROR(D51*Changes!$B$1,"-")</f>
        <v>-</v>
      </c>
      <c r="I51" s="382" t="str">
        <f ca="1">IFERROR(E51*Changes!$B$1,"-")</f>
        <v>-</v>
      </c>
      <c r="J51" s="382" t="str">
        <f ca="1">IFERROR(F51*Changes!$B$1,"-")</f>
        <v>-</v>
      </c>
      <c r="K51" s="383" t="str">
        <f t="shared" ca="1" si="25"/>
        <v>-</v>
      </c>
      <c r="L51" s="383" t="str">
        <f t="shared" ca="1" si="26"/>
        <v>-</v>
      </c>
      <c r="M51" s="383" t="str">
        <f t="shared" ca="1" si="27"/>
        <v>-</v>
      </c>
      <c r="N51" s="383" t="str">
        <f t="shared" ca="1" si="28"/>
        <v>-</v>
      </c>
      <c r="O51" s="384">
        <f>[1]Particles!$B$13</f>
        <v>512373.33725154324</v>
      </c>
      <c r="P51" s="384">
        <f>[1]Particles!$B$5</f>
        <v>3152.8432598003224</v>
      </c>
      <c r="Q51" s="383">
        <f>IFERROR(VLOOKUP("s",[1]md!$A:$E,5,0)*14.3998434/U51*100,"-")</f>
        <v>1334.4442908228255</v>
      </c>
      <c r="R51" s="383">
        <f>IFERROR(VLOOKUP("s",[1]md!$A:$E,5,0)*14.3998434/V51*100,"-")</f>
        <v>1334.4503167862392</v>
      </c>
      <c r="S51" s="383">
        <f>IFERROR(VLOOKUP("s",[1]md!$A:$E,5,0)*14.3998434/W51*100,"-")</f>
        <v>1349.98531875</v>
      </c>
      <c r="T51" s="383">
        <f>IFERROR(VLOOKUP("s",[1]md!$A:$E,5,0)*14.3998434/X51*100,"-")</f>
        <v>1349.98531875</v>
      </c>
      <c r="U51" s="386">
        <v>2.4279505613548098</v>
      </c>
      <c r="V51" s="386">
        <v>2.4279395974837166</v>
      </c>
      <c r="W51" s="386">
        <v>2.4</v>
      </c>
      <c r="X51" s="386">
        <v>2.4</v>
      </c>
      <c r="Y51" s="382" t="str">
        <f t="shared" ca="1" si="29"/>
        <v>-</v>
      </c>
      <c r="Z51" s="382" t="str">
        <f t="shared" ca="1" si="30"/>
        <v>-</v>
      </c>
      <c r="AA51" s="382" t="str">
        <f t="shared" ca="1" si="31"/>
        <v>-</v>
      </c>
      <c r="AB51" s="382" t="str">
        <f t="shared" ca="1" si="32"/>
        <v>-</v>
      </c>
      <c r="AC51" s="382" t="str">
        <f ca="1">IFERROR(Changes!$B$2*Rotation!C51,"-")</f>
        <v>-</v>
      </c>
      <c r="AD51" s="382" t="str">
        <f ca="1">IFERROR(Changes!$B$2*Rotation!D51,"-")</f>
        <v>-</v>
      </c>
      <c r="AE51" s="382" t="str">
        <f ca="1">IFERROR(Changes!$B$2*Rotation!E51,"-")</f>
        <v>-</v>
      </c>
      <c r="AF51" s="382" t="str">
        <f ca="1">IFERROR(Changes!$B$2*Rotation!F51,"-")</f>
        <v>-</v>
      </c>
      <c r="AG51" s="382" t="e">
        <f ca="1">(AC51+AD51)*#REF!</f>
        <v>#VALUE!</v>
      </c>
      <c r="AH51" s="382" t="e">
        <f t="shared" ca="1" si="33"/>
        <v>#VALUE!</v>
      </c>
      <c r="AI51" s="382"/>
      <c r="AJ51" s="382"/>
      <c r="AK51" s="382">
        <f t="shared" si="34"/>
        <v>0.47769537720269428</v>
      </c>
      <c r="AL51" s="382">
        <f t="shared" si="35"/>
        <v>0.47769753433648082</v>
      </c>
      <c r="AM51" s="382">
        <f t="shared" si="36"/>
        <v>0.48325864968161619</v>
      </c>
      <c r="AN51" s="382">
        <f t="shared" si="37"/>
        <v>0.48325864968161619</v>
      </c>
      <c r="AO51" s="382">
        <f t="shared" si="17"/>
        <v>39.969797935347628</v>
      </c>
      <c r="AP51" s="382">
        <f t="shared" si="18"/>
        <v>39.97015892019428</v>
      </c>
      <c r="AQ51" s="382">
        <f t="shared" si="19"/>
        <v>40.906200982235795</v>
      </c>
      <c r="AR51" s="382">
        <f t="shared" si="20"/>
        <v>40.906200982235795</v>
      </c>
      <c r="AS51" s="388" t="str">
        <f t="shared" ca="1" si="38"/>
        <v>-</v>
      </c>
      <c r="AT51" s="388" t="str">
        <f t="shared" ca="1" si="39"/>
        <v>-</v>
      </c>
      <c r="AU51" s="388" t="str">
        <f t="shared" ca="1" si="40"/>
        <v>-</v>
      </c>
      <c r="AV51" s="388" t="str">
        <f t="shared" ca="1" si="41"/>
        <v>-</v>
      </c>
      <c r="AW51" s="382" t="e">
        <f>#REF!*SIN(#REF!)</f>
        <v>#REF!</v>
      </c>
      <c r="AX51" s="382" t="e">
        <f>#REF!*SIN(#REF!)</f>
        <v>#REF!</v>
      </c>
      <c r="AY51" s="382"/>
      <c r="AZ51" s="382"/>
      <c r="BA51" s="388" t="str">
        <f t="shared" ca="1" si="21"/>
        <v>-</v>
      </c>
      <c r="BB51" s="388" t="str">
        <f t="shared" ca="1" si="22"/>
        <v>-</v>
      </c>
      <c r="BC51" s="388" t="str">
        <f t="shared" ca="1" si="23"/>
        <v>-</v>
      </c>
      <c r="BD51" s="388" t="str">
        <f t="shared" ca="1" si="24"/>
        <v>-</v>
      </c>
    </row>
    <row r="52" spans="1:56">
      <c r="A52" t="e">
        <f>IF(#REF!=0,A51,#REF!)</f>
        <v>#REF!</v>
      </c>
      <c r="C52" s="381" t="e">
        <f>#REF!</f>
        <v>#REF!</v>
      </c>
      <c r="D52" s="381" t="e">
        <f>#REF!</f>
        <v>#REF!</v>
      </c>
      <c r="E52" t="s">
        <v>133</v>
      </c>
      <c r="F52" t="s">
        <v>133</v>
      </c>
      <c r="G52" s="382" t="str">
        <f ca="1">IFERROR(C52*Changes!$B$1,"-")</f>
        <v>-</v>
      </c>
      <c r="H52" s="382" t="str">
        <f ca="1">IFERROR(D52*Changes!$B$1,"-")</f>
        <v>-</v>
      </c>
      <c r="I52" s="382" t="str">
        <f ca="1">IFERROR(E52*Changes!$B$1,"-")</f>
        <v>-</v>
      </c>
      <c r="J52" s="382" t="str">
        <f ca="1">IFERROR(F52*Changes!$B$1,"-")</f>
        <v>-</v>
      </c>
      <c r="K52" s="383" t="str">
        <f t="shared" ca="1" si="25"/>
        <v>-</v>
      </c>
      <c r="L52" s="383" t="str">
        <f t="shared" ca="1" si="26"/>
        <v>-</v>
      </c>
      <c r="M52" s="383" t="str">
        <f t="shared" ca="1" si="27"/>
        <v>-</v>
      </c>
      <c r="N52" s="383" t="str">
        <f t="shared" ca="1" si="28"/>
        <v>-</v>
      </c>
      <c r="O52" s="384">
        <f>[1]Particles!$B$13</f>
        <v>512373.33725154324</v>
      </c>
      <c r="P52" s="384">
        <f>[1]Particles!$B$5</f>
        <v>3152.8432598003224</v>
      </c>
      <c r="Q52" s="383">
        <f>IFERROR(VLOOKUP("s",[1]md!$A:$E,5,0)*14.3998434/U52*100,"-")</f>
        <v>1334.443223104093</v>
      </c>
      <c r="R52" s="383">
        <f>IFERROR(VLOOKUP("s",[1]md!$A:$E,5,0)*14.3998434/V52*100,"-")</f>
        <v>1334.451546729219</v>
      </c>
      <c r="S52" s="383">
        <f>IFERROR(VLOOKUP("s",[1]md!$A:$E,5,0)*14.3998434/W52*100,"-")</f>
        <v>1349.98531875</v>
      </c>
      <c r="T52" s="383">
        <f>IFERROR(VLOOKUP("s",[1]md!$A:$E,5,0)*14.3998434/X52*100,"-")</f>
        <v>1349.98531875</v>
      </c>
      <c r="U52" s="386">
        <v>2.4279525040139283</v>
      </c>
      <c r="V52" s="386">
        <v>2.4279373596900173</v>
      </c>
      <c r="W52" s="386">
        <v>2.4</v>
      </c>
      <c r="X52" s="386">
        <v>2.4</v>
      </c>
      <c r="Y52" s="382" t="str">
        <f t="shared" ca="1" si="29"/>
        <v>-</v>
      </c>
      <c r="Z52" s="382" t="str">
        <f t="shared" ca="1" si="30"/>
        <v>-</v>
      </c>
      <c r="AA52" s="382" t="str">
        <f t="shared" ca="1" si="31"/>
        <v>-</v>
      </c>
      <c r="AB52" s="382" t="str">
        <f t="shared" ca="1" si="32"/>
        <v>-</v>
      </c>
      <c r="AC52" s="382" t="str">
        <f ca="1">IFERROR(Changes!$B$2*Rotation!C52,"-")</f>
        <v>-</v>
      </c>
      <c r="AD52" s="382" t="str">
        <f ca="1">IFERROR(Changes!$B$2*Rotation!D52,"-")</f>
        <v>-</v>
      </c>
      <c r="AE52" s="382" t="str">
        <f ca="1">IFERROR(Changes!$B$2*Rotation!E52,"-")</f>
        <v>-</v>
      </c>
      <c r="AF52" s="382" t="str">
        <f ca="1">IFERROR(Changes!$B$2*Rotation!F52,"-")</f>
        <v>-</v>
      </c>
      <c r="AG52" s="382" t="e">
        <f ca="1">(AC52+AD52)*#REF!</f>
        <v>#VALUE!</v>
      </c>
      <c r="AH52" s="382" t="e">
        <f t="shared" ca="1" si="33"/>
        <v>#VALUE!</v>
      </c>
      <c r="AI52" s="382"/>
      <c r="AJ52" s="382"/>
      <c r="AK52" s="382">
        <f t="shared" si="34"/>
        <v>0.4776949949879355</v>
      </c>
      <c r="AL52" s="382">
        <f t="shared" si="35"/>
        <v>0.47769797462318259</v>
      </c>
      <c r="AM52" s="382">
        <f t="shared" si="36"/>
        <v>0.48325864968161619</v>
      </c>
      <c r="AN52" s="382">
        <f t="shared" si="37"/>
        <v>0.48325864968161619</v>
      </c>
      <c r="AO52" s="382">
        <f t="shared" si="17"/>
        <v>39.969733973914074</v>
      </c>
      <c r="AP52" s="382">
        <f t="shared" si="18"/>
        <v>39.970232600028417</v>
      </c>
      <c r="AQ52" s="382">
        <f t="shared" si="19"/>
        <v>40.906200982235795</v>
      </c>
      <c r="AR52" s="382">
        <f t="shared" si="20"/>
        <v>40.906200982235795</v>
      </c>
      <c r="AS52" s="388" t="str">
        <f t="shared" ca="1" si="38"/>
        <v>-</v>
      </c>
      <c r="AT52" s="388" t="str">
        <f t="shared" ca="1" si="39"/>
        <v>-</v>
      </c>
      <c r="AU52" s="388" t="str">
        <f t="shared" ca="1" si="40"/>
        <v>-</v>
      </c>
      <c r="AV52" s="388" t="str">
        <f t="shared" ca="1" si="41"/>
        <v>-</v>
      </c>
      <c r="AW52" s="382" t="e">
        <f>#REF!*SIN(#REF!)</f>
        <v>#REF!</v>
      </c>
      <c r="AX52" s="382" t="e">
        <f>#REF!*SIN(#REF!)</f>
        <v>#REF!</v>
      </c>
      <c r="AY52" s="382"/>
      <c r="AZ52" s="382"/>
      <c r="BA52" s="388" t="str">
        <f t="shared" ca="1" si="21"/>
        <v>-</v>
      </c>
      <c r="BB52" s="388" t="str">
        <f t="shared" ca="1" si="22"/>
        <v>-</v>
      </c>
      <c r="BC52" s="388" t="str">
        <f t="shared" ca="1" si="23"/>
        <v>-</v>
      </c>
      <c r="BD52" s="388" t="str">
        <f t="shared" ca="1" si="24"/>
        <v>-</v>
      </c>
    </row>
    <row r="53" spans="1:56">
      <c r="A53" t="e">
        <f>IF(#REF!=0,A52,#REF!)</f>
        <v>#REF!</v>
      </c>
      <c r="C53" s="381" t="e">
        <f>#REF!</f>
        <v>#REF!</v>
      </c>
      <c r="D53" s="381" t="e">
        <f>#REF!</f>
        <v>#REF!</v>
      </c>
      <c r="E53" t="s">
        <v>133</v>
      </c>
      <c r="F53" t="s">
        <v>133</v>
      </c>
      <c r="G53" s="382" t="str">
        <f ca="1">IFERROR(C53*Changes!$B$1,"-")</f>
        <v>-</v>
      </c>
      <c r="H53" s="382" t="str">
        <f ca="1">IFERROR(D53*Changes!$B$1,"-")</f>
        <v>-</v>
      </c>
      <c r="I53" s="382" t="str">
        <f ca="1">IFERROR(E53*Changes!$B$1,"-")</f>
        <v>-</v>
      </c>
      <c r="J53" s="382" t="str">
        <f ca="1">IFERROR(F53*Changes!$B$1,"-")</f>
        <v>-</v>
      </c>
      <c r="K53" s="383" t="str">
        <f t="shared" ca="1" si="25"/>
        <v>-</v>
      </c>
      <c r="L53" s="383" t="str">
        <f t="shared" ca="1" si="26"/>
        <v>-</v>
      </c>
      <c r="M53" s="383" t="str">
        <f t="shared" ca="1" si="27"/>
        <v>-</v>
      </c>
      <c r="N53" s="383" t="str">
        <f t="shared" ca="1" si="28"/>
        <v>-</v>
      </c>
      <c r="O53" s="384">
        <f>[1]Particles!$B$13</f>
        <v>512373.33725154324</v>
      </c>
      <c r="P53" s="384">
        <f>[1]Particles!$B$5</f>
        <v>3152.8432598003224</v>
      </c>
      <c r="Q53" s="383">
        <f>IFERROR(VLOOKUP("s",[1]md!$A:$E,5,0)*14.3998434/U53*100,"-")</f>
        <v>1334.4520773569898</v>
      </c>
      <c r="R53" s="383">
        <f>IFERROR(VLOOKUP("s",[1]md!$A:$E,5,0)*14.3998434/V53*100,"-")</f>
        <v>1334.4608534301956</v>
      </c>
      <c r="S53" s="383">
        <f>IFERROR(VLOOKUP("s",[1]md!$A:$E,5,0)*14.3998434/W53*100,"-")</f>
        <v>1349.98531875</v>
      </c>
      <c r="T53" s="383">
        <f>IFERROR(VLOOKUP("s",[1]md!$A:$E,5,0)*14.3998434/X53*100,"-")</f>
        <v>1349.98531875</v>
      </c>
      <c r="U53" s="386">
        <v>2.4279363942518346</v>
      </c>
      <c r="V53" s="386">
        <v>2.4279204269437789</v>
      </c>
      <c r="W53" s="386">
        <v>2.4</v>
      </c>
      <c r="X53" s="386">
        <v>2.4</v>
      </c>
      <c r="Y53" s="382" t="str">
        <f t="shared" ca="1" si="29"/>
        <v>-</v>
      </c>
      <c r="Z53" s="382" t="str">
        <f t="shared" ca="1" si="30"/>
        <v>-</v>
      </c>
      <c r="AA53" s="382" t="str">
        <f t="shared" ca="1" si="31"/>
        <v>-</v>
      </c>
      <c r="AB53" s="382" t="str">
        <f t="shared" ca="1" si="32"/>
        <v>-</v>
      </c>
      <c r="AC53" s="382" t="str">
        <f ca="1">IFERROR(Changes!$B$2*Rotation!C53,"-")</f>
        <v>-</v>
      </c>
      <c r="AD53" s="382" t="str">
        <f ca="1">IFERROR(Changes!$B$2*Rotation!D53,"-")</f>
        <v>-</v>
      </c>
      <c r="AE53" s="382" t="str">
        <f ca="1">IFERROR(Changes!$B$2*Rotation!E53,"-")</f>
        <v>-</v>
      </c>
      <c r="AF53" s="382" t="str">
        <f ca="1">IFERROR(Changes!$B$2*Rotation!F53,"-")</f>
        <v>-</v>
      </c>
      <c r="AG53" s="382" t="e">
        <f ca="1">(AC53+AD53)*#REF!</f>
        <v>#VALUE!</v>
      </c>
      <c r="AH53" s="382" t="e">
        <f t="shared" ca="1" si="33"/>
        <v>#VALUE!</v>
      </c>
      <c r="AI53" s="382"/>
      <c r="AJ53" s="382"/>
      <c r="AK53" s="382">
        <f t="shared" si="34"/>
        <v>0.47769816457373721</v>
      </c>
      <c r="AL53" s="382">
        <f t="shared" si="35"/>
        <v>0.47770130617329992</v>
      </c>
      <c r="AM53" s="382">
        <f t="shared" si="36"/>
        <v>0.48325864968161619</v>
      </c>
      <c r="AN53" s="382">
        <f t="shared" si="37"/>
        <v>0.48325864968161619</v>
      </c>
      <c r="AO53" s="382">
        <f t="shared" si="17"/>
        <v>39.970264387349125</v>
      </c>
      <c r="AP53" s="382">
        <f t="shared" si="18"/>
        <v>39.970790120907857</v>
      </c>
      <c r="AQ53" s="382">
        <f t="shared" si="19"/>
        <v>40.906200982235795</v>
      </c>
      <c r="AR53" s="382">
        <f t="shared" si="20"/>
        <v>40.906200982235795</v>
      </c>
      <c r="AS53" s="388" t="str">
        <f t="shared" ca="1" si="38"/>
        <v>-</v>
      </c>
      <c r="AT53" s="388" t="str">
        <f t="shared" ca="1" si="39"/>
        <v>-</v>
      </c>
      <c r="AU53" s="388" t="str">
        <f t="shared" ca="1" si="40"/>
        <v>-</v>
      </c>
      <c r="AV53" s="388" t="str">
        <f t="shared" ca="1" si="41"/>
        <v>-</v>
      </c>
      <c r="AW53" s="382" t="e">
        <f>#REF!*SIN(#REF!)</f>
        <v>#REF!</v>
      </c>
      <c r="AX53" s="382" t="e">
        <f>#REF!*SIN(#REF!)</f>
        <v>#REF!</v>
      </c>
      <c r="AY53" s="382"/>
      <c r="AZ53" s="382"/>
      <c r="BA53" s="388" t="str">
        <f t="shared" ca="1" si="21"/>
        <v>-</v>
      </c>
      <c r="BB53" s="388" t="str">
        <f t="shared" ca="1" si="22"/>
        <v>-</v>
      </c>
      <c r="BC53" s="388" t="str">
        <f t="shared" ca="1" si="23"/>
        <v>-</v>
      </c>
      <c r="BD53" s="388" t="str">
        <f t="shared" ca="1" si="24"/>
        <v>-</v>
      </c>
    </row>
    <row r="54" spans="1:56">
      <c r="A54" t="e">
        <f>IF(#REF!=0,A53,#REF!)</f>
        <v>#REF!</v>
      </c>
      <c r="C54" s="381" t="e">
        <f>#REF!</f>
        <v>#REF!</v>
      </c>
      <c r="D54" s="381" t="e">
        <f>#REF!</f>
        <v>#REF!</v>
      </c>
      <c r="E54" t="s">
        <v>133</v>
      </c>
      <c r="F54" t="s">
        <v>133</v>
      </c>
      <c r="G54" s="382" t="str">
        <f ca="1">IFERROR(C54*Changes!$B$1,"-")</f>
        <v>-</v>
      </c>
      <c r="H54" s="382" t="str">
        <f ca="1">IFERROR(D54*Changes!$B$1,"-")</f>
        <v>-</v>
      </c>
      <c r="I54" s="382" t="str">
        <f ca="1">IFERROR(E54*Changes!$B$1,"-")</f>
        <v>-</v>
      </c>
      <c r="J54" s="382" t="str">
        <f ca="1">IFERROR(F54*Changes!$B$1,"-")</f>
        <v>-</v>
      </c>
      <c r="K54" s="383" t="str">
        <f t="shared" ca="1" si="25"/>
        <v>-</v>
      </c>
      <c r="L54" s="383" t="str">
        <f t="shared" ca="1" si="26"/>
        <v>-</v>
      </c>
      <c r="M54" s="383" t="str">
        <f t="shared" ca="1" si="27"/>
        <v>-</v>
      </c>
      <c r="N54" s="383" t="str">
        <f t="shared" ca="1" si="28"/>
        <v>-</v>
      </c>
      <c r="O54" s="384">
        <f>[1]Particles!$B$13</f>
        <v>512373.33725154324</v>
      </c>
      <c r="P54" s="384">
        <f>[1]Particles!$B$5</f>
        <v>3152.8432598003224</v>
      </c>
      <c r="Q54" s="383">
        <f>IFERROR(VLOOKUP("s",[1]md!$A:$E,5,0)*14.3998434/U54*100,"-")</f>
        <v>1334.4446293677886</v>
      </c>
      <c r="R54" s="383">
        <f>IFERROR(VLOOKUP("s",[1]md!$A:$E,5,0)*14.3998434/V54*100,"-")</f>
        <v>1334.4446293680135</v>
      </c>
      <c r="S54" s="383">
        <f>IFERROR(VLOOKUP("s",[1]md!$A:$E,5,0)*14.3998434/W54*100,"-")</f>
        <v>1349.98531875</v>
      </c>
      <c r="T54" s="383">
        <f>IFERROR(VLOOKUP("s",[1]md!$A:$E,5,0)*14.3998434/X54*100,"-")</f>
        <v>1349.98531875</v>
      </c>
      <c r="U54" s="386">
        <v>2.4279499453903735</v>
      </c>
      <c r="V54" s="386">
        <v>2.4279499453899644</v>
      </c>
      <c r="W54" s="386">
        <v>2.4</v>
      </c>
      <c r="X54" s="386">
        <v>2.4</v>
      </c>
      <c r="Y54" s="382" t="str">
        <f t="shared" ca="1" si="29"/>
        <v>-</v>
      </c>
      <c r="Z54" s="382" t="str">
        <f t="shared" ca="1" si="30"/>
        <v>-</v>
      </c>
      <c r="AA54" s="382" t="str">
        <f t="shared" ca="1" si="31"/>
        <v>-</v>
      </c>
      <c r="AB54" s="382" t="str">
        <f t="shared" ca="1" si="32"/>
        <v>-</v>
      </c>
      <c r="AC54" s="382" t="str">
        <f ca="1">IFERROR(Changes!$B$2*Rotation!C54,"-")</f>
        <v>-</v>
      </c>
      <c r="AD54" s="382" t="str">
        <f ca="1">IFERROR(Changes!$B$2*Rotation!D54,"-")</f>
        <v>-</v>
      </c>
      <c r="AE54" s="382" t="str">
        <f ca="1">IFERROR(Changes!$B$2*Rotation!E54,"-")</f>
        <v>-</v>
      </c>
      <c r="AF54" s="382" t="str">
        <f ca="1">IFERROR(Changes!$B$2*Rotation!F54,"-")</f>
        <v>-</v>
      </c>
      <c r="AG54" s="382" t="e">
        <f ca="1">(AC54+AD54)*#REF!</f>
        <v>#VALUE!</v>
      </c>
      <c r="AH54" s="382" t="e">
        <f t="shared" ca="1" si="33"/>
        <v>#VALUE!</v>
      </c>
      <c r="AI54" s="382"/>
      <c r="AJ54" s="382"/>
      <c r="AK54" s="382">
        <f t="shared" si="34"/>
        <v>0.47769549839273945</v>
      </c>
      <c r="AL54" s="382">
        <f t="shared" si="35"/>
        <v>0.47769549839281994</v>
      </c>
      <c r="AM54" s="382">
        <f t="shared" si="36"/>
        <v>0.48325864968161619</v>
      </c>
      <c r="AN54" s="382">
        <f t="shared" si="37"/>
        <v>0.48325864968161619</v>
      </c>
      <c r="AO54" s="382">
        <f t="shared" si="17"/>
        <v>39.969818215812808</v>
      </c>
      <c r="AP54" s="382">
        <f t="shared" si="18"/>
        <v>39.96981821582628</v>
      </c>
      <c r="AQ54" s="382">
        <f t="shared" si="19"/>
        <v>40.906200982235795</v>
      </c>
      <c r="AR54" s="382">
        <f t="shared" si="20"/>
        <v>40.906200982235795</v>
      </c>
      <c r="AS54" s="388" t="str">
        <f t="shared" ca="1" si="38"/>
        <v>-</v>
      </c>
      <c r="AT54" s="388" t="str">
        <f t="shared" ca="1" si="39"/>
        <v>-</v>
      </c>
      <c r="AU54" s="388" t="str">
        <f t="shared" ca="1" si="40"/>
        <v>-</v>
      </c>
      <c r="AV54" s="388" t="str">
        <f t="shared" ca="1" si="41"/>
        <v>-</v>
      </c>
      <c r="AW54" s="382" t="e">
        <f>#REF!*SIN(#REF!)</f>
        <v>#REF!</v>
      </c>
      <c r="AX54" s="382" t="e">
        <f>#REF!*SIN(#REF!)</f>
        <v>#REF!</v>
      </c>
      <c r="AY54" s="382"/>
      <c r="AZ54" s="382"/>
      <c r="BA54" s="388" t="str">
        <f t="shared" ca="1" si="21"/>
        <v>-</v>
      </c>
      <c r="BB54" s="388" t="str">
        <f t="shared" ca="1" si="22"/>
        <v>-</v>
      </c>
      <c r="BC54" s="388" t="str">
        <f t="shared" ca="1" si="23"/>
        <v>-</v>
      </c>
      <c r="BD54" s="388" t="str">
        <f t="shared" ca="1" si="24"/>
        <v>-</v>
      </c>
    </row>
    <row r="55" spans="1:56">
      <c r="A55" t="e">
        <f>IF(#REF!=0,A54,#REF!)</f>
        <v>#REF!</v>
      </c>
      <c r="C55" s="381" t="e">
        <f>#REF!</f>
        <v>#REF!</v>
      </c>
      <c r="D55" s="381" t="e">
        <f>#REF!</f>
        <v>#REF!</v>
      </c>
      <c r="E55" t="s">
        <v>133</v>
      </c>
      <c r="F55" t="s">
        <v>133</v>
      </c>
      <c r="G55" s="382" t="str">
        <f ca="1">IFERROR(C55*Changes!$B$1,"-")</f>
        <v>-</v>
      </c>
      <c r="H55" s="382" t="str">
        <f ca="1">IFERROR(D55*Changes!$B$1,"-")</f>
        <v>-</v>
      </c>
      <c r="I55" s="382" t="str">
        <f ca="1">IFERROR(E55*Changes!$B$1,"-")</f>
        <v>-</v>
      </c>
      <c r="J55" s="382" t="str">
        <f ca="1">IFERROR(F55*Changes!$B$1,"-")</f>
        <v>-</v>
      </c>
      <c r="K55" s="383" t="str">
        <f t="shared" ca="1" si="25"/>
        <v>-</v>
      </c>
      <c r="L55" s="383" t="str">
        <f t="shared" ca="1" si="26"/>
        <v>-</v>
      </c>
      <c r="M55" s="383" t="str">
        <f t="shared" ca="1" si="27"/>
        <v>-</v>
      </c>
      <c r="N55" s="383" t="str">
        <f t="shared" ca="1" si="28"/>
        <v>-</v>
      </c>
      <c r="O55" s="384">
        <f>[1]Particles!$B$13</f>
        <v>512373.33725154324</v>
      </c>
      <c r="P55" s="384">
        <f>[1]Particles!$B$5</f>
        <v>3152.8432598003224</v>
      </c>
      <c r="Q55" s="383">
        <f>IFERROR(VLOOKUP("s",[1]md!$A:$E,5,0)*14.3998434/U55*100,"-")</f>
        <v>1334.4430928944917</v>
      </c>
      <c r="R55" s="383">
        <f>IFERROR(VLOOKUP("s",[1]md!$A:$E,5,0)*14.3998434/V55*100,"-")</f>
        <v>1334.4495555565495</v>
      </c>
      <c r="S55" s="383">
        <f>IFERROR(VLOOKUP("s",[1]md!$A:$E,5,0)*14.3998434/W55*100,"-")</f>
        <v>1349.98531875</v>
      </c>
      <c r="T55" s="383">
        <f>IFERROR(VLOOKUP("s",[1]md!$A:$E,5,0)*14.3998434/X55*100,"-")</f>
        <v>1349.98531875</v>
      </c>
      <c r="U55" s="386">
        <v>2.4279527409237893</v>
      </c>
      <c r="V55" s="386">
        <v>2.4279409824890159</v>
      </c>
      <c r="W55" s="386">
        <v>2.4</v>
      </c>
      <c r="X55" s="386">
        <v>2.4</v>
      </c>
      <c r="Y55" s="382" t="str">
        <f t="shared" ca="1" si="29"/>
        <v>-</v>
      </c>
      <c r="Z55" s="382" t="str">
        <f t="shared" ca="1" si="30"/>
        <v>-</v>
      </c>
      <c r="AA55" s="382" t="str">
        <f t="shared" ca="1" si="31"/>
        <v>-</v>
      </c>
      <c r="AB55" s="382" t="str">
        <f t="shared" ca="1" si="32"/>
        <v>-</v>
      </c>
      <c r="AC55" s="382" t="str">
        <f ca="1">IFERROR(Changes!$B$2*Rotation!C55,"-")</f>
        <v>-</v>
      </c>
      <c r="AD55" s="382" t="str">
        <f ca="1">IFERROR(Changes!$B$2*Rotation!D55,"-")</f>
        <v>-</v>
      </c>
      <c r="AE55" s="382" t="str">
        <f ca="1">IFERROR(Changes!$B$2*Rotation!E55,"-")</f>
        <v>-</v>
      </c>
      <c r="AF55" s="382" t="str">
        <f ca="1">IFERROR(Changes!$B$2*Rotation!F55,"-")</f>
        <v>-</v>
      </c>
      <c r="AG55" s="382" t="e">
        <f ca="1">(AC55+AD55)*#REF!</f>
        <v>#VALUE!</v>
      </c>
      <c r="AH55" s="382" t="e">
        <f t="shared" ca="1" si="33"/>
        <v>#VALUE!</v>
      </c>
      <c r="AI55" s="382"/>
      <c r="AJ55" s="382"/>
      <c r="AK55" s="382">
        <f t="shared" si="34"/>
        <v>0.47769494837637971</v>
      </c>
      <c r="AL55" s="382">
        <f t="shared" si="35"/>
        <v>0.47769726183660477</v>
      </c>
      <c r="AM55" s="382">
        <f t="shared" si="36"/>
        <v>0.48325864968161619</v>
      </c>
      <c r="AN55" s="382">
        <f t="shared" si="37"/>
        <v>0.48325864968161619</v>
      </c>
      <c r="AO55" s="382">
        <f t="shared" si="17"/>
        <v>39.969726173742778</v>
      </c>
      <c r="AP55" s="382">
        <f t="shared" si="18"/>
        <v>39.970113318701856</v>
      </c>
      <c r="AQ55" s="382">
        <f t="shared" si="19"/>
        <v>40.906200982235795</v>
      </c>
      <c r="AR55" s="382">
        <f t="shared" si="20"/>
        <v>40.906200982235795</v>
      </c>
      <c r="AS55" s="388" t="str">
        <f t="shared" ca="1" si="38"/>
        <v>-</v>
      </c>
      <c r="AT55" s="388" t="str">
        <f t="shared" ca="1" si="39"/>
        <v>-</v>
      </c>
      <c r="AU55" s="388" t="str">
        <f t="shared" ca="1" si="40"/>
        <v>-</v>
      </c>
      <c r="AV55" s="388" t="str">
        <f t="shared" ca="1" si="41"/>
        <v>-</v>
      </c>
      <c r="AW55" s="382" t="e">
        <f>#REF!*SIN(#REF!)</f>
        <v>#REF!</v>
      </c>
      <c r="AX55" s="382" t="e">
        <f>#REF!*SIN(#REF!)</f>
        <v>#REF!</v>
      </c>
      <c r="AY55" s="382"/>
      <c r="AZ55" s="382"/>
      <c r="BA55" s="388" t="str">
        <f t="shared" ca="1" si="21"/>
        <v>-</v>
      </c>
      <c r="BB55" s="388" t="str">
        <f t="shared" ca="1" si="22"/>
        <v>-</v>
      </c>
      <c r="BC55" s="388" t="str">
        <f t="shared" ca="1" si="23"/>
        <v>-</v>
      </c>
      <c r="BD55" s="388" t="str">
        <f t="shared" ca="1" si="24"/>
        <v>-</v>
      </c>
    </row>
    <row r="56" spans="1:56">
      <c r="A56" t="e">
        <f>IF(#REF!=0,A55,#REF!)</f>
        <v>#REF!</v>
      </c>
      <c r="C56" s="381" t="e">
        <f>#REF!</f>
        <v>#REF!</v>
      </c>
      <c r="D56" s="381" t="e">
        <f>#REF!</f>
        <v>#REF!</v>
      </c>
      <c r="E56" t="s">
        <v>133</v>
      </c>
      <c r="F56" t="s">
        <v>133</v>
      </c>
      <c r="G56" s="382" t="str">
        <f ca="1">IFERROR(C56*Changes!$B$1,"-")</f>
        <v>-</v>
      </c>
      <c r="H56" s="382" t="str">
        <f ca="1">IFERROR(D56*Changes!$B$1,"-")</f>
        <v>-</v>
      </c>
      <c r="I56" s="382" t="str">
        <f ca="1">IFERROR(E56*Changes!$B$1,"-")</f>
        <v>-</v>
      </c>
      <c r="J56" s="382" t="str">
        <f ca="1">IFERROR(F56*Changes!$B$1,"-")</f>
        <v>-</v>
      </c>
      <c r="K56" s="383" t="str">
        <f t="shared" ca="1" si="25"/>
        <v>-</v>
      </c>
      <c r="L56" s="383" t="str">
        <f t="shared" ca="1" si="26"/>
        <v>-</v>
      </c>
      <c r="M56" s="383" t="str">
        <f t="shared" ca="1" si="27"/>
        <v>-</v>
      </c>
      <c r="N56" s="383" t="str">
        <f t="shared" ca="1" si="28"/>
        <v>-</v>
      </c>
      <c r="O56" s="384">
        <f>[1]Particles!$B$13</f>
        <v>512373.33725154324</v>
      </c>
      <c r="P56" s="384">
        <f>[1]Particles!$B$5</f>
        <v>3152.8432598003224</v>
      </c>
      <c r="Q56" s="383">
        <f>IFERROR(VLOOKUP("s",[1]md!$A:$E,5,0)*14.3998434/U56*100,"-")</f>
        <v>1334.4358532406454</v>
      </c>
      <c r="R56" s="383">
        <f>IFERROR(VLOOKUP("s",[1]md!$A:$E,5,0)*14.3998434/V56*100,"-")</f>
        <v>1334.4603210668281</v>
      </c>
      <c r="S56" s="383">
        <f>IFERROR(VLOOKUP("s",[1]md!$A:$E,5,0)*14.3998434/W56*100,"-")</f>
        <v>1349.98531875</v>
      </c>
      <c r="T56" s="383">
        <f>IFERROR(VLOOKUP("s",[1]md!$A:$E,5,0)*14.3998434/X56*100,"-")</f>
        <v>1349.98531875</v>
      </c>
      <c r="U56" s="386">
        <v>2.4279659131848286</v>
      </c>
      <c r="V56" s="386">
        <v>2.4279213955270138</v>
      </c>
      <c r="W56" s="386">
        <v>2.4</v>
      </c>
      <c r="X56" s="386">
        <v>2.4</v>
      </c>
      <c r="Y56" s="382" t="str">
        <f t="shared" ca="1" si="29"/>
        <v>-</v>
      </c>
      <c r="Z56" s="382" t="str">
        <f t="shared" ca="1" si="30"/>
        <v>-</v>
      </c>
      <c r="AA56" s="382" t="str">
        <f t="shared" ca="1" si="31"/>
        <v>-</v>
      </c>
      <c r="AB56" s="382" t="str">
        <f t="shared" ca="1" si="32"/>
        <v>-</v>
      </c>
      <c r="AC56" s="382" t="str">
        <f ca="1">IFERROR(Changes!$B$2*Rotation!C56,"-")</f>
        <v>-</v>
      </c>
      <c r="AD56" s="382" t="str">
        <f ca="1">IFERROR(Changes!$B$2*Rotation!D56,"-")</f>
        <v>-</v>
      </c>
      <c r="AE56" s="382" t="str">
        <f ca="1">IFERROR(Changes!$B$2*Rotation!E56,"-")</f>
        <v>-</v>
      </c>
      <c r="AF56" s="382" t="str">
        <f ca="1">IFERROR(Changes!$B$2*Rotation!F56,"-")</f>
        <v>-</v>
      </c>
      <c r="AG56" s="382" t="e">
        <f ca="1">(AC56+AD56)*#REF!</f>
        <v>#VALUE!</v>
      </c>
      <c r="AH56" s="382" t="e">
        <f t="shared" ca="1" si="33"/>
        <v>#VALUE!</v>
      </c>
      <c r="AI56" s="382"/>
      <c r="AJ56" s="382"/>
      <c r="AK56" s="382">
        <f t="shared" si="34"/>
        <v>0.47769235677386873</v>
      </c>
      <c r="AL56" s="382">
        <f t="shared" si="35"/>
        <v>0.47770111560144801</v>
      </c>
      <c r="AM56" s="382">
        <f t="shared" si="36"/>
        <v>0.48325864968161619</v>
      </c>
      <c r="AN56" s="382">
        <f t="shared" si="37"/>
        <v>0.48325864968161619</v>
      </c>
      <c r="AO56" s="382">
        <f t="shared" si="17"/>
        <v>39.969292485414783</v>
      </c>
      <c r="AP56" s="382">
        <f t="shared" si="18"/>
        <v>39.970758229406293</v>
      </c>
      <c r="AQ56" s="382">
        <f t="shared" si="19"/>
        <v>40.906200982235795</v>
      </c>
      <c r="AR56" s="382">
        <f t="shared" si="20"/>
        <v>40.906200982235795</v>
      </c>
      <c r="AS56" s="388" t="str">
        <f t="shared" ca="1" si="38"/>
        <v>-</v>
      </c>
      <c r="AT56" s="388" t="str">
        <f t="shared" ca="1" si="39"/>
        <v>-</v>
      </c>
      <c r="AU56" s="388" t="str">
        <f t="shared" ca="1" si="40"/>
        <v>-</v>
      </c>
      <c r="AV56" s="388" t="str">
        <f t="shared" ca="1" si="41"/>
        <v>-</v>
      </c>
      <c r="AW56" s="382" t="e">
        <f>#REF!*SIN(#REF!)</f>
        <v>#REF!</v>
      </c>
      <c r="AX56" s="382" t="e">
        <f>#REF!*SIN(#REF!)</f>
        <v>#REF!</v>
      </c>
      <c r="AY56" s="382"/>
      <c r="AZ56" s="382"/>
      <c r="BA56" s="388" t="str">
        <f t="shared" ca="1" si="21"/>
        <v>-</v>
      </c>
      <c r="BB56" s="388" t="str">
        <f t="shared" ca="1" si="22"/>
        <v>-</v>
      </c>
      <c r="BC56" s="388" t="str">
        <f t="shared" ca="1" si="23"/>
        <v>-</v>
      </c>
      <c r="BD56" s="388" t="str">
        <f t="shared" ca="1" si="24"/>
        <v>-</v>
      </c>
    </row>
    <row r="57" spans="1:56">
      <c r="A57" t="e">
        <f>IF(#REF!=0,A56,#REF!)</f>
        <v>#REF!</v>
      </c>
      <c r="C57" s="381" t="e">
        <f>#REF!</f>
        <v>#REF!</v>
      </c>
      <c r="D57" s="381" t="e">
        <f>#REF!</f>
        <v>#REF!</v>
      </c>
      <c r="E57" t="s">
        <v>133</v>
      </c>
      <c r="F57" t="s">
        <v>133</v>
      </c>
      <c r="G57" s="382" t="str">
        <f ca="1">IFERROR(C57*Changes!$B$1,"-")</f>
        <v>-</v>
      </c>
      <c r="H57" s="382" t="str">
        <f ca="1">IFERROR(D57*Changes!$B$1,"-")</f>
        <v>-</v>
      </c>
      <c r="I57" s="382" t="str">
        <f ca="1">IFERROR(E57*Changes!$B$1,"-")</f>
        <v>-</v>
      </c>
      <c r="J57" s="382" t="str">
        <f ca="1">IFERROR(F57*Changes!$B$1,"-")</f>
        <v>-</v>
      </c>
      <c r="K57" s="383" t="str">
        <f t="shared" ca="1" si="25"/>
        <v>-</v>
      </c>
      <c r="L57" s="383" t="str">
        <f t="shared" ca="1" si="26"/>
        <v>-</v>
      </c>
      <c r="M57" s="383" t="str">
        <f t="shared" ca="1" si="27"/>
        <v>-</v>
      </c>
      <c r="N57" s="383" t="str">
        <f t="shared" ca="1" si="28"/>
        <v>-</v>
      </c>
      <c r="O57" s="384">
        <f>[1]Particles!$B$13</f>
        <v>512373.33725154324</v>
      </c>
      <c r="P57" s="384">
        <f>[1]Particles!$B$5</f>
        <v>3152.8432598003224</v>
      </c>
      <c r="Q57" s="383">
        <f>IFERROR(VLOOKUP("s",[1]md!$A:$E,5,0)*14.3998434/U57*100,"-")</f>
        <v>1334.4414262115924</v>
      </c>
      <c r="R57" s="383">
        <f>IFERROR(VLOOKUP("s",[1]md!$A:$E,5,0)*14.3998434/V57*100,"-")</f>
        <v>1334.446899938813</v>
      </c>
      <c r="S57" s="383">
        <f>IFERROR(VLOOKUP("s",[1]md!$A:$E,5,0)*14.3998434/W57*100,"-")</f>
        <v>1349.98531875</v>
      </c>
      <c r="T57" s="383">
        <f>IFERROR(VLOOKUP("s",[1]md!$A:$E,5,0)*14.3998434/X57*100,"-")</f>
        <v>1349.98531875</v>
      </c>
      <c r="U57" s="386">
        <v>2.4279557733740971</v>
      </c>
      <c r="V57" s="386">
        <v>2.4279458142160308</v>
      </c>
      <c r="W57" s="386">
        <v>2.4</v>
      </c>
      <c r="X57" s="386">
        <v>2.4</v>
      </c>
      <c r="Y57" s="382" t="str">
        <f t="shared" ca="1" si="29"/>
        <v>-</v>
      </c>
      <c r="Z57" s="382" t="str">
        <f t="shared" ca="1" si="30"/>
        <v>-</v>
      </c>
      <c r="AA57" s="382" t="str">
        <f t="shared" ca="1" si="31"/>
        <v>-</v>
      </c>
      <c r="AB57" s="382" t="str">
        <f t="shared" ca="1" si="32"/>
        <v>-</v>
      </c>
      <c r="AC57" s="382" t="str">
        <f ca="1">IFERROR(Changes!$B$2*Rotation!C57,"-")</f>
        <v>-</v>
      </c>
      <c r="AD57" s="382" t="str">
        <f ca="1">IFERROR(Changes!$B$2*Rotation!D57,"-")</f>
        <v>-</v>
      </c>
      <c r="AE57" s="382" t="str">
        <f ca="1">IFERROR(Changes!$B$2*Rotation!E57,"-")</f>
        <v>-</v>
      </c>
      <c r="AF57" s="382" t="str">
        <f ca="1">IFERROR(Changes!$B$2*Rotation!F57,"-")</f>
        <v>-</v>
      </c>
      <c r="AG57" s="382" t="e">
        <f ca="1">(AC57+AD57)*#REF!</f>
        <v>#VALUE!</v>
      </c>
      <c r="AH57" s="382" t="e">
        <f t="shared" ca="1" si="33"/>
        <v>#VALUE!</v>
      </c>
      <c r="AI57" s="382"/>
      <c r="AJ57" s="382"/>
      <c r="AK57" s="382">
        <f t="shared" si="34"/>
        <v>0.47769435174846364</v>
      </c>
      <c r="AL57" s="382">
        <f t="shared" si="35"/>
        <v>0.47769631119645811</v>
      </c>
      <c r="AM57" s="382">
        <f t="shared" si="36"/>
        <v>0.48325864968161619</v>
      </c>
      <c r="AN57" s="382">
        <f t="shared" si="37"/>
        <v>0.48325864968161619</v>
      </c>
      <c r="AO57" s="382">
        <f t="shared" si="17"/>
        <v>39.969626331617086</v>
      </c>
      <c r="AP57" s="382">
        <f t="shared" si="18"/>
        <v>39.969954234027881</v>
      </c>
      <c r="AQ57" s="382">
        <f t="shared" si="19"/>
        <v>40.906200982235795</v>
      </c>
      <c r="AR57" s="382">
        <f t="shared" si="20"/>
        <v>40.906200982235795</v>
      </c>
      <c r="AS57" s="388" t="str">
        <f t="shared" ca="1" si="38"/>
        <v>-</v>
      </c>
      <c r="AT57" s="388" t="str">
        <f t="shared" ca="1" si="39"/>
        <v>-</v>
      </c>
      <c r="AU57" s="388" t="str">
        <f t="shared" ca="1" si="40"/>
        <v>-</v>
      </c>
      <c r="AV57" s="388" t="str">
        <f t="shared" ca="1" si="41"/>
        <v>-</v>
      </c>
      <c r="AW57" s="382" t="e">
        <f>#REF!*SIN(#REF!)</f>
        <v>#REF!</v>
      </c>
      <c r="AX57" s="382" t="e">
        <f>#REF!*SIN(#REF!)</f>
        <v>#REF!</v>
      </c>
      <c r="AY57" s="382"/>
      <c r="AZ57" s="382"/>
      <c r="BA57" s="388" t="str">
        <f t="shared" ca="1" si="21"/>
        <v>-</v>
      </c>
      <c r="BB57" s="388" t="str">
        <f t="shared" ca="1" si="22"/>
        <v>-</v>
      </c>
      <c r="BC57" s="388" t="str">
        <f t="shared" ca="1" si="23"/>
        <v>-</v>
      </c>
      <c r="BD57" s="388" t="str">
        <f t="shared" ca="1" si="24"/>
        <v>-</v>
      </c>
    </row>
    <row r="58" spans="1:56">
      <c r="A58" t="e">
        <f>IF(#REF!=0,A57,#REF!)</f>
        <v>#REF!</v>
      </c>
      <c r="C58" s="381" t="e">
        <f>#REF!</f>
        <v>#REF!</v>
      </c>
      <c r="D58" s="381" t="e">
        <f>#REF!</f>
        <v>#REF!</v>
      </c>
      <c r="E58" t="s">
        <v>133</v>
      </c>
      <c r="F58" t="s">
        <v>133</v>
      </c>
      <c r="G58" s="382" t="str">
        <f ca="1">IFERROR(C58*Changes!$B$1,"-")</f>
        <v>-</v>
      </c>
      <c r="H58" s="382" t="str">
        <f ca="1">IFERROR(D58*Changes!$B$1,"-")</f>
        <v>-</v>
      </c>
      <c r="I58" s="382" t="str">
        <f ca="1">IFERROR(E58*Changes!$B$1,"-")</f>
        <v>-</v>
      </c>
      <c r="J58" s="382" t="str">
        <f ca="1">IFERROR(F58*Changes!$B$1,"-")</f>
        <v>-</v>
      </c>
      <c r="K58" s="383" t="str">
        <f t="shared" ca="1" si="25"/>
        <v>-</v>
      </c>
      <c r="L58" s="383" t="str">
        <f t="shared" ca="1" si="26"/>
        <v>-</v>
      </c>
      <c r="M58" s="383" t="str">
        <f t="shared" ca="1" si="27"/>
        <v>-</v>
      </c>
      <c r="N58" s="383" t="str">
        <f t="shared" ca="1" si="28"/>
        <v>-</v>
      </c>
      <c r="O58" s="384">
        <f>[1]Particles!$B$13</f>
        <v>512373.33725154324</v>
      </c>
      <c r="P58" s="384">
        <f>[1]Particles!$B$5</f>
        <v>3152.8432598003224</v>
      </c>
      <c r="Q58" s="383">
        <f>IFERROR(VLOOKUP("s",[1]md!$A:$E,5,0)*14.3998434/U58*100,"-")</f>
        <v>1334.4479106497452</v>
      </c>
      <c r="R58" s="383">
        <f>IFERROR(VLOOKUP("s",[1]md!$A:$E,5,0)*14.3998434/V58*100,"-")</f>
        <v>1334.4530116030696</v>
      </c>
      <c r="S58" s="383">
        <f>IFERROR(VLOOKUP("s",[1]md!$A:$E,5,0)*14.3998434/W58*100,"-")</f>
        <v>1349.98531875</v>
      </c>
      <c r="T58" s="383">
        <f>IFERROR(VLOOKUP("s",[1]md!$A:$E,5,0)*14.3998434/X58*100,"-")</f>
        <v>1349.98531875</v>
      </c>
      <c r="U58" s="386">
        <v>2.4279439752897174</v>
      </c>
      <c r="V58" s="386">
        <v>2.4279346944617042</v>
      </c>
      <c r="W58" s="386">
        <v>2.4</v>
      </c>
      <c r="X58" s="386">
        <v>2.4</v>
      </c>
      <c r="Y58" s="382" t="str">
        <f t="shared" ca="1" si="29"/>
        <v>-</v>
      </c>
      <c r="Z58" s="382" t="str">
        <f t="shared" ca="1" si="30"/>
        <v>-</v>
      </c>
      <c r="AA58" s="382" t="str">
        <f t="shared" ca="1" si="31"/>
        <v>-</v>
      </c>
      <c r="AB58" s="382" t="str">
        <f t="shared" ca="1" si="32"/>
        <v>-</v>
      </c>
      <c r="AC58" s="382" t="str">
        <f ca="1">IFERROR(Changes!$B$2*Rotation!C58,"-")</f>
        <v>-</v>
      </c>
      <c r="AD58" s="382" t="str">
        <f ca="1">IFERROR(Changes!$B$2*Rotation!D58,"-")</f>
        <v>-</v>
      </c>
      <c r="AE58" s="382" t="str">
        <f ca="1">IFERROR(Changes!$B$2*Rotation!E58,"-")</f>
        <v>-</v>
      </c>
      <c r="AF58" s="382" t="str">
        <f ca="1">IFERROR(Changes!$B$2*Rotation!F58,"-")</f>
        <v>-</v>
      </c>
      <c r="AG58" s="382" t="e">
        <f ca="1">(AC58+AD58)*#REF!</f>
        <v>#VALUE!</v>
      </c>
      <c r="AH58" s="382" t="e">
        <f t="shared" ca="1" si="33"/>
        <v>#VALUE!</v>
      </c>
      <c r="AI58" s="382"/>
      <c r="AJ58" s="382"/>
      <c r="AK58" s="382">
        <f t="shared" si="34"/>
        <v>0.47769667300394852</v>
      </c>
      <c r="AL58" s="382">
        <f t="shared" si="35"/>
        <v>0.47769849900885492</v>
      </c>
      <c r="AM58" s="382">
        <f t="shared" si="36"/>
        <v>0.48325864968161619</v>
      </c>
      <c r="AN58" s="382">
        <f t="shared" si="37"/>
        <v>0.48325864968161619</v>
      </c>
      <c r="AO58" s="382">
        <f t="shared" si="17"/>
        <v>39.970014780588407</v>
      </c>
      <c r="AP58" s="382">
        <f t="shared" si="18"/>
        <v>39.970320353504093</v>
      </c>
      <c r="AQ58" s="382">
        <f t="shared" si="19"/>
        <v>40.906200982235795</v>
      </c>
      <c r="AR58" s="382">
        <f t="shared" si="20"/>
        <v>40.906200982235795</v>
      </c>
      <c r="AS58" s="388" t="str">
        <f t="shared" ca="1" si="38"/>
        <v>-</v>
      </c>
      <c r="AT58" s="388" t="str">
        <f t="shared" ca="1" si="39"/>
        <v>-</v>
      </c>
      <c r="AU58" s="388" t="str">
        <f t="shared" ca="1" si="40"/>
        <v>-</v>
      </c>
      <c r="AV58" s="388" t="str">
        <f t="shared" ca="1" si="41"/>
        <v>-</v>
      </c>
      <c r="AW58" s="382" t="e">
        <f>#REF!*SIN(#REF!)</f>
        <v>#REF!</v>
      </c>
      <c r="AX58" s="382" t="e">
        <f>#REF!*SIN(#REF!)</f>
        <v>#REF!</v>
      </c>
      <c r="AY58" s="382"/>
      <c r="AZ58" s="382"/>
      <c r="BA58" s="388" t="str">
        <f t="shared" ca="1" si="21"/>
        <v>-</v>
      </c>
      <c r="BB58" s="388" t="str">
        <f t="shared" ca="1" si="22"/>
        <v>-</v>
      </c>
      <c r="BC58" s="388" t="str">
        <f t="shared" ca="1" si="23"/>
        <v>-</v>
      </c>
      <c r="BD58" s="388" t="str">
        <f t="shared" ca="1" si="24"/>
        <v>-</v>
      </c>
    </row>
    <row r="59" spans="1:56">
      <c r="A59" t="e">
        <f>IF(#REF!=0,A58,#REF!)</f>
        <v>#REF!</v>
      </c>
      <c r="C59" s="381" t="e">
        <f>#REF!</f>
        <v>#REF!</v>
      </c>
      <c r="D59" s="381" t="e">
        <f>#REF!</f>
        <v>#REF!</v>
      </c>
      <c r="E59" t="s">
        <v>133</v>
      </c>
      <c r="F59" t="s">
        <v>133</v>
      </c>
      <c r="G59" s="382" t="str">
        <f ca="1">IFERROR(C59*Changes!$B$1,"-")</f>
        <v>-</v>
      </c>
      <c r="H59" s="382" t="str">
        <f ca="1">IFERROR(D59*Changes!$B$1,"-")</f>
        <v>-</v>
      </c>
      <c r="I59" s="382" t="str">
        <f ca="1">IFERROR(E59*Changes!$B$1,"-")</f>
        <v>-</v>
      </c>
      <c r="J59" s="382" t="str">
        <f ca="1">IFERROR(F59*Changes!$B$1,"-")</f>
        <v>-</v>
      </c>
      <c r="K59" s="383" t="str">
        <f t="shared" ca="1" si="25"/>
        <v>-</v>
      </c>
      <c r="L59" s="383" t="str">
        <f t="shared" ca="1" si="26"/>
        <v>-</v>
      </c>
      <c r="M59" s="383" t="str">
        <f t="shared" ca="1" si="27"/>
        <v>-</v>
      </c>
      <c r="N59" s="383" t="str">
        <f t="shared" ca="1" si="28"/>
        <v>-</v>
      </c>
      <c r="O59" s="384">
        <f>[1]Particles!$B$13</f>
        <v>512373.33725154324</v>
      </c>
      <c r="P59" s="384">
        <f>[1]Particles!$B$5</f>
        <v>3152.8432598003224</v>
      </c>
      <c r="Q59" s="383">
        <f>IFERROR(VLOOKUP("s",[1]md!$A:$E,5,0)*14.3998434/U59*100,"-")</f>
        <v>1334.4479106497452</v>
      </c>
      <c r="R59" s="383">
        <f>IFERROR(VLOOKUP("s",[1]md!$A:$E,5,0)*14.3998434/V59*100,"-")</f>
        <v>1334.4502634974353</v>
      </c>
      <c r="S59" s="383">
        <f>IFERROR(VLOOKUP("s",[1]md!$A:$E,5,0)*14.3998434/W59*100,"-")</f>
        <v>1349.98531875</v>
      </c>
      <c r="T59" s="383">
        <f>IFERROR(VLOOKUP("s",[1]md!$A:$E,5,0)*14.3998434/X59*100,"-")</f>
        <v>1349.98531875</v>
      </c>
      <c r="U59" s="386">
        <v>2.4279439752897174</v>
      </c>
      <c r="V59" s="386">
        <v>2.4279396944389955</v>
      </c>
      <c r="W59" s="386">
        <v>2.4</v>
      </c>
      <c r="X59" s="386">
        <v>2.4</v>
      </c>
      <c r="Y59" s="382" t="str">
        <f t="shared" ca="1" si="29"/>
        <v>-</v>
      </c>
      <c r="Z59" s="382" t="str">
        <f t="shared" ca="1" si="30"/>
        <v>-</v>
      </c>
      <c r="AA59" s="382" t="str">
        <f t="shared" ca="1" si="31"/>
        <v>-</v>
      </c>
      <c r="AB59" s="382" t="str">
        <f t="shared" ca="1" si="32"/>
        <v>-</v>
      </c>
      <c r="AC59" s="382" t="str">
        <f ca="1">IFERROR(Changes!$B$2*Rotation!C59,"-")</f>
        <v>-</v>
      </c>
      <c r="AD59" s="382" t="str">
        <f ca="1">IFERROR(Changes!$B$2*Rotation!D59,"-")</f>
        <v>-</v>
      </c>
      <c r="AE59" s="382" t="str">
        <f ca="1">IFERROR(Changes!$B$2*Rotation!E59,"-")</f>
        <v>-</v>
      </c>
      <c r="AF59" s="382" t="str">
        <f ca="1">IFERROR(Changes!$B$2*Rotation!F59,"-")</f>
        <v>-</v>
      </c>
      <c r="AG59" s="382" t="e">
        <f ca="1">(AC59+AD59)*#REF!</f>
        <v>#VALUE!</v>
      </c>
      <c r="AH59" s="382" t="e">
        <f t="shared" ca="1" si="33"/>
        <v>#VALUE!</v>
      </c>
      <c r="AI59" s="382"/>
      <c r="AJ59" s="382"/>
      <c r="AK59" s="382">
        <f t="shared" si="34"/>
        <v>0.47769667300394852</v>
      </c>
      <c r="AL59" s="382">
        <f t="shared" si="35"/>
        <v>0.47769751526051363</v>
      </c>
      <c r="AM59" s="382">
        <f t="shared" si="36"/>
        <v>0.48325864968161619</v>
      </c>
      <c r="AN59" s="382">
        <f t="shared" si="37"/>
        <v>0.48325864968161619</v>
      </c>
      <c r="AO59" s="382">
        <f t="shared" si="17"/>
        <v>39.970014780588407</v>
      </c>
      <c r="AP59" s="382">
        <f t="shared" si="18"/>
        <v>39.970155727925651</v>
      </c>
      <c r="AQ59" s="382">
        <f t="shared" si="19"/>
        <v>40.906200982235795</v>
      </c>
      <c r="AR59" s="382">
        <f t="shared" si="20"/>
        <v>40.906200982235795</v>
      </c>
      <c r="AS59" s="388" t="str">
        <f t="shared" ca="1" si="38"/>
        <v>-</v>
      </c>
      <c r="AT59" s="388" t="str">
        <f t="shared" ca="1" si="39"/>
        <v>-</v>
      </c>
      <c r="AU59" s="388" t="str">
        <f t="shared" ca="1" si="40"/>
        <v>-</v>
      </c>
      <c r="AV59" s="388" t="str">
        <f t="shared" ca="1" si="41"/>
        <v>-</v>
      </c>
      <c r="AW59" s="382" t="e">
        <f>#REF!*SIN(#REF!)</f>
        <v>#REF!</v>
      </c>
      <c r="AX59" s="382" t="e">
        <f>#REF!*SIN(#REF!)</f>
        <v>#REF!</v>
      </c>
      <c r="AY59" s="382"/>
      <c r="AZ59" s="382"/>
      <c r="BA59" s="388" t="str">
        <f t="shared" ca="1" si="21"/>
        <v>-</v>
      </c>
      <c r="BB59" s="388" t="str">
        <f t="shared" ca="1" si="22"/>
        <v>-</v>
      </c>
      <c r="BC59" s="388" t="str">
        <f t="shared" ca="1" si="23"/>
        <v>-</v>
      </c>
      <c r="BD59" s="388" t="str">
        <f t="shared" ca="1" si="24"/>
        <v>-</v>
      </c>
    </row>
    <row r="60" spans="1:56">
      <c r="A60" t="e">
        <f>IF(#REF!=0,A59,#REF!)</f>
        <v>#REF!</v>
      </c>
      <c r="C60" s="381" t="e">
        <f>#REF!</f>
        <v>#REF!</v>
      </c>
      <c r="D60" s="381" t="e">
        <f>#REF!</f>
        <v>#REF!</v>
      </c>
      <c r="E60" t="s">
        <v>133</v>
      </c>
      <c r="F60" t="s">
        <v>133</v>
      </c>
      <c r="G60" s="382" t="str">
        <f ca="1">IFERROR(C60*Changes!$B$1,"-")</f>
        <v>-</v>
      </c>
      <c r="H60" s="382" t="str">
        <f ca="1">IFERROR(D60*Changes!$B$1,"-")</f>
        <v>-</v>
      </c>
      <c r="I60" s="382" t="str">
        <f ca="1">IFERROR(E60*Changes!$B$1,"-")</f>
        <v>-</v>
      </c>
      <c r="J60" s="382" t="str">
        <f ca="1">IFERROR(F60*Changes!$B$1,"-")</f>
        <v>-</v>
      </c>
      <c r="K60" s="383" t="str">
        <f t="shared" ca="1" si="25"/>
        <v>-</v>
      </c>
      <c r="L60" s="383" t="str">
        <f t="shared" ca="1" si="26"/>
        <v>-</v>
      </c>
      <c r="M60" s="383" t="str">
        <f t="shared" ca="1" si="27"/>
        <v>-</v>
      </c>
      <c r="N60" s="383" t="str">
        <f t="shared" ca="1" si="28"/>
        <v>-</v>
      </c>
      <c r="O60" s="384">
        <f>[1]Particles!$B$13</f>
        <v>512373.33725154324</v>
      </c>
      <c r="P60" s="384">
        <f>[1]Particles!$B$5</f>
        <v>3152.8432598003224</v>
      </c>
      <c r="Q60" s="383">
        <f>IFERROR(VLOOKUP("s",[1]md!$A:$E,5,0)*14.3998434/U60*100,"-")</f>
        <v>1334.4455668769197</v>
      </c>
      <c r="R60" s="383">
        <f>IFERROR(VLOOKUP("s",[1]md!$A:$E,5,0)*14.3998434/V60*100,"-")</f>
        <v>1334.458829993172</v>
      </c>
      <c r="S60" s="383">
        <f>IFERROR(VLOOKUP("s",[1]md!$A:$E,5,0)*14.3998434/W60*100,"-")</f>
        <v>1349.98531875</v>
      </c>
      <c r="T60" s="383">
        <f>IFERROR(VLOOKUP("s",[1]md!$A:$E,5,0)*14.3998434/X60*100,"-")</f>
        <v>1349.98531875</v>
      </c>
      <c r="U60" s="386">
        <v>2.4279482396443322</v>
      </c>
      <c r="V60" s="386">
        <v>2.4279241083942451</v>
      </c>
      <c r="W60" s="386">
        <v>2.4</v>
      </c>
      <c r="X60" s="386">
        <v>2.4</v>
      </c>
      <c r="Y60" s="382" t="str">
        <f t="shared" ca="1" si="29"/>
        <v>-</v>
      </c>
      <c r="Z60" s="382" t="str">
        <f t="shared" ca="1" si="30"/>
        <v>-</v>
      </c>
      <c r="AA60" s="382" t="str">
        <f t="shared" ca="1" si="31"/>
        <v>-</v>
      </c>
      <c r="AB60" s="382" t="str">
        <f t="shared" ca="1" si="32"/>
        <v>-</v>
      </c>
      <c r="AC60" s="382" t="str">
        <f ca="1">IFERROR(Changes!$B$2*Rotation!C60,"-")</f>
        <v>-</v>
      </c>
      <c r="AD60" s="382" t="str">
        <f ca="1">IFERROR(Changes!$B$2*Rotation!D60,"-")</f>
        <v>-</v>
      </c>
      <c r="AE60" s="382" t="str">
        <f ca="1">IFERROR(Changes!$B$2*Rotation!E60,"-")</f>
        <v>-</v>
      </c>
      <c r="AF60" s="382" t="str">
        <f ca="1">IFERROR(Changes!$B$2*Rotation!F60,"-")</f>
        <v>-</v>
      </c>
      <c r="AG60" s="382" t="e">
        <f ca="1">(AC60+AD60)*#REF!</f>
        <v>#VALUE!</v>
      </c>
      <c r="AH60" s="382" t="e">
        <f t="shared" ca="1" si="33"/>
        <v>#VALUE!</v>
      </c>
      <c r="AI60" s="382"/>
      <c r="AJ60" s="382"/>
      <c r="AK60" s="382">
        <f t="shared" si="34"/>
        <v>0.47769583399594223</v>
      </c>
      <c r="AL60" s="382">
        <f t="shared" si="35"/>
        <v>0.47770058183694591</v>
      </c>
      <c r="AM60" s="382">
        <f t="shared" si="36"/>
        <v>0.48325864968161619</v>
      </c>
      <c r="AN60" s="382">
        <f t="shared" si="37"/>
        <v>0.48325864968161619</v>
      </c>
      <c r="AO60" s="382">
        <f t="shared" si="17"/>
        <v>39.969874377127979</v>
      </c>
      <c r="AP60" s="382">
        <f t="shared" si="18"/>
        <v>39.970668905939178</v>
      </c>
      <c r="AQ60" s="382">
        <f t="shared" si="19"/>
        <v>40.906200982235795</v>
      </c>
      <c r="AR60" s="382">
        <f t="shared" si="20"/>
        <v>40.906200982235795</v>
      </c>
      <c r="AS60" s="388" t="str">
        <f t="shared" ca="1" si="38"/>
        <v>-</v>
      </c>
      <c r="AT60" s="388" t="str">
        <f t="shared" ca="1" si="39"/>
        <v>-</v>
      </c>
      <c r="AU60" s="388" t="str">
        <f t="shared" ca="1" si="40"/>
        <v>-</v>
      </c>
      <c r="AV60" s="388" t="str">
        <f t="shared" ca="1" si="41"/>
        <v>-</v>
      </c>
      <c r="AW60" s="382" t="e">
        <f>#REF!*SIN(#REF!)</f>
        <v>#REF!</v>
      </c>
      <c r="AX60" s="382" t="e">
        <f>#REF!*SIN(#REF!)</f>
        <v>#REF!</v>
      </c>
      <c r="AY60" s="382"/>
      <c r="AZ60" s="382"/>
      <c r="BA60" s="388" t="str">
        <f t="shared" ca="1" si="21"/>
        <v>-</v>
      </c>
      <c r="BB60" s="388" t="str">
        <f t="shared" ca="1" si="22"/>
        <v>-</v>
      </c>
      <c r="BC60" s="388" t="str">
        <f t="shared" ca="1" si="23"/>
        <v>-</v>
      </c>
      <c r="BD60" s="388" t="str">
        <f t="shared" ca="1" si="24"/>
        <v>-</v>
      </c>
    </row>
    <row r="61" spans="1:56">
      <c r="A61" t="e">
        <f>IF(#REF!=0,A60,#REF!)</f>
        <v>#REF!</v>
      </c>
      <c r="C61" s="381" t="e">
        <f>#REF!</f>
        <v>#REF!</v>
      </c>
      <c r="D61" s="381" t="e">
        <f>#REF!</f>
        <v>#REF!</v>
      </c>
      <c r="E61" t="s">
        <v>133</v>
      </c>
      <c r="F61" t="s">
        <v>133</v>
      </c>
      <c r="G61" s="382" t="str">
        <f ca="1">IFERROR(C61*Changes!$B$1,"-")</f>
        <v>-</v>
      </c>
      <c r="H61" s="382" t="str">
        <f ca="1">IFERROR(D61*Changes!$B$1,"-")</f>
        <v>-</v>
      </c>
      <c r="I61" s="382" t="str">
        <f ca="1">IFERROR(E61*Changes!$B$1,"-")</f>
        <v>-</v>
      </c>
      <c r="J61" s="382" t="str">
        <f ca="1">IFERROR(F61*Changes!$B$1,"-")</f>
        <v>-</v>
      </c>
      <c r="K61" s="383" t="str">
        <f t="shared" ca="1" si="25"/>
        <v>-</v>
      </c>
      <c r="L61" s="383" t="str">
        <f t="shared" ca="1" si="26"/>
        <v>-</v>
      </c>
      <c r="M61" s="383" t="str">
        <f t="shared" ca="1" si="27"/>
        <v>-</v>
      </c>
      <c r="N61" s="383" t="str">
        <f t="shared" ca="1" si="28"/>
        <v>-</v>
      </c>
      <c r="O61" s="384">
        <f>[1]Particles!$B$13</f>
        <v>512373.33725154324</v>
      </c>
      <c r="P61" s="384">
        <f>[1]Particles!$B$5</f>
        <v>3152.8432598003224</v>
      </c>
      <c r="Q61" s="383">
        <f>IFERROR(VLOOKUP("s",[1]md!$A:$E,5,0)*14.3998434/U61*100,"-")</f>
        <v>1334.4455668769197</v>
      </c>
      <c r="R61" s="383">
        <f>IFERROR(VLOOKUP("s",[1]md!$A:$E,5,0)*14.3998434/V61*100,"-")</f>
        <v>1334.4549285560759</v>
      </c>
      <c r="S61" s="383">
        <f>IFERROR(VLOOKUP("s",[1]md!$A:$E,5,0)*14.3998434/W61*100,"-")</f>
        <v>1349.98531875</v>
      </c>
      <c r="T61" s="383">
        <f>IFERROR(VLOOKUP("s",[1]md!$A:$E,5,0)*14.3998434/X61*100,"-")</f>
        <v>1349.98531875</v>
      </c>
      <c r="U61" s="386">
        <v>2.4279482396443322</v>
      </c>
      <c r="V61" s="386">
        <v>2.4279312067180481</v>
      </c>
      <c r="W61" s="386">
        <v>2.4</v>
      </c>
      <c r="X61" s="386">
        <v>2.4</v>
      </c>
      <c r="Y61" s="382" t="str">
        <f t="shared" ca="1" si="29"/>
        <v>-</v>
      </c>
      <c r="Z61" s="382" t="str">
        <f t="shared" ca="1" si="30"/>
        <v>-</v>
      </c>
      <c r="AA61" s="382" t="str">
        <f t="shared" ca="1" si="31"/>
        <v>-</v>
      </c>
      <c r="AB61" s="382" t="str">
        <f t="shared" ca="1" si="32"/>
        <v>-</v>
      </c>
      <c r="AC61" s="382" t="str">
        <f ca="1">IFERROR(Changes!$B$2*Rotation!C61,"-")</f>
        <v>-</v>
      </c>
      <c r="AD61" s="382" t="str">
        <f ca="1">IFERROR(Changes!$B$2*Rotation!D61,"-")</f>
        <v>-</v>
      </c>
      <c r="AE61" s="382" t="str">
        <f ca="1">IFERROR(Changes!$B$2*Rotation!E61,"-")</f>
        <v>-</v>
      </c>
      <c r="AF61" s="382" t="str">
        <f ca="1">IFERROR(Changes!$B$2*Rotation!F61,"-")</f>
        <v>-</v>
      </c>
      <c r="AG61" s="382" t="e">
        <f ca="1">(AC61+AD61)*#REF!</f>
        <v>#VALUE!</v>
      </c>
      <c r="AH61" s="382" t="e">
        <f t="shared" ca="1" si="33"/>
        <v>#VALUE!</v>
      </c>
      <c r="AI61" s="382"/>
      <c r="AJ61" s="382"/>
      <c r="AK61" s="382">
        <f t="shared" si="34"/>
        <v>0.47769583399594223</v>
      </c>
      <c r="AL61" s="382">
        <f t="shared" si="35"/>
        <v>0.47769918522677773</v>
      </c>
      <c r="AM61" s="382">
        <f t="shared" si="36"/>
        <v>0.48325864968161619</v>
      </c>
      <c r="AN61" s="382">
        <f t="shared" si="37"/>
        <v>0.48325864968161619</v>
      </c>
      <c r="AO61" s="382">
        <f t="shared" si="17"/>
        <v>39.969874377127979</v>
      </c>
      <c r="AP61" s="382">
        <f t="shared" si="18"/>
        <v>39.970435188991189</v>
      </c>
      <c r="AQ61" s="382">
        <f t="shared" si="19"/>
        <v>40.906200982235795</v>
      </c>
      <c r="AR61" s="382">
        <f t="shared" si="20"/>
        <v>40.906200982235795</v>
      </c>
      <c r="AS61" s="388" t="str">
        <f t="shared" ca="1" si="38"/>
        <v>-</v>
      </c>
      <c r="AT61" s="388" t="str">
        <f t="shared" ca="1" si="39"/>
        <v>-</v>
      </c>
      <c r="AU61" s="388" t="str">
        <f t="shared" ca="1" si="40"/>
        <v>-</v>
      </c>
      <c r="AV61" s="388" t="str">
        <f t="shared" ca="1" si="41"/>
        <v>-</v>
      </c>
      <c r="AW61" s="382" t="e">
        <f>#REF!*SIN(#REF!)</f>
        <v>#REF!</v>
      </c>
      <c r="AX61" s="382" t="e">
        <f>#REF!*SIN(#REF!)</f>
        <v>#REF!</v>
      </c>
      <c r="AY61" s="382"/>
      <c r="AZ61" s="382"/>
      <c r="BA61" s="388" t="str">
        <f t="shared" ca="1" si="21"/>
        <v>-</v>
      </c>
      <c r="BB61" s="388" t="str">
        <f t="shared" ca="1" si="22"/>
        <v>-</v>
      </c>
      <c r="BC61" s="388" t="str">
        <f t="shared" ca="1" si="23"/>
        <v>-</v>
      </c>
      <c r="BD61" s="388" t="str">
        <f t="shared" ca="1" si="24"/>
        <v>-</v>
      </c>
    </row>
    <row r="62" spans="1:56">
      <c r="A62" t="e">
        <f>IF(#REF!=0,A61,#REF!)</f>
        <v>#REF!</v>
      </c>
      <c r="C62" s="381" t="e">
        <f>#REF!</f>
        <v>#REF!</v>
      </c>
      <c r="D62" s="381" t="e">
        <f>#REF!</f>
        <v>#REF!</v>
      </c>
      <c r="E62" t="s">
        <v>133</v>
      </c>
      <c r="F62" t="s">
        <v>133</v>
      </c>
      <c r="G62" s="382" t="str">
        <f ca="1">IFERROR(C62*Changes!$B$1,"-")</f>
        <v>-</v>
      </c>
      <c r="H62" s="382" t="str">
        <f ca="1">IFERROR(D62*Changes!$B$1,"-")</f>
        <v>-</v>
      </c>
      <c r="I62" s="382" t="str">
        <f ca="1">IFERROR(E62*Changes!$B$1,"-")</f>
        <v>-</v>
      </c>
      <c r="J62" s="382" t="str">
        <f ca="1">IFERROR(F62*Changes!$B$1,"-")</f>
        <v>-</v>
      </c>
      <c r="K62" s="383" t="str">
        <f t="shared" ca="1" si="25"/>
        <v>-</v>
      </c>
      <c r="L62" s="383" t="str">
        <f t="shared" ca="1" si="26"/>
        <v>-</v>
      </c>
      <c r="M62" s="383" t="str">
        <f t="shared" ca="1" si="27"/>
        <v>-</v>
      </c>
      <c r="N62" s="383" t="str">
        <f t="shared" ca="1" si="28"/>
        <v>-</v>
      </c>
      <c r="O62" s="384">
        <f>[1]Particles!$B$13</f>
        <v>512373.33725154324</v>
      </c>
      <c r="P62" s="384">
        <f>[1]Particles!$B$5</f>
        <v>3152.8432598003224</v>
      </c>
      <c r="Q62" s="383">
        <f>IFERROR(VLOOKUP("s",[1]md!$A:$E,5,0)*14.3998434/U62*100,"-")</f>
        <v>1334.4568237142571</v>
      </c>
      <c r="R62" s="383">
        <f>IFERROR(VLOOKUP("s",[1]md!$A:$E,5,0)*14.3998434/V62*100,"-")</f>
        <v>1334.456821625316</v>
      </c>
      <c r="S62" s="383">
        <f>IFERROR(VLOOKUP("s",[1]md!$A:$E,5,0)*14.3998434/W62*100,"-")</f>
        <v>1349.98531875</v>
      </c>
      <c r="T62" s="383">
        <f>IFERROR(VLOOKUP("s",[1]md!$A:$E,5,0)*14.3998434/X62*100,"-")</f>
        <v>1349.98531875</v>
      </c>
      <c r="U62" s="386">
        <v>2.427927758638194</v>
      </c>
      <c r="V62" s="386">
        <v>2.42792776243884</v>
      </c>
      <c r="W62" s="386">
        <v>2.4</v>
      </c>
      <c r="X62" s="386">
        <v>2.4</v>
      </c>
      <c r="Y62" s="382" t="str">
        <f t="shared" ca="1" si="29"/>
        <v>-</v>
      </c>
      <c r="Z62" s="382" t="str">
        <f t="shared" ca="1" si="30"/>
        <v>-</v>
      </c>
      <c r="AA62" s="382" t="str">
        <f t="shared" ca="1" si="31"/>
        <v>-</v>
      </c>
      <c r="AB62" s="382" t="str">
        <f t="shared" ca="1" si="32"/>
        <v>-</v>
      </c>
      <c r="AC62" s="382" t="str">
        <f ca="1">IFERROR(Changes!$B$2*Rotation!C62,"-")</f>
        <v>-</v>
      </c>
      <c r="AD62" s="382" t="str">
        <f ca="1">IFERROR(Changes!$B$2*Rotation!D62,"-")</f>
        <v>-</v>
      </c>
      <c r="AE62" s="382" t="str">
        <f ca="1">IFERROR(Changes!$B$2*Rotation!E62,"-")</f>
        <v>-</v>
      </c>
      <c r="AF62" s="382" t="str">
        <f ca="1">IFERROR(Changes!$B$2*Rotation!F62,"-")</f>
        <v>-</v>
      </c>
      <c r="AG62" s="382" t="e">
        <f ca="1">(AC62+AD62)*#REF!</f>
        <v>#VALUE!</v>
      </c>
      <c r="AH62" s="382" t="e">
        <f t="shared" ca="1" si="33"/>
        <v>#VALUE!</v>
      </c>
      <c r="AI62" s="382"/>
      <c r="AJ62" s="382"/>
      <c r="AK62" s="382">
        <f t="shared" si="34"/>
        <v>0.47769986364273609</v>
      </c>
      <c r="AL62" s="382">
        <f t="shared" si="35"/>
        <v>0.47769986289495098</v>
      </c>
      <c r="AM62" s="382">
        <f t="shared" si="36"/>
        <v>0.48325864968161619</v>
      </c>
      <c r="AN62" s="382">
        <f t="shared" si="37"/>
        <v>0.48325864968161619</v>
      </c>
      <c r="AO62" s="382">
        <f t="shared" si="17"/>
        <v>39.970548719016719</v>
      </c>
      <c r="AP62" s="382">
        <f t="shared" si="18"/>
        <v>39.970548593877979</v>
      </c>
      <c r="AQ62" s="382">
        <f t="shared" si="19"/>
        <v>40.906200982235795</v>
      </c>
      <c r="AR62" s="382">
        <f t="shared" si="20"/>
        <v>40.906200982235795</v>
      </c>
      <c r="AS62" s="388" t="str">
        <f t="shared" ca="1" si="38"/>
        <v>-</v>
      </c>
      <c r="AT62" s="388" t="str">
        <f t="shared" ca="1" si="39"/>
        <v>-</v>
      </c>
      <c r="AU62" s="388" t="str">
        <f t="shared" ca="1" si="40"/>
        <v>-</v>
      </c>
      <c r="AV62" s="388" t="str">
        <f t="shared" ca="1" si="41"/>
        <v>-</v>
      </c>
      <c r="AW62" s="382" t="e">
        <f>#REF!*SIN(#REF!)</f>
        <v>#REF!</v>
      </c>
      <c r="AX62" s="382" t="e">
        <f>#REF!*SIN(#REF!)</f>
        <v>#REF!</v>
      </c>
      <c r="AY62" s="382"/>
      <c r="AZ62" s="382"/>
      <c r="BA62" s="388" t="str">
        <f t="shared" ca="1" si="21"/>
        <v>-</v>
      </c>
      <c r="BB62" s="388" t="str">
        <f t="shared" ca="1" si="22"/>
        <v>-</v>
      </c>
      <c r="BC62" s="388" t="str">
        <f t="shared" ca="1" si="23"/>
        <v>-</v>
      </c>
      <c r="BD62" s="388" t="str">
        <f t="shared" ca="1" si="24"/>
        <v>-</v>
      </c>
    </row>
    <row r="63" spans="1:56">
      <c r="A63" t="e">
        <f>IF(#REF!=0,A62,#REF!)</f>
        <v>#REF!</v>
      </c>
      <c r="C63" s="381" t="e">
        <f>#REF!</f>
        <v>#REF!</v>
      </c>
      <c r="D63" s="381" t="e">
        <f>#REF!</f>
        <v>#REF!</v>
      </c>
      <c r="E63" t="s">
        <v>133</v>
      </c>
      <c r="F63" t="s">
        <v>133</v>
      </c>
      <c r="G63" s="382" t="str">
        <f ca="1">IFERROR(C63*Changes!$B$1,"-")</f>
        <v>-</v>
      </c>
      <c r="H63" s="382" t="str">
        <f ca="1">IFERROR(D63*Changes!$B$1,"-")</f>
        <v>-</v>
      </c>
      <c r="I63" s="382" t="str">
        <f ca="1">IFERROR(E63*Changes!$B$1,"-")</f>
        <v>-</v>
      </c>
      <c r="J63" s="382" t="str">
        <f ca="1">IFERROR(F63*Changes!$B$1,"-")</f>
        <v>-</v>
      </c>
      <c r="K63" s="383" t="str">
        <f t="shared" ca="1" si="25"/>
        <v>-</v>
      </c>
      <c r="L63" s="383" t="str">
        <f t="shared" ca="1" si="26"/>
        <v>-</v>
      </c>
      <c r="M63" s="383" t="str">
        <f t="shared" ca="1" si="27"/>
        <v>-</v>
      </c>
      <c r="N63" s="383" t="str">
        <f t="shared" ca="1" si="28"/>
        <v>-</v>
      </c>
      <c r="O63" s="384">
        <f>[1]Particles!$B$13</f>
        <v>512373.33725154324</v>
      </c>
      <c r="P63" s="384">
        <f>[1]Particles!$B$5</f>
        <v>3152.8432598003224</v>
      </c>
      <c r="Q63" s="383">
        <f>IFERROR(VLOOKUP("s",[1]md!$A:$E,5,0)*14.3998434/U63*100,"-")</f>
        <v>1334.4597645402923</v>
      </c>
      <c r="R63" s="383">
        <f>IFERROR(VLOOKUP("s",[1]md!$A:$E,5,0)*14.3998434/V63*100,"-")</f>
        <v>1334.4597579146398</v>
      </c>
      <c r="S63" s="383">
        <f>IFERROR(VLOOKUP("s",[1]md!$A:$E,5,0)*14.3998434/W63*100,"-")</f>
        <v>1349.98531875</v>
      </c>
      <c r="T63" s="383">
        <f>IFERROR(VLOOKUP("s",[1]md!$A:$E,5,0)*14.3998434/X63*100,"-")</f>
        <v>1349.98531875</v>
      </c>
      <c r="U63" s="386">
        <v>2.427922408073603</v>
      </c>
      <c r="V63" s="386">
        <v>2.4279224201283469</v>
      </c>
      <c r="W63" s="386">
        <v>2.4</v>
      </c>
      <c r="X63" s="386">
        <v>2.4</v>
      </c>
      <c r="Y63" s="382" t="str">
        <f t="shared" ca="1" si="29"/>
        <v>-</v>
      </c>
      <c r="Z63" s="382" t="str">
        <f t="shared" ca="1" si="30"/>
        <v>-</v>
      </c>
      <c r="AA63" s="382" t="str">
        <f t="shared" ca="1" si="31"/>
        <v>-</v>
      </c>
      <c r="AB63" s="382" t="str">
        <f t="shared" ca="1" si="32"/>
        <v>-</v>
      </c>
      <c r="AC63" s="382" t="str">
        <f ca="1">IFERROR(Changes!$B$2*Rotation!C63,"-")</f>
        <v>-</v>
      </c>
      <c r="AD63" s="382" t="str">
        <f ca="1">IFERROR(Changes!$B$2*Rotation!D63,"-")</f>
        <v>-</v>
      </c>
      <c r="AE63" s="382" t="str">
        <f ca="1">IFERROR(Changes!$B$2*Rotation!E63,"-")</f>
        <v>-</v>
      </c>
      <c r="AF63" s="382" t="str">
        <f ca="1">IFERROR(Changes!$B$2*Rotation!F63,"-")</f>
        <v>-</v>
      </c>
      <c r="AG63" s="382" t="e">
        <f ca="1">(AC63+AD63)*#REF!</f>
        <v>#VALUE!</v>
      </c>
      <c r="AH63" s="382" t="e">
        <f t="shared" ca="1" si="33"/>
        <v>#VALUE!</v>
      </c>
      <c r="AI63" s="382"/>
      <c r="AJ63" s="382"/>
      <c r="AK63" s="382">
        <f t="shared" si="34"/>
        <v>0.47770091637982803</v>
      </c>
      <c r="AL63" s="382">
        <f t="shared" si="35"/>
        <v>0.4777009140080215</v>
      </c>
      <c r="AM63" s="382">
        <f t="shared" si="36"/>
        <v>0.48325864968161619</v>
      </c>
      <c r="AN63" s="382">
        <f t="shared" si="37"/>
        <v>0.48325864968161619</v>
      </c>
      <c r="AO63" s="382">
        <f t="shared" si="17"/>
        <v>39.970724890411319</v>
      </c>
      <c r="AP63" s="382">
        <f t="shared" si="18"/>
        <v>39.97072449349843</v>
      </c>
      <c r="AQ63" s="382">
        <f t="shared" si="19"/>
        <v>40.906200982235795</v>
      </c>
      <c r="AR63" s="382">
        <f t="shared" si="20"/>
        <v>40.906200982235795</v>
      </c>
      <c r="AS63" s="388" t="str">
        <f t="shared" ca="1" si="38"/>
        <v>-</v>
      </c>
      <c r="AT63" s="388" t="str">
        <f t="shared" ca="1" si="39"/>
        <v>-</v>
      </c>
      <c r="AU63" s="388" t="str">
        <f t="shared" ca="1" si="40"/>
        <v>-</v>
      </c>
      <c r="AV63" s="388" t="str">
        <f t="shared" ca="1" si="41"/>
        <v>-</v>
      </c>
      <c r="AW63" s="382" t="e">
        <f>#REF!*SIN(#REF!)</f>
        <v>#REF!</v>
      </c>
      <c r="AX63" s="382" t="e">
        <f>#REF!*SIN(#REF!)</f>
        <v>#REF!</v>
      </c>
      <c r="AY63" s="382"/>
      <c r="AZ63" s="382"/>
      <c r="BA63" s="388" t="str">
        <f t="shared" ca="1" si="21"/>
        <v>-</v>
      </c>
      <c r="BB63" s="388" t="str">
        <f t="shared" ca="1" si="22"/>
        <v>-</v>
      </c>
      <c r="BC63" s="388" t="str">
        <f t="shared" ca="1" si="23"/>
        <v>-</v>
      </c>
      <c r="BD63" s="388" t="str">
        <f t="shared" ca="1" si="24"/>
        <v>-</v>
      </c>
    </row>
    <row r="64" spans="1:56">
      <c r="A64" t="e">
        <f>IF(#REF!=0,A63,#REF!)</f>
        <v>#REF!</v>
      </c>
      <c r="C64" s="381" t="e">
        <f>#REF!</f>
        <v>#REF!</v>
      </c>
      <c r="D64" s="381" t="e">
        <f>#REF!</f>
        <v>#REF!</v>
      </c>
      <c r="E64" t="s">
        <v>133</v>
      </c>
      <c r="F64" t="s">
        <v>133</v>
      </c>
      <c r="G64" s="382" t="str">
        <f ca="1">IFERROR(C64*Changes!$B$1,"-")</f>
        <v>-</v>
      </c>
      <c r="H64" s="382" t="str">
        <f ca="1">IFERROR(D64*Changes!$B$1,"-")</f>
        <v>-</v>
      </c>
      <c r="I64" s="382" t="str">
        <f ca="1">IFERROR(E64*Changes!$B$1,"-")</f>
        <v>-</v>
      </c>
      <c r="J64" s="382" t="str">
        <f ca="1">IFERROR(F64*Changes!$B$1,"-")</f>
        <v>-</v>
      </c>
      <c r="K64" s="383" t="str">
        <f t="shared" ca="1" si="25"/>
        <v>-</v>
      </c>
      <c r="L64" s="383" t="str">
        <f t="shared" ca="1" si="26"/>
        <v>-</v>
      </c>
      <c r="M64" s="383" t="str">
        <f t="shared" ca="1" si="27"/>
        <v>-</v>
      </c>
      <c r="N64" s="383" t="str">
        <f t="shared" ca="1" si="28"/>
        <v>-</v>
      </c>
      <c r="O64" s="384">
        <f>[1]Particles!$B$13</f>
        <v>512373.33725154324</v>
      </c>
      <c r="P64" s="384">
        <f>[1]Particles!$B$5</f>
        <v>3152.8432598003224</v>
      </c>
      <c r="Q64" s="383">
        <f>IFERROR(VLOOKUP("s",[1]md!$A:$E,5,0)*14.3998434/U64*100,"-")</f>
        <v>1334.4591086754597</v>
      </c>
      <c r="R64" s="383">
        <f>IFERROR(VLOOKUP("s",[1]md!$A:$E,5,0)*14.3998434/V64*100,"-")</f>
        <v>1334.459100838101</v>
      </c>
      <c r="S64" s="383">
        <f>IFERROR(VLOOKUP("s",[1]md!$A:$E,5,0)*14.3998434/W64*100,"-")</f>
        <v>1349.98531875</v>
      </c>
      <c r="T64" s="383">
        <f>IFERROR(VLOOKUP("s",[1]md!$A:$E,5,0)*14.3998434/X64*100,"-")</f>
        <v>1349.98531875</v>
      </c>
      <c r="U64" s="386">
        <v>2.4279236013577683</v>
      </c>
      <c r="V64" s="386">
        <v>2.42792361561711</v>
      </c>
      <c r="W64" s="386">
        <v>2.4</v>
      </c>
      <c r="X64" s="386">
        <v>2.4</v>
      </c>
      <c r="Y64" s="382" t="str">
        <f t="shared" ca="1" si="29"/>
        <v>-</v>
      </c>
      <c r="Z64" s="382" t="str">
        <f t="shared" ca="1" si="30"/>
        <v>-</v>
      </c>
      <c r="AA64" s="382" t="str">
        <f t="shared" ca="1" si="31"/>
        <v>-</v>
      </c>
      <c r="AB64" s="382" t="str">
        <f t="shared" ca="1" si="32"/>
        <v>-</v>
      </c>
      <c r="AC64" s="382" t="str">
        <f ca="1">IFERROR(Changes!$B$2*Rotation!C64,"-")</f>
        <v>-</v>
      </c>
      <c r="AD64" s="382" t="str">
        <f ca="1">IFERROR(Changes!$B$2*Rotation!D64,"-")</f>
        <v>-</v>
      </c>
      <c r="AE64" s="382" t="str">
        <f ca="1">IFERROR(Changes!$B$2*Rotation!E64,"-")</f>
        <v>-</v>
      </c>
      <c r="AF64" s="382" t="str">
        <f ca="1">IFERROR(Changes!$B$2*Rotation!F64,"-")</f>
        <v>-</v>
      </c>
      <c r="AG64" s="382" t="e">
        <f ca="1">(AC64+AD64)*#REF!</f>
        <v>#VALUE!</v>
      </c>
      <c r="AH64" s="382" t="e">
        <f t="shared" ca="1" si="33"/>
        <v>#VALUE!</v>
      </c>
      <c r="AI64" s="382"/>
      <c r="AJ64" s="382"/>
      <c r="AK64" s="382">
        <f t="shared" si="34"/>
        <v>0.47770068159775375</v>
      </c>
      <c r="AL64" s="382">
        <f t="shared" si="35"/>
        <v>0.47770067879218886</v>
      </c>
      <c r="AM64" s="382">
        <f t="shared" si="36"/>
        <v>0.48325864968161619</v>
      </c>
      <c r="AN64" s="382">
        <f t="shared" si="37"/>
        <v>0.48325864968161619</v>
      </c>
      <c r="AO64" s="382">
        <f t="shared" si="17"/>
        <v>39.97068560052481</v>
      </c>
      <c r="AP64" s="382">
        <f t="shared" si="18"/>
        <v>39.970685131024325</v>
      </c>
      <c r="AQ64" s="382">
        <f t="shared" si="19"/>
        <v>40.906200982235795</v>
      </c>
      <c r="AR64" s="382">
        <f t="shared" si="20"/>
        <v>40.906200982235795</v>
      </c>
      <c r="AS64" s="388" t="str">
        <f t="shared" ca="1" si="38"/>
        <v>-</v>
      </c>
      <c r="AT64" s="388" t="str">
        <f t="shared" ca="1" si="39"/>
        <v>-</v>
      </c>
      <c r="AU64" s="388" t="str">
        <f t="shared" ca="1" si="40"/>
        <v>-</v>
      </c>
      <c r="AV64" s="388" t="str">
        <f t="shared" ca="1" si="41"/>
        <v>-</v>
      </c>
      <c r="AW64" s="382" t="e">
        <f>#REF!*SIN(#REF!)</f>
        <v>#REF!</v>
      </c>
      <c r="AX64" s="382" t="e">
        <f>#REF!*SIN(#REF!)</f>
        <v>#REF!</v>
      </c>
      <c r="AY64" s="382"/>
      <c r="AZ64" s="382"/>
      <c r="BA64" s="388" t="str">
        <f t="shared" ca="1" si="21"/>
        <v>-</v>
      </c>
      <c r="BB64" s="388" t="str">
        <f t="shared" ca="1" si="22"/>
        <v>-</v>
      </c>
      <c r="BC64" s="388" t="str">
        <f t="shared" ca="1" si="23"/>
        <v>-</v>
      </c>
      <c r="BD64" s="388" t="str">
        <f t="shared" ca="1" si="24"/>
        <v>-</v>
      </c>
    </row>
    <row r="65" spans="1:56">
      <c r="A65" t="e">
        <f>IF(#REF!=0,A64,#REF!)</f>
        <v>#REF!</v>
      </c>
      <c r="C65" s="381" t="e">
        <f>#REF!</f>
        <v>#REF!</v>
      </c>
      <c r="D65" s="381" t="e">
        <f>#REF!</f>
        <v>#REF!</v>
      </c>
      <c r="E65" t="s">
        <v>133</v>
      </c>
      <c r="F65" t="s">
        <v>133</v>
      </c>
      <c r="G65" s="382" t="str">
        <f ca="1">IFERROR(C65*Changes!$B$1,"-")</f>
        <v>-</v>
      </c>
      <c r="H65" s="382" t="str">
        <f ca="1">IFERROR(D65*Changes!$B$1,"-")</f>
        <v>-</v>
      </c>
      <c r="I65" s="382" t="str">
        <f ca="1">IFERROR(E65*Changes!$B$1,"-")</f>
        <v>-</v>
      </c>
      <c r="J65" s="382" t="str">
        <f ca="1">IFERROR(F65*Changes!$B$1,"-")</f>
        <v>-</v>
      </c>
      <c r="K65" s="383" t="str">
        <f t="shared" ca="1" si="25"/>
        <v>-</v>
      </c>
      <c r="L65" s="383" t="str">
        <f t="shared" ca="1" si="26"/>
        <v>-</v>
      </c>
      <c r="M65" s="383" t="str">
        <f t="shared" ca="1" si="27"/>
        <v>-</v>
      </c>
      <c r="N65" s="383" t="str">
        <f t="shared" ca="1" si="28"/>
        <v>-</v>
      </c>
      <c r="O65" s="384">
        <f>[1]Particles!$B$13</f>
        <v>512373.33725154324</v>
      </c>
      <c r="P65" s="384">
        <f>[1]Particles!$B$5</f>
        <v>3152.8432598003224</v>
      </c>
      <c r="Q65" s="383">
        <f>IFERROR(VLOOKUP("s",[1]md!$A:$E,5,0)*14.3998434/U65*100,"-")</f>
        <v>1334.4591086754597</v>
      </c>
      <c r="R65" s="383">
        <f>IFERROR(VLOOKUP("s",[1]md!$A:$E,5,0)*14.3998434/V65*100,"-")</f>
        <v>1334.4591009882342</v>
      </c>
      <c r="S65" s="383">
        <f>IFERROR(VLOOKUP("s",[1]md!$A:$E,5,0)*14.3998434/W65*100,"-")</f>
        <v>1349.98531875</v>
      </c>
      <c r="T65" s="383">
        <f>IFERROR(VLOOKUP("s",[1]md!$A:$E,5,0)*14.3998434/X65*100,"-")</f>
        <v>1349.98531875</v>
      </c>
      <c r="U65" s="386">
        <v>2.4279236013577683</v>
      </c>
      <c r="V65" s="386">
        <v>2.427923615343957</v>
      </c>
      <c r="W65" s="386">
        <v>2.4</v>
      </c>
      <c r="X65" s="386">
        <v>2.4</v>
      </c>
      <c r="Y65" s="382" t="str">
        <f t="shared" ca="1" si="29"/>
        <v>-</v>
      </c>
      <c r="Z65" s="382" t="str">
        <f t="shared" ca="1" si="30"/>
        <v>-</v>
      </c>
      <c r="AA65" s="382" t="str">
        <f t="shared" ca="1" si="31"/>
        <v>-</v>
      </c>
      <c r="AB65" s="382" t="str">
        <f t="shared" ca="1" si="32"/>
        <v>-</v>
      </c>
      <c r="AC65" s="382" t="str">
        <f ca="1">IFERROR(Changes!$B$2*Rotation!C65,"-")</f>
        <v>-</v>
      </c>
      <c r="AD65" s="382" t="str">
        <f ca="1">IFERROR(Changes!$B$2*Rotation!D65,"-")</f>
        <v>-</v>
      </c>
      <c r="AE65" s="382" t="str">
        <f ca="1">IFERROR(Changes!$B$2*Rotation!E65,"-")</f>
        <v>-</v>
      </c>
      <c r="AF65" s="382" t="str">
        <f ca="1">IFERROR(Changes!$B$2*Rotation!F65,"-")</f>
        <v>-</v>
      </c>
      <c r="AG65" s="382" t="e">
        <f ca="1">(AC65+AD65)*#REF!</f>
        <v>#VALUE!</v>
      </c>
      <c r="AH65" s="382" t="e">
        <f t="shared" ca="1" si="33"/>
        <v>#VALUE!</v>
      </c>
      <c r="AI65" s="382"/>
      <c r="AJ65" s="382"/>
      <c r="AK65" s="382">
        <f t="shared" si="34"/>
        <v>0.47770068159775375</v>
      </c>
      <c r="AL65" s="382">
        <f t="shared" si="35"/>
        <v>0.47770067884593248</v>
      </c>
      <c r="AM65" s="382">
        <f t="shared" si="36"/>
        <v>0.48325864968161619</v>
      </c>
      <c r="AN65" s="382">
        <f t="shared" si="37"/>
        <v>0.48325864968161619</v>
      </c>
      <c r="AO65" s="382">
        <f t="shared" si="17"/>
        <v>39.97068560052481</v>
      </c>
      <c r="AP65" s="382">
        <f t="shared" si="18"/>
        <v>39.970685140018112</v>
      </c>
      <c r="AQ65" s="382">
        <f t="shared" si="19"/>
        <v>40.906200982235795</v>
      </c>
      <c r="AR65" s="382">
        <f t="shared" si="20"/>
        <v>40.906200982235795</v>
      </c>
      <c r="AS65" s="388" t="str">
        <f t="shared" ca="1" si="38"/>
        <v>-</v>
      </c>
      <c r="AT65" s="388" t="str">
        <f t="shared" ca="1" si="39"/>
        <v>-</v>
      </c>
      <c r="AU65" s="388" t="str">
        <f t="shared" ca="1" si="40"/>
        <v>-</v>
      </c>
      <c r="AV65" s="388" t="str">
        <f t="shared" ca="1" si="41"/>
        <v>-</v>
      </c>
      <c r="AW65" s="382" t="e">
        <f>#REF!*SIN(#REF!)</f>
        <v>#REF!</v>
      </c>
      <c r="AX65" s="382" t="e">
        <f>#REF!*SIN(#REF!)</f>
        <v>#REF!</v>
      </c>
      <c r="AY65" s="382"/>
      <c r="AZ65" s="382"/>
      <c r="BA65" s="388" t="str">
        <f t="shared" ca="1" si="21"/>
        <v>-</v>
      </c>
      <c r="BB65" s="388" t="str">
        <f t="shared" ca="1" si="22"/>
        <v>-</v>
      </c>
      <c r="BC65" s="388" t="str">
        <f t="shared" ca="1" si="23"/>
        <v>-</v>
      </c>
      <c r="BD65" s="388" t="str">
        <f t="shared" ca="1" si="24"/>
        <v>-</v>
      </c>
    </row>
    <row r="66" spans="1:56">
      <c r="A66" t="e">
        <f>IF(#REF!=0,A65,#REF!)</f>
        <v>#REF!</v>
      </c>
      <c r="C66" s="381" t="e">
        <f>#REF!</f>
        <v>#REF!</v>
      </c>
      <c r="D66" s="381" t="e">
        <f>#REF!</f>
        <v>#REF!</v>
      </c>
      <c r="E66" t="s">
        <v>133</v>
      </c>
      <c r="F66" t="s">
        <v>133</v>
      </c>
      <c r="G66" s="382" t="str">
        <f ca="1">IFERROR(C66*Changes!$B$1,"-")</f>
        <v>-</v>
      </c>
      <c r="H66" s="382" t="str">
        <f ca="1">IFERROR(D66*Changes!$B$1,"-")</f>
        <v>-</v>
      </c>
      <c r="I66" s="382" t="str">
        <f ca="1">IFERROR(E66*Changes!$B$1,"-")</f>
        <v>-</v>
      </c>
      <c r="J66" s="382" t="str">
        <f ca="1">IFERROR(F66*Changes!$B$1,"-")</f>
        <v>-</v>
      </c>
      <c r="K66" s="383" t="str">
        <f t="shared" ref="K66:K97" ca="1" si="42">IFERROR($O66-G66-Q66-AC66-AO66,"-")</f>
        <v>-</v>
      </c>
      <c r="L66" s="383" t="str">
        <f t="shared" ref="L66:L97" ca="1" si="43">IFERROR($O66-H66-R66-AD66-AP66,"-")</f>
        <v>-</v>
      </c>
      <c r="M66" s="383" t="str">
        <f t="shared" ref="M66:M97" ca="1" si="44">IFERROR($O66-I66-S66-AE66-AQ66,"-")</f>
        <v>-</v>
      </c>
      <c r="N66" s="383" t="str">
        <f t="shared" ref="N66:N97" ca="1" si="45">IFERROR($O66-J66-T66-AF66-AR66,"-")</f>
        <v>-</v>
      </c>
      <c r="O66" s="384">
        <f>[1]Particles!$B$13</f>
        <v>512373.33725154324</v>
      </c>
      <c r="P66" s="384">
        <f>[1]Particles!$B$5</f>
        <v>3152.8432598003224</v>
      </c>
      <c r="Q66" s="383">
        <f>IFERROR(VLOOKUP("s",[1]md!$A:$E,5,0)*14.3998434/U66*100,"-")</f>
        <v>1334.4591425299561</v>
      </c>
      <c r="R66" s="383">
        <f>IFERROR(VLOOKUP("s",[1]md!$A:$E,5,0)*14.3998434/V66*100,"-")</f>
        <v>1334.4673974420973</v>
      </c>
      <c r="S66" s="383">
        <f>IFERROR(VLOOKUP("s",[1]md!$A:$E,5,0)*14.3998434/W66*100,"-")</f>
        <v>1349.98531875</v>
      </c>
      <c r="T66" s="383">
        <f>IFERROR(VLOOKUP("s",[1]md!$A:$E,5,0)*14.3998434/X66*100,"-")</f>
        <v>1349.98531875</v>
      </c>
      <c r="U66" s="386">
        <v>2.4279235397626784</v>
      </c>
      <c r="V66" s="386">
        <v>2.4279085208153859</v>
      </c>
      <c r="W66" s="386">
        <v>2.4</v>
      </c>
      <c r="X66" s="386">
        <v>2.4</v>
      </c>
      <c r="Y66" s="382" t="str">
        <f t="shared" ref="Y66:Y97" ca="1" si="46">IFERROR(6.582119514/K66*3*2*PI()*10^4,"-")</f>
        <v>-</v>
      </c>
      <c r="Z66" s="382" t="str">
        <f t="shared" ref="Z66:Z97" ca="1" si="47">IFERROR(6.582119514/L66*3*2*PI()*10^4,"-")</f>
        <v>-</v>
      </c>
      <c r="AA66" s="382" t="str">
        <f t="shared" ref="AA66:AA97" ca="1" si="48">IFERROR(6.582119514/M66*3*2*PI()*10^4,"-")</f>
        <v>-</v>
      </c>
      <c r="AB66" s="382" t="str">
        <f t="shared" ref="AB66:AB97" ca="1" si="49">IFERROR(6.582119514/N66*3*2*PI()*10^4,"-")</f>
        <v>-</v>
      </c>
      <c r="AC66" s="382" t="str">
        <f ca="1">IFERROR(Changes!$B$2*Rotation!C66,"-")</f>
        <v>-</v>
      </c>
      <c r="AD66" s="382" t="str">
        <f ca="1">IFERROR(Changes!$B$2*Rotation!D66,"-")</f>
        <v>-</v>
      </c>
      <c r="AE66" s="382" t="str">
        <f ca="1">IFERROR(Changes!$B$2*Rotation!E66,"-")</f>
        <v>-</v>
      </c>
      <c r="AF66" s="382" t="str">
        <f ca="1">IFERROR(Changes!$B$2*Rotation!F66,"-")</f>
        <v>-</v>
      </c>
      <c r="AG66" s="382" t="e">
        <f ca="1">(AC66+AD66)*#REF!</f>
        <v>#VALUE!</v>
      </c>
      <c r="AH66" s="382" t="e">
        <f t="shared" ref="AH66:AH97" ca="1" si="50">AC66+AD66-AG66</f>
        <v>#VALUE!</v>
      </c>
      <c r="AI66" s="382"/>
      <c r="AJ66" s="382"/>
      <c r="AK66" s="382">
        <f t="shared" ref="AK66:AK97" si="51">IFERROR((0.5*6.582119514/U66/$P66)*100/9*100,"-")</f>
        <v>0.47770069371675833</v>
      </c>
      <c r="AL66" s="382">
        <f t="shared" ref="AL66:AL97" si="52">IFERROR((0.5*6.582119514/V66/$P66)*100/9*100,"-")</f>
        <v>0.47770364875459403</v>
      </c>
      <c r="AM66" s="382">
        <f t="shared" ref="AM66:AM97" si="53">IFERROR((0.5*6.582119514/W66/$P66)*100/9*100,"-")</f>
        <v>0.48325864968161619</v>
      </c>
      <c r="AN66" s="382">
        <f t="shared" ref="AN66:AN97" si="54">IFERROR((0.5*6.582119514/X66/$P66)*100/9*100,"-")</f>
        <v>0.48325864968161619</v>
      </c>
      <c r="AO66" s="382">
        <f t="shared" si="17"/>
        <v>39.97068762859363</v>
      </c>
      <c r="AP66" s="382">
        <f t="shared" si="18"/>
        <v>39.971182144348546</v>
      </c>
      <c r="AQ66" s="382">
        <f t="shared" si="19"/>
        <v>40.906200982235795</v>
      </c>
      <c r="AR66" s="382">
        <f t="shared" si="20"/>
        <v>40.906200982235795</v>
      </c>
      <c r="AS66" s="388" t="str">
        <f t="shared" ref="AS66:AS97" ca="1" si="55">IFERROR((2*AG66/-K66)^0.5*3,"-")</f>
        <v>-</v>
      </c>
      <c r="AT66" s="388" t="str">
        <f t="shared" ref="AT66:AT97" ca="1" si="56">IFERROR((2*AH66/-L66)^0.5*3,"-")</f>
        <v>-</v>
      </c>
      <c r="AU66" s="388" t="str">
        <f t="shared" ref="AU66:AU97" ca="1" si="57">IFERROR((2*AI66/-M66)^0.5*3,"-")</f>
        <v>-</v>
      </c>
      <c r="AV66" s="388" t="str">
        <f t="shared" ref="AV66:AV97" ca="1" si="58">IFERROR((2*AJ66/-N66)^0.5*3,"-")</f>
        <v>-</v>
      </c>
      <c r="AW66" s="382" t="e">
        <f>#REF!*SIN(#REF!)</f>
        <v>#REF!</v>
      </c>
      <c r="AX66" s="382" t="e">
        <f>#REF!*SIN(#REF!)</f>
        <v>#REF!</v>
      </c>
      <c r="AY66" s="382"/>
      <c r="AZ66" s="382"/>
      <c r="BA66" s="388" t="str">
        <f t="shared" ca="1" si="21"/>
        <v>-</v>
      </c>
      <c r="BB66" s="388" t="str">
        <f t="shared" ca="1" si="22"/>
        <v>-</v>
      </c>
      <c r="BC66" s="388" t="str">
        <f t="shared" ca="1" si="23"/>
        <v>-</v>
      </c>
      <c r="BD66" s="388" t="str">
        <f t="shared" ca="1" si="24"/>
        <v>-</v>
      </c>
    </row>
    <row r="67" spans="1:56">
      <c r="A67" t="e">
        <f>IF(#REF!=0,A66,#REF!)</f>
        <v>#REF!</v>
      </c>
      <c r="C67" s="381" t="e">
        <f>#REF!</f>
        <v>#REF!</v>
      </c>
      <c r="D67" s="381" t="e">
        <f>#REF!</f>
        <v>#REF!</v>
      </c>
      <c r="E67" t="s">
        <v>133</v>
      </c>
      <c r="F67" t="s">
        <v>133</v>
      </c>
      <c r="G67" s="382" t="str">
        <f ca="1">IFERROR(C67*Changes!$B$1,"-")</f>
        <v>-</v>
      </c>
      <c r="H67" s="382" t="str">
        <f ca="1">IFERROR(D67*Changes!$B$1,"-")</f>
        <v>-</v>
      </c>
      <c r="I67" s="382" t="str">
        <f ca="1">IFERROR(E67*Changes!$B$1,"-")</f>
        <v>-</v>
      </c>
      <c r="J67" s="382" t="str">
        <f ca="1">IFERROR(F67*Changes!$B$1,"-")</f>
        <v>-</v>
      </c>
      <c r="K67" s="383" t="str">
        <f t="shared" ca="1" si="42"/>
        <v>-</v>
      </c>
      <c r="L67" s="383" t="str">
        <f t="shared" ca="1" si="43"/>
        <v>-</v>
      </c>
      <c r="M67" s="383" t="str">
        <f t="shared" ca="1" si="44"/>
        <v>-</v>
      </c>
      <c r="N67" s="383" t="str">
        <f t="shared" ca="1" si="45"/>
        <v>-</v>
      </c>
      <c r="O67" s="384">
        <f>[1]Particles!$B$13</f>
        <v>512373.33725154324</v>
      </c>
      <c r="P67" s="384">
        <f>[1]Particles!$B$5</f>
        <v>3152.8432598003224</v>
      </c>
      <c r="Q67" s="383">
        <f>IFERROR(VLOOKUP("s",[1]md!$A:$E,5,0)*14.3998434/U67*100,"-")</f>
        <v>1334.4591425299561</v>
      </c>
      <c r="R67" s="383">
        <f>IFERROR(VLOOKUP("s",[1]md!$A:$E,5,0)*14.3998434/V67*100,"-")</f>
        <v>1334.4673987909819</v>
      </c>
      <c r="S67" s="383">
        <f>IFERROR(VLOOKUP("s",[1]md!$A:$E,5,0)*14.3998434/W67*100,"-")</f>
        <v>1349.98531875</v>
      </c>
      <c r="T67" s="383">
        <f>IFERROR(VLOOKUP("s",[1]md!$A:$E,5,0)*14.3998434/X67*100,"-")</f>
        <v>1349.98531875</v>
      </c>
      <c r="U67" s="386">
        <v>2.4279235397626784</v>
      </c>
      <c r="V67" s="386">
        <v>2.4279085183612468</v>
      </c>
      <c r="W67" s="386">
        <v>2.4</v>
      </c>
      <c r="X67" s="386">
        <v>2.4</v>
      </c>
      <c r="Y67" s="382" t="str">
        <f t="shared" ca="1" si="46"/>
        <v>-</v>
      </c>
      <c r="Z67" s="382" t="str">
        <f t="shared" ca="1" si="47"/>
        <v>-</v>
      </c>
      <c r="AA67" s="382" t="str">
        <f t="shared" ca="1" si="48"/>
        <v>-</v>
      </c>
      <c r="AB67" s="382" t="str">
        <f t="shared" ca="1" si="49"/>
        <v>-</v>
      </c>
      <c r="AC67" s="382" t="str">
        <f ca="1">IFERROR(Changes!$B$2*Rotation!C67,"-")</f>
        <v>-</v>
      </c>
      <c r="AD67" s="382" t="str">
        <f ca="1">IFERROR(Changes!$B$2*Rotation!D67,"-")</f>
        <v>-</v>
      </c>
      <c r="AE67" s="382" t="str">
        <f ca="1">IFERROR(Changes!$B$2*Rotation!E67,"-")</f>
        <v>-</v>
      </c>
      <c r="AF67" s="382" t="str">
        <f ca="1">IFERROR(Changes!$B$2*Rotation!F67,"-")</f>
        <v>-</v>
      </c>
      <c r="AG67" s="382" t="e">
        <f ca="1">(AC67+AD67)*#REF!</f>
        <v>#VALUE!</v>
      </c>
      <c r="AH67" s="382" t="e">
        <f t="shared" ca="1" si="50"/>
        <v>#VALUE!</v>
      </c>
      <c r="AI67" s="382"/>
      <c r="AJ67" s="382"/>
      <c r="AK67" s="382">
        <f t="shared" si="51"/>
        <v>0.47770069371675833</v>
      </c>
      <c r="AL67" s="382">
        <f t="shared" si="52"/>
        <v>0.47770364923745873</v>
      </c>
      <c r="AM67" s="382">
        <f t="shared" si="53"/>
        <v>0.48325864968161619</v>
      </c>
      <c r="AN67" s="382">
        <f t="shared" si="54"/>
        <v>0.48325864968161619</v>
      </c>
      <c r="AO67" s="382">
        <f t="shared" ref="AO67:AO141" si="59">IFERROR(0.5*$P67*AK67^2/9,"-")</f>
        <v>39.97068762859363</v>
      </c>
      <c r="AP67" s="382">
        <f t="shared" ref="AP67:AP141" si="60">IFERROR(0.5*$P67*AL67^2/9,"-")</f>
        <v>39.971182225154593</v>
      </c>
      <c r="AQ67" s="382">
        <f t="shared" ref="AQ67:AQ141" si="61">IFERROR(0.5*$P67*AM67^2/9,"-")</f>
        <v>40.906200982235795</v>
      </c>
      <c r="AR67" s="382">
        <f t="shared" ref="AR67:AR141" si="62">IFERROR(0.5*$P67*AN67^2/9,"-")</f>
        <v>40.906200982235795</v>
      </c>
      <c r="AS67" s="388" t="str">
        <f t="shared" ca="1" si="55"/>
        <v>-</v>
      </c>
      <c r="AT67" s="388" t="str">
        <f t="shared" ca="1" si="56"/>
        <v>-</v>
      </c>
      <c r="AU67" s="388" t="str">
        <f t="shared" ca="1" si="57"/>
        <v>-</v>
      </c>
      <c r="AV67" s="388" t="str">
        <f t="shared" ca="1" si="58"/>
        <v>-</v>
      </c>
      <c r="AW67" s="382" t="e">
        <f>#REF!*SIN(#REF!)</f>
        <v>#REF!</v>
      </c>
      <c r="AX67" s="382" t="e">
        <f>#REF!*SIN(#REF!)</f>
        <v>#REF!</v>
      </c>
      <c r="AY67" s="382"/>
      <c r="AZ67" s="382"/>
      <c r="BA67" s="388" t="str">
        <f t="shared" ref="BA67:BA141" ca="1" si="63">IFERROR(AS67/AW67,"-")</f>
        <v>-</v>
      </c>
      <c r="BB67" s="388" t="str">
        <f t="shared" ref="BB67:BB141" ca="1" si="64">IFERROR(AT67/AX67,"-")</f>
        <v>-</v>
      </c>
      <c r="BC67" s="388" t="str">
        <f t="shared" ref="BC67:BC141" ca="1" si="65">IFERROR(AU67/AY67,"-")</f>
        <v>-</v>
      </c>
      <c r="BD67" s="388" t="str">
        <f t="shared" ref="BD67:BD141" ca="1" si="66">IFERROR(AV67/AZ67,"-")</f>
        <v>-</v>
      </c>
    </row>
    <row r="68" spans="1:56">
      <c r="A68" t="e">
        <f>IF(#REF!=0,A67,#REF!)</f>
        <v>#REF!</v>
      </c>
      <c r="C68" s="381" t="e">
        <f>#REF!</f>
        <v>#REF!</v>
      </c>
      <c r="D68" s="381" t="e">
        <f>#REF!</f>
        <v>#REF!</v>
      </c>
      <c r="E68" t="s">
        <v>133</v>
      </c>
      <c r="F68" t="s">
        <v>133</v>
      </c>
      <c r="G68" s="382" t="str">
        <f ca="1">IFERROR(C68*Changes!$B$1,"-")</f>
        <v>-</v>
      </c>
      <c r="H68" s="382" t="str">
        <f ca="1">IFERROR(D68*Changes!$B$1,"-")</f>
        <v>-</v>
      </c>
      <c r="I68" s="382" t="str">
        <f ca="1">IFERROR(E68*Changes!$B$1,"-")</f>
        <v>-</v>
      </c>
      <c r="J68" s="382" t="str">
        <f ca="1">IFERROR(F68*Changes!$B$1,"-")</f>
        <v>-</v>
      </c>
      <c r="K68" s="383" t="str">
        <f t="shared" ca="1" si="42"/>
        <v>-</v>
      </c>
      <c r="L68" s="383" t="str">
        <f t="shared" ca="1" si="43"/>
        <v>-</v>
      </c>
      <c r="M68" s="383" t="str">
        <f t="shared" ca="1" si="44"/>
        <v>-</v>
      </c>
      <c r="N68" s="383" t="str">
        <f t="shared" ca="1" si="45"/>
        <v>-</v>
      </c>
      <c r="O68" s="384">
        <f>[1]Particles!$B$13</f>
        <v>512373.33725154324</v>
      </c>
      <c r="P68" s="384">
        <f>[1]Particles!$B$5</f>
        <v>3152.8432598003224</v>
      </c>
      <c r="Q68" s="383">
        <f>IFERROR(VLOOKUP("s",[1]md!$A:$E,5,0)*14.3998434/U68*100,"-")</f>
        <v>1334.4560640508801</v>
      </c>
      <c r="R68" s="383">
        <f>IFERROR(VLOOKUP("s",[1]md!$A:$E,5,0)*14.3998434/V68*100,"-")</f>
        <v>1334.4560640498378</v>
      </c>
      <c r="S68" s="383">
        <f>IFERROR(VLOOKUP("s",[1]md!$A:$E,5,0)*14.3998434/W68*100,"-")</f>
        <v>1349.98531875</v>
      </c>
      <c r="T68" s="383">
        <f>IFERROR(VLOOKUP("s",[1]md!$A:$E,5,0)*14.3998434/X68*100,"-")</f>
        <v>1349.98531875</v>
      </c>
      <c r="U68" s="386">
        <v>2.4279291407802144</v>
      </c>
      <c r="V68" s="386">
        <v>2.4279291407821106</v>
      </c>
      <c r="W68" s="386">
        <v>2.4</v>
      </c>
      <c r="X68" s="386">
        <v>2.4</v>
      </c>
      <c r="Y68" s="382" t="str">
        <f t="shared" ca="1" si="46"/>
        <v>-</v>
      </c>
      <c r="Z68" s="382" t="str">
        <f t="shared" ca="1" si="47"/>
        <v>-</v>
      </c>
      <c r="AA68" s="382" t="str">
        <f t="shared" ca="1" si="48"/>
        <v>-</v>
      </c>
      <c r="AB68" s="382" t="str">
        <f t="shared" ca="1" si="49"/>
        <v>-</v>
      </c>
      <c r="AC68" s="382" t="str">
        <f ca="1">IFERROR(Changes!$B$2*Rotation!C68,"-")</f>
        <v>-</v>
      </c>
      <c r="AD68" s="382" t="str">
        <f ca="1">IFERROR(Changes!$B$2*Rotation!D68,"-")</f>
        <v>-</v>
      </c>
      <c r="AE68" s="382" t="str">
        <f ca="1">IFERROR(Changes!$B$2*Rotation!E68,"-")</f>
        <v>-</v>
      </c>
      <c r="AF68" s="382" t="str">
        <f ca="1">IFERROR(Changes!$B$2*Rotation!F68,"-")</f>
        <v>-</v>
      </c>
      <c r="AG68" s="382" t="e">
        <f ca="1">(AC68+AD68)*#REF!</f>
        <v>#VALUE!</v>
      </c>
      <c r="AH68" s="382" t="e">
        <f t="shared" ca="1" si="50"/>
        <v>#VALUE!</v>
      </c>
      <c r="AI68" s="382"/>
      <c r="AJ68" s="382"/>
      <c r="AK68" s="382">
        <f t="shared" si="51"/>
        <v>0.47769959170355814</v>
      </c>
      <c r="AL68" s="382">
        <f t="shared" si="52"/>
        <v>0.47769959170318499</v>
      </c>
      <c r="AM68" s="382">
        <f t="shared" si="53"/>
        <v>0.48325864968161619</v>
      </c>
      <c r="AN68" s="382">
        <f t="shared" si="54"/>
        <v>0.48325864968161619</v>
      </c>
      <c r="AO68" s="382">
        <f t="shared" si="59"/>
        <v>39.97050321113241</v>
      </c>
      <c r="AP68" s="382">
        <f t="shared" si="60"/>
        <v>39.970503211069961</v>
      </c>
      <c r="AQ68" s="382">
        <f t="shared" si="61"/>
        <v>40.906200982235795</v>
      </c>
      <c r="AR68" s="382">
        <f t="shared" si="62"/>
        <v>40.906200982235795</v>
      </c>
      <c r="AS68" s="388" t="str">
        <f t="shared" ca="1" si="55"/>
        <v>-</v>
      </c>
      <c r="AT68" s="388" t="str">
        <f t="shared" ca="1" si="56"/>
        <v>-</v>
      </c>
      <c r="AU68" s="388" t="str">
        <f t="shared" ca="1" si="57"/>
        <v>-</v>
      </c>
      <c r="AV68" s="388" t="str">
        <f t="shared" ca="1" si="58"/>
        <v>-</v>
      </c>
      <c r="AW68" s="382" t="e">
        <f>#REF!*SIN(#REF!)</f>
        <v>#REF!</v>
      </c>
      <c r="AX68" s="382" t="e">
        <f>#REF!*SIN(#REF!)</f>
        <v>#REF!</v>
      </c>
      <c r="AY68" s="382"/>
      <c r="AZ68" s="382"/>
      <c r="BA68" s="388" t="str">
        <f t="shared" ca="1" si="63"/>
        <v>-</v>
      </c>
      <c r="BB68" s="388" t="str">
        <f t="shared" ca="1" si="64"/>
        <v>-</v>
      </c>
      <c r="BC68" s="388" t="str">
        <f t="shared" ca="1" si="65"/>
        <v>-</v>
      </c>
      <c r="BD68" s="388" t="str">
        <f t="shared" ca="1" si="66"/>
        <v>-</v>
      </c>
    </row>
    <row r="69" spans="1:56">
      <c r="A69" t="e">
        <f>IF(#REF!=0,A68,#REF!)</f>
        <v>#REF!</v>
      </c>
      <c r="C69" s="381" t="e">
        <f>#REF!</f>
        <v>#REF!</v>
      </c>
      <c r="D69" s="381" t="e">
        <f>#REF!</f>
        <v>#REF!</v>
      </c>
      <c r="E69" t="s">
        <v>133</v>
      </c>
      <c r="F69" t="s">
        <v>133</v>
      </c>
      <c r="G69" s="382" t="str">
        <f ca="1">IFERROR(C69*Changes!$B$1,"-")</f>
        <v>-</v>
      </c>
      <c r="H69" s="382" t="str">
        <f ca="1">IFERROR(D69*Changes!$B$1,"-")</f>
        <v>-</v>
      </c>
      <c r="I69" s="382" t="str">
        <f ca="1">IFERROR(E69*Changes!$B$1,"-")</f>
        <v>-</v>
      </c>
      <c r="J69" s="382" t="str">
        <f ca="1">IFERROR(F69*Changes!$B$1,"-")</f>
        <v>-</v>
      </c>
      <c r="K69" s="383" t="str">
        <f t="shared" ca="1" si="42"/>
        <v>-</v>
      </c>
      <c r="L69" s="383" t="str">
        <f t="shared" ca="1" si="43"/>
        <v>-</v>
      </c>
      <c r="M69" s="383" t="str">
        <f t="shared" ca="1" si="44"/>
        <v>-</v>
      </c>
      <c r="N69" s="383" t="str">
        <f t="shared" ca="1" si="45"/>
        <v>-</v>
      </c>
      <c r="O69" s="384">
        <f>[1]Particles!$B$13</f>
        <v>512373.33725154324</v>
      </c>
      <c r="P69" s="384">
        <f>[1]Particles!$B$5</f>
        <v>3152.8432598003224</v>
      </c>
      <c r="Q69" s="383">
        <f>IFERROR(VLOOKUP("s",[1]md!$A:$E,5,0)*14.3998434/U69*100,"-")</f>
        <v>1334.4561665486231</v>
      </c>
      <c r="R69" s="383">
        <f>IFERROR(VLOOKUP("s",[1]md!$A:$E,5,0)*14.3998434/V69*100,"-")</f>
        <v>1334.4561664270004</v>
      </c>
      <c r="S69" s="383">
        <f>IFERROR(VLOOKUP("s",[1]md!$A:$E,5,0)*14.3998434/W69*100,"-")</f>
        <v>1349.98531875</v>
      </c>
      <c r="T69" s="383">
        <f>IFERROR(VLOOKUP("s",[1]md!$A:$E,5,0)*14.3998434/X69*100,"-")</f>
        <v>1349.98531875</v>
      </c>
      <c r="U69" s="386">
        <v>2.4279289542943161</v>
      </c>
      <c r="V69" s="386">
        <v>2.4279289545155978</v>
      </c>
      <c r="W69" s="386">
        <v>2.4</v>
      </c>
      <c r="X69" s="386">
        <v>2.4</v>
      </c>
      <c r="Y69" s="382" t="str">
        <f t="shared" ca="1" si="46"/>
        <v>-</v>
      </c>
      <c r="Z69" s="382" t="str">
        <f t="shared" ca="1" si="47"/>
        <v>-</v>
      </c>
      <c r="AA69" s="382" t="str">
        <f t="shared" ca="1" si="48"/>
        <v>-</v>
      </c>
      <c r="AB69" s="382" t="str">
        <f t="shared" ca="1" si="49"/>
        <v>-</v>
      </c>
      <c r="AC69" s="382" t="str">
        <f ca="1">IFERROR(Changes!$B$2*Rotation!C69,"-")</f>
        <v>-</v>
      </c>
      <c r="AD69" s="382" t="str">
        <f ca="1">IFERROR(Changes!$B$2*Rotation!D69,"-")</f>
        <v>-</v>
      </c>
      <c r="AE69" s="382" t="str">
        <f ca="1">IFERROR(Changes!$B$2*Rotation!E69,"-")</f>
        <v>-</v>
      </c>
      <c r="AF69" s="382" t="str">
        <f ca="1">IFERROR(Changes!$B$2*Rotation!F69,"-")</f>
        <v>-</v>
      </c>
      <c r="AG69" s="382" t="e">
        <f ca="1">(AC69+AD69)*#REF!</f>
        <v>#VALUE!</v>
      </c>
      <c r="AH69" s="382" t="e">
        <f t="shared" ca="1" si="50"/>
        <v>#VALUE!</v>
      </c>
      <c r="AI69" s="382"/>
      <c r="AJ69" s="382"/>
      <c r="AK69" s="382">
        <f t="shared" si="51"/>
        <v>0.47769962839500962</v>
      </c>
      <c r="AL69" s="382">
        <f t="shared" si="52"/>
        <v>0.47769962835147201</v>
      </c>
      <c r="AM69" s="382">
        <f t="shared" si="53"/>
        <v>0.48325864968161619</v>
      </c>
      <c r="AN69" s="382">
        <f t="shared" si="54"/>
        <v>0.48325864968161619</v>
      </c>
      <c r="AO69" s="382">
        <f t="shared" si="59"/>
        <v>39.970509351291874</v>
      </c>
      <c r="AP69" s="382">
        <f t="shared" si="60"/>
        <v>39.970509344006039</v>
      </c>
      <c r="AQ69" s="382">
        <f t="shared" si="61"/>
        <v>40.906200982235795</v>
      </c>
      <c r="AR69" s="382">
        <f t="shared" si="62"/>
        <v>40.906200982235795</v>
      </c>
      <c r="AS69" s="388" t="str">
        <f t="shared" ca="1" si="55"/>
        <v>-</v>
      </c>
      <c r="AT69" s="388" t="str">
        <f t="shared" ca="1" si="56"/>
        <v>-</v>
      </c>
      <c r="AU69" s="388" t="str">
        <f t="shared" ca="1" si="57"/>
        <v>-</v>
      </c>
      <c r="AV69" s="388" t="str">
        <f t="shared" ca="1" si="58"/>
        <v>-</v>
      </c>
      <c r="AW69" s="382" t="e">
        <f>#REF!*SIN(#REF!)</f>
        <v>#REF!</v>
      </c>
      <c r="AX69" s="382" t="e">
        <f>#REF!*SIN(#REF!)</f>
        <v>#REF!</v>
      </c>
      <c r="AY69" s="382"/>
      <c r="AZ69" s="382"/>
      <c r="BA69" s="388" t="str">
        <f t="shared" ca="1" si="63"/>
        <v>-</v>
      </c>
      <c r="BB69" s="388" t="str">
        <f t="shared" ca="1" si="64"/>
        <v>-</v>
      </c>
      <c r="BC69" s="388" t="str">
        <f t="shared" ca="1" si="65"/>
        <v>-</v>
      </c>
      <c r="BD69" s="388" t="str">
        <f t="shared" ca="1" si="66"/>
        <v>-</v>
      </c>
    </row>
    <row r="70" spans="1:56">
      <c r="A70" t="e">
        <f>IF(#REF!=0,A69,#REF!)</f>
        <v>#REF!</v>
      </c>
      <c r="C70" s="381" t="e">
        <f>#REF!</f>
        <v>#REF!</v>
      </c>
      <c r="D70" s="381" t="e">
        <f>#REF!</f>
        <v>#REF!</v>
      </c>
      <c r="E70" t="s">
        <v>133</v>
      </c>
      <c r="F70" t="s">
        <v>133</v>
      </c>
      <c r="G70" s="382" t="str">
        <f ca="1">IFERROR(C70*Changes!$B$1,"-")</f>
        <v>-</v>
      </c>
      <c r="H70" s="382" t="str">
        <f ca="1">IFERROR(D70*Changes!$B$1,"-")</f>
        <v>-</v>
      </c>
      <c r="I70" s="382" t="str">
        <f ca="1">IFERROR(E70*Changes!$B$1,"-")</f>
        <v>-</v>
      </c>
      <c r="J70" s="382" t="str">
        <f ca="1">IFERROR(F70*Changes!$B$1,"-")</f>
        <v>-</v>
      </c>
      <c r="K70" s="383" t="str">
        <f t="shared" ca="1" si="42"/>
        <v>-</v>
      </c>
      <c r="L70" s="383" t="str">
        <f t="shared" ca="1" si="43"/>
        <v>-</v>
      </c>
      <c r="M70" s="383" t="str">
        <f t="shared" ca="1" si="44"/>
        <v>-</v>
      </c>
      <c r="N70" s="383" t="str">
        <f t="shared" ca="1" si="45"/>
        <v>-</v>
      </c>
      <c r="O70" s="384">
        <f>[1]Particles!$B$13</f>
        <v>512373.33725154324</v>
      </c>
      <c r="P70" s="384">
        <f>[1]Particles!$B$5</f>
        <v>3152.8432598003224</v>
      </c>
      <c r="Q70" s="383">
        <f>IFERROR(VLOOKUP("s",[1]md!$A:$E,5,0)*14.3998434/U70*100,"-")</f>
        <v>1334.4489523265568</v>
      </c>
      <c r="R70" s="383">
        <f>IFERROR(VLOOKUP("s",[1]md!$A:$E,5,0)*14.3998434/V70*100,"-")</f>
        <v>1334.456316946734</v>
      </c>
      <c r="S70" s="383">
        <f>IFERROR(VLOOKUP("s",[1]md!$A:$E,5,0)*14.3998434/W70*100,"-")</f>
        <v>1349.98531875</v>
      </c>
      <c r="T70" s="383">
        <f>IFERROR(VLOOKUP("s",[1]md!$A:$E,5,0)*14.3998434/X70*100,"-")</f>
        <v>1349.98531875</v>
      </c>
      <c r="U70" s="386">
        <v>2.4279420800258076</v>
      </c>
      <c r="V70" s="386">
        <v>2.4279286806578368</v>
      </c>
      <c r="W70" s="386">
        <v>2.4</v>
      </c>
      <c r="X70" s="386">
        <v>2.4</v>
      </c>
      <c r="Y70" s="382" t="str">
        <f t="shared" ca="1" si="46"/>
        <v>-</v>
      </c>
      <c r="Z70" s="382" t="str">
        <f t="shared" ca="1" si="47"/>
        <v>-</v>
      </c>
      <c r="AA70" s="382" t="str">
        <f t="shared" ca="1" si="48"/>
        <v>-</v>
      </c>
      <c r="AB70" s="382" t="str">
        <f t="shared" ca="1" si="49"/>
        <v>-</v>
      </c>
      <c r="AC70" s="382" t="str">
        <f ca="1">IFERROR(Changes!$B$2*Rotation!C70,"-")</f>
        <v>-</v>
      </c>
      <c r="AD70" s="382" t="str">
        <f ca="1">IFERROR(Changes!$B$2*Rotation!D70,"-")</f>
        <v>-</v>
      </c>
      <c r="AE70" s="382" t="str">
        <f ca="1">IFERROR(Changes!$B$2*Rotation!E70,"-")</f>
        <v>-</v>
      </c>
      <c r="AF70" s="382" t="str">
        <f ca="1">IFERROR(Changes!$B$2*Rotation!F70,"-")</f>
        <v>-</v>
      </c>
      <c r="AG70" s="382" t="e">
        <f ca="1">(AC70+AD70)*#REF!</f>
        <v>#VALUE!</v>
      </c>
      <c r="AH70" s="382" t="e">
        <f t="shared" ca="1" si="50"/>
        <v>#VALUE!</v>
      </c>
      <c r="AI70" s="382"/>
      <c r="AJ70" s="382"/>
      <c r="AK70" s="382">
        <f t="shared" si="51"/>
        <v>0.47769704589639589</v>
      </c>
      <c r="AL70" s="382">
        <f t="shared" si="52"/>
        <v>0.47769968223351211</v>
      </c>
      <c r="AM70" s="382">
        <f t="shared" si="53"/>
        <v>0.48325864968161619</v>
      </c>
      <c r="AN70" s="382">
        <f t="shared" si="54"/>
        <v>0.48325864968161619</v>
      </c>
      <c r="AO70" s="382">
        <f t="shared" si="59"/>
        <v>39.97007718220555</v>
      </c>
      <c r="AP70" s="382">
        <f t="shared" si="60"/>
        <v>39.970518360938776</v>
      </c>
      <c r="AQ70" s="382">
        <f t="shared" si="61"/>
        <v>40.906200982235795</v>
      </c>
      <c r="AR70" s="382">
        <f t="shared" si="62"/>
        <v>40.906200982235795</v>
      </c>
      <c r="AS70" s="388" t="str">
        <f t="shared" ca="1" si="55"/>
        <v>-</v>
      </c>
      <c r="AT70" s="388" t="str">
        <f t="shared" ca="1" si="56"/>
        <v>-</v>
      </c>
      <c r="AU70" s="388" t="str">
        <f t="shared" ca="1" si="57"/>
        <v>-</v>
      </c>
      <c r="AV70" s="388" t="str">
        <f t="shared" ca="1" si="58"/>
        <v>-</v>
      </c>
      <c r="AW70" s="382" t="e">
        <f>#REF!*SIN(#REF!)</f>
        <v>#REF!</v>
      </c>
      <c r="AX70" s="382" t="e">
        <f>#REF!*SIN(#REF!)</f>
        <v>#REF!</v>
      </c>
      <c r="AY70" s="382"/>
      <c r="AZ70" s="382"/>
      <c r="BA70" s="388" t="str">
        <f t="shared" ca="1" si="63"/>
        <v>-</v>
      </c>
      <c r="BB70" s="388" t="str">
        <f t="shared" ca="1" si="64"/>
        <v>-</v>
      </c>
      <c r="BC70" s="388" t="str">
        <f t="shared" ca="1" si="65"/>
        <v>-</v>
      </c>
      <c r="BD70" s="388" t="str">
        <f t="shared" ca="1" si="66"/>
        <v>-</v>
      </c>
    </row>
    <row r="71" spans="1:56">
      <c r="A71" t="e">
        <f>IF(#REF!=0,A70,#REF!)</f>
        <v>#REF!</v>
      </c>
      <c r="C71" s="381" t="e">
        <f>#REF!</f>
        <v>#REF!</v>
      </c>
      <c r="D71" s="381" t="e">
        <f>#REF!</f>
        <v>#REF!</v>
      </c>
      <c r="E71" t="s">
        <v>133</v>
      </c>
      <c r="F71" t="s">
        <v>133</v>
      </c>
      <c r="G71" s="382" t="str">
        <f ca="1">IFERROR(C71*Changes!$B$1,"-")</f>
        <v>-</v>
      </c>
      <c r="H71" s="382" t="str">
        <f ca="1">IFERROR(D71*Changes!$B$1,"-")</f>
        <v>-</v>
      </c>
      <c r="I71" s="382" t="str">
        <f ca="1">IFERROR(E71*Changes!$B$1,"-")</f>
        <v>-</v>
      </c>
      <c r="J71" s="382" t="str">
        <f ca="1">IFERROR(F71*Changes!$B$1,"-")</f>
        <v>-</v>
      </c>
      <c r="K71" s="383" t="str">
        <f t="shared" ca="1" si="42"/>
        <v>-</v>
      </c>
      <c r="L71" s="383" t="str">
        <f t="shared" ca="1" si="43"/>
        <v>-</v>
      </c>
      <c r="M71" s="383" t="str">
        <f t="shared" ca="1" si="44"/>
        <v>-</v>
      </c>
      <c r="N71" s="383" t="str">
        <f t="shared" ca="1" si="45"/>
        <v>-</v>
      </c>
      <c r="O71" s="384">
        <f>[1]Particles!$B$13</f>
        <v>512373.33725154324</v>
      </c>
      <c r="P71" s="384">
        <f>[1]Particles!$B$5</f>
        <v>3152.8432598003224</v>
      </c>
      <c r="Q71" s="383">
        <f>IFERROR(VLOOKUP("s",[1]md!$A:$E,5,0)*14.3998434/U71*100,"-")</f>
        <v>1334.4489523265568</v>
      </c>
      <c r="R71" s="383">
        <f>IFERROR(VLOOKUP("s",[1]md!$A:$E,5,0)*14.3998434/V71*100,"-")</f>
        <v>1334.4562968285959</v>
      </c>
      <c r="S71" s="383">
        <f>IFERROR(VLOOKUP("s",[1]md!$A:$E,5,0)*14.3998434/W71*100,"-")</f>
        <v>1349.98531875</v>
      </c>
      <c r="T71" s="383">
        <f>IFERROR(VLOOKUP("s",[1]md!$A:$E,5,0)*14.3998434/X71*100,"-")</f>
        <v>1349.98531875</v>
      </c>
      <c r="U71" s="386">
        <v>2.4279420800258076</v>
      </c>
      <c r="V71" s="386">
        <v>2.4279287172610622</v>
      </c>
      <c r="W71" s="386">
        <v>2.4</v>
      </c>
      <c r="X71" s="386">
        <v>2.4</v>
      </c>
      <c r="Y71" s="382" t="str">
        <f t="shared" ca="1" si="46"/>
        <v>-</v>
      </c>
      <c r="Z71" s="382" t="str">
        <f t="shared" ca="1" si="47"/>
        <v>-</v>
      </c>
      <c r="AA71" s="382" t="str">
        <f t="shared" ca="1" si="48"/>
        <v>-</v>
      </c>
      <c r="AB71" s="382" t="str">
        <f t="shared" ca="1" si="49"/>
        <v>-</v>
      </c>
      <c r="AC71" s="382" t="str">
        <f ca="1">IFERROR(Changes!$B$2*Rotation!C71,"-")</f>
        <v>-</v>
      </c>
      <c r="AD71" s="382" t="str">
        <f ca="1">IFERROR(Changes!$B$2*Rotation!D71,"-")</f>
        <v>-</v>
      </c>
      <c r="AE71" s="382" t="str">
        <f ca="1">IFERROR(Changes!$B$2*Rotation!E71,"-")</f>
        <v>-</v>
      </c>
      <c r="AF71" s="382" t="str">
        <f ca="1">IFERROR(Changes!$B$2*Rotation!F71,"-")</f>
        <v>-</v>
      </c>
      <c r="AG71" s="382" t="e">
        <f ca="1">(AC71+AD71)*#REF!</f>
        <v>#VALUE!</v>
      </c>
      <c r="AH71" s="382" t="e">
        <f t="shared" ca="1" si="50"/>
        <v>#VALUE!</v>
      </c>
      <c r="AI71" s="382"/>
      <c r="AJ71" s="382"/>
      <c r="AK71" s="382">
        <f t="shared" si="51"/>
        <v>0.47769704589639589</v>
      </c>
      <c r="AL71" s="382">
        <f t="shared" si="52"/>
        <v>0.47769967503175664</v>
      </c>
      <c r="AM71" s="382">
        <f t="shared" si="53"/>
        <v>0.48325864968161619</v>
      </c>
      <c r="AN71" s="382">
        <f t="shared" si="54"/>
        <v>0.48325864968161619</v>
      </c>
      <c r="AO71" s="382">
        <f t="shared" si="59"/>
        <v>39.97007718220555</v>
      </c>
      <c r="AP71" s="382">
        <f t="shared" si="60"/>
        <v>39.970517155755232</v>
      </c>
      <c r="AQ71" s="382">
        <f t="shared" si="61"/>
        <v>40.906200982235795</v>
      </c>
      <c r="AR71" s="382">
        <f t="shared" si="62"/>
        <v>40.906200982235795</v>
      </c>
      <c r="AS71" s="388" t="str">
        <f t="shared" ca="1" si="55"/>
        <v>-</v>
      </c>
      <c r="AT71" s="388" t="str">
        <f t="shared" ca="1" si="56"/>
        <v>-</v>
      </c>
      <c r="AU71" s="388" t="str">
        <f t="shared" ca="1" si="57"/>
        <v>-</v>
      </c>
      <c r="AV71" s="388" t="str">
        <f t="shared" ca="1" si="58"/>
        <v>-</v>
      </c>
      <c r="AW71" s="382" t="e">
        <f>#REF!*SIN(#REF!)</f>
        <v>#REF!</v>
      </c>
      <c r="AX71" s="382" t="e">
        <f>#REF!*SIN(#REF!)</f>
        <v>#REF!</v>
      </c>
      <c r="AY71" s="382"/>
      <c r="AZ71" s="382"/>
      <c r="BA71" s="388" t="str">
        <f t="shared" ca="1" si="63"/>
        <v>-</v>
      </c>
      <c r="BB71" s="388" t="str">
        <f t="shared" ca="1" si="64"/>
        <v>-</v>
      </c>
      <c r="BC71" s="388" t="str">
        <f t="shared" ca="1" si="65"/>
        <v>-</v>
      </c>
      <c r="BD71" s="388" t="str">
        <f t="shared" ca="1" si="66"/>
        <v>-</v>
      </c>
    </row>
    <row r="72" spans="1:56">
      <c r="A72" t="e">
        <f>IF(#REF!=0,A71,#REF!)</f>
        <v>#REF!</v>
      </c>
      <c r="C72" s="381" t="e">
        <f>#REF!</f>
        <v>#REF!</v>
      </c>
      <c r="D72" s="381" t="e">
        <f>#REF!</f>
        <v>#REF!</v>
      </c>
      <c r="E72" t="s">
        <v>133</v>
      </c>
      <c r="F72" t="s">
        <v>133</v>
      </c>
      <c r="G72" s="382" t="str">
        <f ca="1">IFERROR(C72*Changes!$B$1,"-")</f>
        <v>-</v>
      </c>
      <c r="H72" s="382" t="str">
        <f ca="1">IFERROR(D72*Changes!$B$1,"-")</f>
        <v>-</v>
      </c>
      <c r="I72" s="382" t="str">
        <f ca="1">IFERROR(E72*Changes!$B$1,"-")</f>
        <v>-</v>
      </c>
      <c r="J72" s="382" t="str">
        <f ca="1">IFERROR(F72*Changes!$B$1,"-")</f>
        <v>-</v>
      </c>
      <c r="K72" s="383" t="str">
        <f t="shared" ca="1" si="42"/>
        <v>-</v>
      </c>
      <c r="L72" s="383" t="str">
        <f t="shared" ca="1" si="43"/>
        <v>-</v>
      </c>
      <c r="M72" s="383" t="str">
        <f t="shared" ca="1" si="44"/>
        <v>-</v>
      </c>
      <c r="N72" s="383" t="str">
        <f t="shared" ca="1" si="45"/>
        <v>-</v>
      </c>
      <c r="O72" s="384">
        <f>[1]Particles!$B$13</f>
        <v>512373.33725154324</v>
      </c>
      <c r="P72" s="384">
        <f>[1]Particles!$B$5</f>
        <v>3152.8432598003224</v>
      </c>
      <c r="Q72" s="383">
        <f>IFERROR(VLOOKUP("s",[1]md!$A:$E,5,0)*14.3998434/U72*100,"-")</f>
        <v>1334.4406449539833</v>
      </c>
      <c r="R72" s="383">
        <f>IFERROR(VLOOKUP("s",[1]md!$A:$E,5,0)*14.3998434/V72*100,"-")</f>
        <v>1334.4515540160426</v>
      </c>
      <c r="S72" s="383">
        <f>IFERROR(VLOOKUP("s",[1]md!$A:$E,5,0)*14.3998434/W72*100,"-")</f>
        <v>1349.98531875</v>
      </c>
      <c r="T72" s="383">
        <f>IFERROR(VLOOKUP("s",[1]md!$A:$E,5,0)*14.3998434/X72*100,"-")</f>
        <v>1349.98531875</v>
      </c>
      <c r="U72" s="386">
        <v>2.4279571948377865</v>
      </c>
      <c r="V72" s="386">
        <v>2.4279373464321727</v>
      </c>
      <c r="W72" s="386">
        <v>2.4</v>
      </c>
      <c r="X72" s="386">
        <v>2.4</v>
      </c>
      <c r="Y72" s="382" t="str">
        <f t="shared" ca="1" si="46"/>
        <v>-</v>
      </c>
      <c r="Z72" s="382" t="str">
        <f t="shared" ca="1" si="47"/>
        <v>-</v>
      </c>
      <c r="AA72" s="382" t="str">
        <f t="shared" ca="1" si="48"/>
        <v>-</v>
      </c>
      <c r="AB72" s="382" t="str">
        <f t="shared" ca="1" si="49"/>
        <v>-</v>
      </c>
      <c r="AC72" s="382" t="str">
        <f ca="1">IFERROR(Changes!$B$2*Rotation!C72,"-")</f>
        <v>-</v>
      </c>
      <c r="AD72" s="382" t="str">
        <f ca="1">IFERROR(Changes!$B$2*Rotation!D72,"-")</f>
        <v>-</v>
      </c>
      <c r="AE72" s="382" t="str">
        <f ca="1">IFERROR(Changes!$B$2*Rotation!E72,"-")</f>
        <v>-</v>
      </c>
      <c r="AF72" s="382" t="str">
        <f ca="1">IFERROR(Changes!$B$2*Rotation!F72,"-")</f>
        <v>-</v>
      </c>
      <c r="AG72" s="382" t="e">
        <f ca="1">(AC72+AD72)*#REF!</f>
        <v>#VALUE!</v>
      </c>
      <c r="AH72" s="382" t="e">
        <f t="shared" ca="1" si="50"/>
        <v>#VALUE!</v>
      </c>
      <c r="AI72" s="382"/>
      <c r="AJ72" s="382"/>
      <c r="AK72" s="382">
        <f t="shared" si="51"/>
        <v>0.47769407207912795</v>
      </c>
      <c r="AL72" s="382">
        <f t="shared" si="52"/>
        <v>0.47769797723167068</v>
      </c>
      <c r="AM72" s="382">
        <f t="shared" si="53"/>
        <v>0.48325864968161619</v>
      </c>
      <c r="AN72" s="382">
        <f t="shared" si="54"/>
        <v>0.48325864968161619</v>
      </c>
      <c r="AO72" s="382">
        <f t="shared" si="59"/>
        <v>39.96957953066358</v>
      </c>
      <c r="AP72" s="382">
        <f t="shared" si="60"/>
        <v>39.970233036546389</v>
      </c>
      <c r="AQ72" s="382">
        <f t="shared" si="61"/>
        <v>40.906200982235795</v>
      </c>
      <c r="AR72" s="382">
        <f t="shared" si="62"/>
        <v>40.906200982235795</v>
      </c>
      <c r="AS72" s="388" t="str">
        <f t="shared" ca="1" si="55"/>
        <v>-</v>
      </c>
      <c r="AT72" s="388" t="str">
        <f t="shared" ca="1" si="56"/>
        <v>-</v>
      </c>
      <c r="AU72" s="388" t="str">
        <f t="shared" ca="1" si="57"/>
        <v>-</v>
      </c>
      <c r="AV72" s="388" t="str">
        <f t="shared" ca="1" si="58"/>
        <v>-</v>
      </c>
      <c r="AW72" s="382" t="e">
        <f>#REF!*SIN(#REF!)</f>
        <v>#REF!</v>
      </c>
      <c r="AX72" s="382" t="e">
        <f>#REF!*SIN(#REF!)</f>
        <v>#REF!</v>
      </c>
      <c r="AY72" s="382"/>
      <c r="AZ72" s="382"/>
      <c r="BA72" s="388" t="str">
        <f t="shared" ca="1" si="63"/>
        <v>-</v>
      </c>
      <c r="BB72" s="388" t="str">
        <f t="shared" ca="1" si="64"/>
        <v>-</v>
      </c>
      <c r="BC72" s="388" t="str">
        <f t="shared" ca="1" si="65"/>
        <v>-</v>
      </c>
      <c r="BD72" s="388" t="str">
        <f t="shared" ca="1" si="66"/>
        <v>-</v>
      </c>
    </row>
    <row r="73" spans="1:56">
      <c r="A73" t="e">
        <f>IF(#REF!=0,A72,#REF!)</f>
        <v>#REF!</v>
      </c>
      <c r="C73" s="381" t="e">
        <f>#REF!</f>
        <v>#REF!</v>
      </c>
      <c r="D73" s="381" t="e">
        <f>#REF!</f>
        <v>#REF!</v>
      </c>
      <c r="E73" t="s">
        <v>133</v>
      </c>
      <c r="F73" t="s">
        <v>133</v>
      </c>
      <c r="G73" s="382" t="str">
        <f ca="1">IFERROR(C73*Changes!$B$1,"-")</f>
        <v>-</v>
      </c>
      <c r="H73" s="382" t="str">
        <f ca="1">IFERROR(D73*Changes!$B$1,"-")</f>
        <v>-</v>
      </c>
      <c r="I73" s="382" t="str">
        <f ca="1">IFERROR(E73*Changes!$B$1,"-")</f>
        <v>-</v>
      </c>
      <c r="J73" s="382" t="str">
        <f ca="1">IFERROR(F73*Changes!$B$1,"-")</f>
        <v>-</v>
      </c>
      <c r="K73" s="383" t="str">
        <f t="shared" ca="1" si="42"/>
        <v>-</v>
      </c>
      <c r="L73" s="383" t="str">
        <f t="shared" ca="1" si="43"/>
        <v>-</v>
      </c>
      <c r="M73" s="383" t="str">
        <f t="shared" ca="1" si="44"/>
        <v>-</v>
      </c>
      <c r="N73" s="383" t="str">
        <f t="shared" ca="1" si="45"/>
        <v>-</v>
      </c>
      <c r="O73" s="384">
        <f>[1]Particles!$B$13</f>
        <v>512373.33725154324</v>
      </c>
      <c r="P73" s="384">
        <f>[1]Particles!$B$5</f>
        <v>3152.8432598003224</v>
      </c>
      <c r="Q73" s="383">
        <f>IFERROR(VLOOKUP("s",[1]md!$A:$E,5,0)*14.3998434/U73*100,"-")</f>
        <v>1334.4406449539833</v>
      </c>
      <c r="R73" s="383">
        <f>IFERROR(VLOOKUP("s",[1]md!$A:$E,5,0)*14.3998434/V73*100,"-")</f>
        <v>1334.4521664097124</v>
      </c>
      <c r="S73" s="383">
        <f>IFERROR(VLOOKUP("s",[1]md!$A:$E,5,0)*14.3998434/W73*100,"-")</f>
        <v>1349.98531875</v>
      </c>
      <c r="T73" s="383">
        <f>IFERROR(VLOOKUP("s",[1]md!$A:$E,5,0)*14.3998434/X73*100,"-")</f>
        <v>1349.98531875</v>
      </c>
      <c r="U73" s="386">
        <v>2.4279571948377865</v>
      </c>
      <c r="V73" s="386">
        <v>2.4279362322270339</v>
      </c>
      <c r="W73" s="386">
        <v>2.4</v>
      </c>
      <c r="X73" s="386">
        <v>2.4</v>
      </c>
      <c r="Y73" s="382" t="str">
        <f t="shared" ca="1" si="46"/>
        <v>-</v>
      </c>
      <c r="Z73" s="382" t="str">
        <f t="shared" ca="1" si="47"/>
        <v>-</v>
      </c>
      <c r="AA73" s="382" t="str">
        <f t="shared" ca="1" si="48"/>
        <v>-</v>
      </c>
      <c r="AB73" s="382" t="str">
        <f t="shared" ca="1" si="49"/>
        <v>-</v>
      </c>
      <c r="AC73" s="382" t="str">
        <f ca="1">IFERROR(Changes!$B$2*Rotation!C73,"-")</f>
        <v>-</v>
      </c>
      <c r="AD73" s="382" t="str">
        <f ca="1">IFERROR(Changes!$B$2*Rotation!D73,"-")</f>
        <v>-</v>
      </c>
      <c r="AE73" s="382" t="str">
        <f ca="1">IFERROR(Changes!$B$2*Rotation!E73,"-")</f>
        <v>-</v>
      </c>
      <c r="AF73" s="382" t="str">
        <f ca="1">IFERROR(Changes!$B$2*Rotation!F73,"-")</f>
        <v>-</v>
      </c>
      <c r="AG73" s="382" t="e">
        <f ca="1">(AC73+AD73)*#REF!</f>
        <v>#VALUE!</v>
      </c>
      <c r="AH73" s="382" t="e">
        <f t="shared" ca="1" si="50"/>
        <v>#VALUE!</v>
      </c>
      <c r="AI73" s="382"/>
      <c r="AJ73" s="382"/>
      <c r="AK73" s="382">
        <f t="shared" si="51"/>
        <v>0.47769407207912795</v>
      </c>
      <c r="AL73" s="382">
        <f t="shared" si="52"/>
        <v>0.47769819645223099</v>
      </c>
      <c r="AM73" s="382">
        <f t="shared" si="53"/>
        <v>0.48325864968161619</v>
      </c>
      <c r="AN73" s="382">
        <f t="shared" si="54"/>
        <v>0.48325864968161619</v>
      </c>
      <c r="AO73" s="382">
        <f t="shared" si="59"/>
        <v>39.96957953066358</v>
      </c>
      <c r="AP73" s="382">
        <f t="shared" si="60"/>
        <v>39.970269722064479</v>
      </c>
      <c r="AQ73" s="382">
        <f t="shared" si="61"/>
        <v>40.906200982235795</v>
      </c>
      <c r="AR73" s="382">
        <f t="shared" si="62"/>
        <v>40.906200982235795</v>
      </c>
      <c r="AS73" s="388" t="str">
        <f t="shared" ca="1" si="55"/>
        <v>-</v>
      </c>
      <c r="AT73" s="388" t="str">
        <f t="shared" ca="1" si="56"/>
        <v>-</v>
      </c>
      <c r="AU73" s="388" t="str">
        <f t="shared" ca="1" si="57"/>
        <v>-</v>
      </c>
      <c r="AV73" s="388" t="str">
        <f t="shared" ca="1" si="58"/>
        <v>-</v>
      </c>
      <c r="AW73" s="382" t="e">
        <f>#REF!*SIN(#REF!)</f>
        <v>#REF!</v>
      </c>
      <c r="AX73" s="382" t="e">
        <f>#REF!*SIN(#REF!)</f>
        <v>#REF!</v>
      </c>
      <c r="AY73" s="382"/>
      <c r="AZ73" s="382"/>
      <c r="BA73" s="388" t="str">
        <f t="shared" ca="1" si="63"/>
        <v>-</v>
      </c>
      <c r="BB73" s="388" t="str">
        <f t="shared" ca="1" si="64"/>
        <v>-</v>
      </c>
      <c r="BC73" s="388" t="str">
        <f t="shared" ca="1" si="65"/>
        <v>-</v>
      </c>
      <c r="BD73" s="388" t="str">
        <f t="shared" ca="1" si="66"/>
        <v>-</v>
      </c>
    </row>
    <row r="74" spans="1:56">
      <c r="A74" t="e">
        <f>IF(#REF!=0,A73,#REF!)</f>
        <v>#REF!</v>
      </c>
      <c r="C74" s="381" t="e">
        <f>#REF!</f>
        <v>#REF!</v>
      </c>
      <c r="D74" s="381" t="e">
        <f>#REF!</f>
        <v>#REF!</v>
      </c>
      <c r="E74" t="s">
        <v>133</v>
      </c>
      <c r="F74" t="s">
        <v>133</v>
      </c>
      <c r="G74" s="382" t="str">
        <f ca="1">IFERROR(C74*Changes!$B$1,"-")</f>
        <v>-</v>
      </c>
      <c r="H74" s="382" t="str">
        <f ca="1">IFERROR(D74*Changes!$B$1,"-")</f>
        <v>-</v>
      </c>
      <c r="I74" s="382" t="str">
        <f ca="1">IFERROR(E74*Changes!$B$1,"-")</f>
        <v>-</v>
      </c>
      <c r="J74" s="382" t="str">
        <f ca="1">IFERROR(F74*Changes!$B$1,"-")</f>
        <v>-</v>
      </c>
      <c r="K74" s="383" t="str">
        <f t="shared" ca="1" si="42"/>
        <v>-</v>
      </c>
      <c r="L74" s="383" t="str">
        <f t="shared" ca="1" si="43"/>
        <v>-</v>
      </c>
      <c r="M74" s="383" t="str">
        <f t="shared" ca="1" si="44"/>
        <v>-</v>
      </c>
      <c r="N74" s="383" t="str">
        <f t="shared" ca="1" si="45"/>
        <v>-</v>
      </c>
      <c r="O74" s="384">
        <f>[1]Particles!$B$13</f>
        <v>512373.33725154324</v>
      </c>
      <c r="P74" s="384">
        <f>[1]Particles!$B$5</f>
        <v>3152.8432598003224</v>
      </c>
      <c r="Q74" s="383">
        <f>IFERROR(VLOOKUP("s",[1]md!$A:$E,5,0)*14.3998434/U74*100,"-")</f>
        <v>1334.4593690946624</v>
      </c>
      <c r="R74" s="383">
        <f>IFERROR(VLOOKUP("s",[1]md!$A:$E,5,0)*14.3998434/V74*100,"-")</f>
        <v>1334.4622523843145</v>
      </c>
      <c r="S74" s="383">
        <f>IFERROR(VLOOKUP("s",[1]md!$A:$E,5,0)*14.3998434/W74*100,"-")</f>
        <v>1349.98531875</v>
      </c>
      <c r="T74" s="383">
        <f>IFERROR(VLOOKUP("s",[1]md!$A:$E,5,0)*14.3998434/X74*100,"-")</f>
        <v>1349.98531875</v>
      </c>
      <c r="U74" s="386">
        <v>2.4279231275494659</v>
      </c>
      <c r="V74" s="386">
        <v>2.4279178816868594</v>
      </c>
      <c r="W74" s="386">
        <v>2.4</v>
      </c>
      <c r="X74" s="386">
        <v>2.4</v>
      </c>
      <c r="Y74" s="382" t="str">
        <f t="shared" ca="1" si="46"/>
        <v>-</v>
      </c>
      <c r="Z74" s="382" t="str">
        <f t="shared" ca="1" si="47"/>
        <v>-</v>
      </c>
      <c r="AA74" s="382" t="str">
        <f t="shared" ca="1" si="48"/>
        <v>-</v>
      </c>
      <c r="AB74" s="382" t="str">
        <f t="shared" ca="1" si="49"/>
        <v>-</v>
      </c>
      <c r="AC74" s="382" t="str">
        <f ca="1">IFERROR(Changes!$B$2*Rotation!C74,"-")</f>
        <v>-</v>
      </c>
      <c r="AD74" s="382" t="str">
        <f ca="1">IFERROR(Changes!$B$2*Rotation!D74,"-")</f>
        <v>-</v>
      </c>
      <c r="AE74" s="382" t="str">
        <f ca="1">IFERROR(Changes!$B$2*Rotation!E74,"-")</f>
        <v>-</v>
      </c>
      <c r="AF74" s="382" t="str">
        <f ca="1">IFERROR(Changes!$B$2*Rotation!F74,"-")</f>
        <v>-</v>
      </c>
      <c r="AG74" s="382" t="e">
        <f ca="1">(AC74+AD74)*#REF!</f>
        <v>#VALUE!</v>
      </c>
      <c r="AH74" s="382" t="e">
        <f t="shared" ca="1" si="50"/>
        <v>#VALUE!</v>
      </c>
      <c r="AI74" s="382"/>
      <c r="AJ74" s="382"/>
      <c r="AK74" s="382">
        <f t="shared" si="51"/>
        <v>0.47770077482086554</v>
      </c>
      <c r="AL74" s="382">
        <f t="shared" si="52"/>
        <v>0.47770180696147074</v>
      </c>
      <c r="AM74" s="382">
        <f t="shared" si="53"/>
        <v>0.48325864968161619</v>
      </c>
      <c r="AN74" s="382">
        <f t="shared" si="54"/>
        <v>0.48325864968161619</v>
      </c>
      <c r="AO74" s="382">
        <f t="shared" si="59"/>
        <v>39.970701201055434</v>
      </c>
      <c r="AP74" s="382">
        <f t="shared" si="60"/>
        <v>39.970873926035054</v>
      </c>
      <c r="AQ74" s="382">
        <f t="shared" si="61"/>
        <v>40.906200982235795</v>
      </c>
      <c r="AR74" s="382">
        <f t="shared" si="62"/>
        <v>40.906200982235795</v>
      </c>
      <c r="AS74" s="388" t="str">
        <f t="shared" ca="1" si="55"/>
        <v>-</v>
      </c>
      <c r="AT74" s="388" t="str">
        <f t="shared" ca="1" si="56"/>
        <v>-</v>
      </c>
      <c r="AU74" s="388" t="str">
        <f t="shared" ca="1" si="57"/>
        <v>-</v>
      </c>
      <c r="AV74" s="388" t="str">
        <f t="shared" ca="1" si="58"/>
        <v>-</v>
      </c>
      <c r="AW74" s="382" t="e">
        <f>#REF!*SIN(#REF!)</f>
        <v>#REF!</v>
      </c>
      <c r="AX74" s="382" t="e">
        <f>#REF!*SIN(#REF!)</f>
        <v>#REF!</v>
      </c>
      <c r="AY74" s="382"/>
      <c r="AZ74" s="382"/>
      <c r="BA74" s="388" t="str">
        <f t="shared" ca="1" si="63"/>
        <v>-</v>
      </c>
      <c r="BB74" s="388" t="str">
        <f t="shared" ca="1" si="64"/>
        <v>-</v>
      </c>
      <c r="BC74" s="388" t="str">
        <f t="shared" ca="1" si="65"/>
        <v>-</v>
      </c>
      <c r="BD74" s="388" t="str">
        <f t="shared" ca="1" si="66"/>
        <v>-</v>
      </c>
    </row>
    <row r="75" spans="1:56">
      <c r="A75" t="e">
        <f>IF(#REF!=0,A74,#REF!)</f>
        <v>#REF!</v>
      </c>
      <c r="C75" s="381" t="e">
        <f>#REF!</f>
        <v>#REF!</v>
      </c>
      <c r="D75" s="381" t="e">
        <f>#REF!</f>
        <v>#REF!</v>
      </c>
      <c r="E75" t="s">
        <v>133</v>
      </c>
      <c r="F75" t="s">
        <v>133</v>
      </c>
      <c r="G75" s="382" t="str">
        <f ca="1">IFERROR(C75*Changes!$B$1,"-")</f>
        <v>-</v>
      </c>
      <c r="H75" s="382" t="str">
        <f ca="1">IFERROR(D75*Changes!$B$1,"-")</f>
        <v>-</v>
      </c>
      <c r="I75" s="382" t="str">
        <f ca="1">IFERROR(E75*Changes!$B$1,"-")</f>
        <v>-</v>
      </c>
      <c r="J75" s="382" t="str">
        <f ca="1">IFERROR(F75*Changes!$B$1,"-")</f>
        <v>-</v>
      </c>
      <c r="K75" s="383" t="str">
        <f t="shared" ca="1" si="42"/>
        <v>-</v>
      </c>
      <c r="L75" s="383" t="str">
        <f t="shared" ca="1" si="43"/>
        <v>-</v>
      </c>
      <c r="M75" s="383" t="str">
        <f t="shared" ca="1" si="44"/>
        <v>-</v>
      </c>
      <c r="N75" s="383" t="str">
        <f t="shared" ca="1" si="45"/>
        <v>-</v>
      </c>
      <c r="O75" s="384">
        <f>[1]Particles!$B$13</f>
        <v>512373.33725154324</v>
      </c>
      <c r="P75" s="384">
        <f>[1]Particles!$B$5</f>
        <v>3152.8432598003224</v>
      </c>
      <c r="Q75" s="383">
        <f>IFERROR(VLOOKUP("s",[1]md!$A:$E,5,0)*14.3998434/U75*100,"-")</f>
        <v>1334.4593690946624</v>
      </c>
      <c r="R75" s="383">
        <f>IFERROR(VLOOKUP("s",[1]md!$A:$E,5,0)*14.3998434/V75*100,"-")</f>
        <v>1334.4624404002357</v>
      </c>
      <c r="S75" s="383">
        <f>IFERROR(VLOOKUP("s",[1]md!$A:$E,5,0)*14.3998434/W75*100,"-")</f>
        <v>1349.98531875</v>
      </c>
      <c r="T75" s="383">
        <f>IFERROR(VLOOKUP("s",[1]md!$A:$E,5,0)*14.3998434/X75*100,"-")</f>
        <v>1349.98531875</v>
      </c>
      <c r="U75" s="386">
        <v>2.4279231275494659</v>
      </c>
      <c r="V75" s="386">
        <v>2.4279175396111268</v>
      </c>
      <c r="W75" s="386">
        <v>2.4</v>
      </c>
      <c r="X75" s="386">
        <v>2.4</v>
      </c>
      <c r="Y75" s="382" t="str">
        <f t="shared" ca="1" si="46"/>
        <v>-</v>
      </c>
      <c r="Z75" s="382" t="str">
        <f t="shared" ca="1" si="47"/>
        <v>-</v>
      </c>
      <c r="AA75" s="382" t="str">
        <f t="shared" ca="1" si="48"/>
        <v>-</v>
      </c>
      <c r="AB75" s="382" t="str">
        <f t="shared" ca="1" si="49"/>
        <v>-</v>
      </c>
      <c r="AC75" s="382" t="str">
        <f ca="1">IFERROR(Changes!$B$2*Rotation!C75,"-")</f>
        <v>-</v>
      </c>
      <c r="AD75" s="382" t="str">
        <f ca="1">IFERROR(Changes!$B$2*Rotation!D75,"-")</f>
        <v>-</v>
      </c>
      <c r="AE75" s="382" t="str">
        <f ca="1">IFERROR(Changes!$B$2*Rotation!E75,"-")</f>
        <v>-</v>
      </c>
      <c r="AF75" s="382" t="str">
        <f ca="1">IFERROR(Changes!$B$2*Rotation!F75,"-")</f>
        <v>-</v>
      </c>
      <c r="AG75" s="382" t="e">
        <f ca="1">(AC75+AD75)*#REF!</f>
        <v>#VALUE!</v>
      </c>
      <c r="AH75" s="382" t="e">
        <f t="shared" ca="1" si="50"/>
        <v>#VALUE!</v>
      </c>
      <c r="AI75" s="382"/>
      <c r="AJ75" s="382"/>
      <c r="AK75" s="382">
        <f t="shared" si="51"/>
        <v>0.47770077482086554</v>
      </c>
      <c r="AL75" s="382">
        <f t="shared" si="52"/>
        <v>0.47770187426614352</v>
      </c>
      <c r="AM75" s="382">
        <f t="shared" si="53"/>
        <v>0.48325864968161619</v>
      </c>
      <c r="AN75" s="382">
        <f t="shared" si="54"/>
        <v>0.48325864968161619</v>
      </c>
      <c r="AO75" s="382">
        <f t="shared" si="59"/>
        <v>39.970701201055434</v>
      </c>
      <c r="AP75" s="382">
        <f t="shared" si="60"/>
        <v>39.970885189240427</v>
      </c>
      <c r="AQ75" s="382">
        <f t="shared" si="61"/>
        <v>40.906200982235795</v>
      </c>
      <c r="AR75" s="382">
        <f t="shared" si="62"/>
        <v>40.906200982235795</v>
      </c>
      <c r="AS75" s="388" t="str">
        <f t="shared" ca="1" si="55"/>
        <v>-</v>
      </c>
      <c r="AT75" s="388" t="str">
        <f t="shared" ca="1" si="56"/>
        <v>-</v>
      </c>
      <c r="AU75" s="388" t="str">
        <f t="shared" ca="1" si="57"/>
        <v>-</v>
      </c>
      <c r="AV75" s="388" t="str">
        <f t="shared" ca="1" si="58"/>
        <v>-</v>
      </c>
      <c r="AW75" s="382" t="e">
        <f>#REF!*SIN(#REF!)</f>
        <v>#REF!</v>
      </c>
      <c r="AX75" s="382" t="e">
        <f>#REF!*SIN(#REF!)</f>
        <v>#REF!</v>
      </c>
      <c r="AY75" s="382"/>
      <c r="AZ75" s="382"/>
      <c r="BA75" s="388" t="str">
        <f t="shared" ca="1" si="63"/>
        <v>-</v>
      </c>
      <c r="BB75" s="388" t="str">
        <f t="shared" ca="1" si="64"/>
        <v>-</v>
      </c>
      <c r="BC75" s="388" t="str">
        <f t="shared" ca="1" si="65"/>
        <v>-</v>
      </c>
      <c r="BD75" s="388" t="str">
        <f t="shared" ca="1" si="66"/>
        <v>-</v>
      </c>
    </row>
    <row r="76" spans="1:56">
      <c r="A76" t="e">
        <f>IF(#REF!=0,A75,#REF!)</f>
        <v>#REF!</v>
      </c>
      <c r="C76" s="381" t="e">
        <f>#REF!</f>
        <v>#REF!</v>
      </c>
      <c r="D76" s="381" t="e">
        <f>#REF!</f>
        <v>#REF!</v>
      </c>
      <c r="E76" t="s">
        <v>133</v>
      </c>
      <c r="F76" t="s">
        <v>133</v>
      </c>
      <c r="G76" s="382" t="str">
        <f ca="1">IFERROR(C76*Changes!$B$1,"-")</f>
        <v>-</v>
      </c>
      <c r="H76" s="382" t="str">
        <f ca="1">IFERROR(D76*Changes!$B$1,"-")</f>
        <v>-</v>
      </c>
      <c r="I76" s="382" t="str">
        <f ca="1">IFERROR(E76*Changes!$B$1,"-")</f>
        <v>-</v>
      </c>
      <c r="J76" s="382" t="str">
        <f ca="1">IFERROR(F76*Changes!$B$1,"-")</f>
        <v>-</v>
      </c>
      <c r="K76" s="383" t="str">
        <f t="shared" ca="1" si="42"/>
        <v>-</v>
      </c>
      <c r="L76" s="383" t="str">
        <f t="shared" ca="1" si="43"/>
        <v>-</v>
      </c>
      <c r="M76" s="383" t="str">
        <f t="shared" ca="1" si="44"/>
        <v>-</v>
      </c>
      <c r="N76" s="383" t="str">
        <f t="shared" ca="1" si="45"/>
        <v>-</v>
      </c>
      <c r="O76" s="384">
        <f>[1]Particles!$B$13</f>
        <v>512373.33725154324</v>
      </c>
      <c r="P76" s="384">
        <f>[1]Particles!$B$5</f>
        <v>3152.8432598003224</v>
      </c>
      <c r="Q76" s="383">
        <f>IFERROR(VLOOKUP("s",[1]md!$A:$E,5,0)*14.3998434/U76*100,"-")</f>
        <v>1334.4473898113397</v>
      </c>
      <c r="R76" s="383">
        <f>IFERROR(VLOOKUP("s",[1]md!$A:$E,5,0)*14.3998434/V76*100,"-")</f>
        <v>1334.4594488213818</v>
      </c>
      <c r="S76" s="383">
        <f>IFERROR(VLOOKUP("s",[1]md!$A:$E,5,0)*14.3998434/W76*100,"-")</f>
        <v>1349.98531875</v>
      </c>
      <c r="T76" s="383">
        <f>IFERROR(VLOOKUP("s",[1]md!$A:$E,5,0)*14.3998434/X76*100,"-")</f>
        <v>1349.98531875</v>
      </c>
      <c r="U76" s="386">
        <v>2.4279449229227814</v>
      </c>
      <c r="V76" s="386">
        <v>2.4279229824942186</v>
      </c>
      <c r="W76" s="386">
        <v>2.4</v>
      </c>
      <c r="X76" s="386">
        <v>2.4</v>
      </c>
      <c r="Y76" s="382" t="str">
        <f t="shared" ca="1" si="46"/>
        <v>-</v>
      </c>
      <c r="Z76" s="382" t="str">
        <f t="shared" ca="1" si="47"/>
        <v>-</v>
      </c>
      <c r="AA76" s="382" t="str">
        <f t="shared" ca="1" si="48"/>
        <v>-</v>
      </c>
      <c r="AB76" s="382" t="str">
        <f t="shared" ca="1" si="49"/>
        <v>-</v>
      </c>
      <c r="AC76" s="382" t="str">
        <f ca="1">IFERROR(Changes!$B$2*Rotation!C76,"-")</f>
        <v>-</v>
      </c>
      <c r="AD76" s="382" t="str">
        <f ca="1">IFERROR(Changes!$B$2*Rotation!D76,"-")</f>
        <v>-</v>
      </c>
      <c r="AE76" s="382" t="str">
        <f ca="1">IFERROR(Changes!$B$2*Rotation!E76,"-")</f>
        <v>-</v>
      </c>
      <c r="AF76" s="382" t="str">
        <f ca="1">IFERROR(Changes!$B$2*Rotation!F76,"-")</f>
        <v>-</v>
      </c>
      <c r="AG76" s="382" t="e">
        <f ca="1">(AC76+AD76)*#REF!</f>
        <v>#VALUE!</v>
      </c>
      <c r="AH76" s="382" t="e">
        <f t="shared" ca="1" si="50"/>
        <v>#VALUE!</v>
      </c>
      <c r="AI76" s="382"/>
      <c r="AJ76" s="382"/>
      <c r="AK76" s="382">
        <f t="shared" si="51"/>
        <v>0.47769648655772495</v>
      </c>
      <c r="AL76" s="382">
        <f t="shared" si="52"/>
        <v>0.47770080336089932</v>
      </c>
      <c r="AM76" s="382">
        <f t="shared" si="53"/>
        <v>0.48325864968161619</v>
      </c>
      <c r="AN76" s="382">
        <f t="shared" si="54"/>
        <v>0.48325864968161619</v>
      </c>
      <c r="AO76" s="382">
        <f t="shared" si="59"/>
        <v>39.969983579798125</v>
      </c>
      <c r="AP76" s="382">
        <f t="shared" si="60"/>
        <v>39.970705977121355</v>
      </c>
      <c r="AQ76" s="382">
        <f t="shared" si="61"/>
        <v>40.906200982235795</v>
      </c>
      <c r="AR76" s="382">
        <f t="shared" si="62"/>
        <v>40.906200982235795</v>
      </c>
      <c r="AS76" s="388" t="str">
        <f t="shared" ca="1" si="55"/>
        <v>-</v>
      </c>
      <c r="AT76" s="388" t="str">
        <f t="shared" ca="1" si="56"/>
        <v>-</v>
      </c>
      <c r="AU76" s="388" t="str">
        <f t="shared" ca="1" si="57"/>
        <v>-</v>
      </c>
      <c r="AV76" s="388" t="str">
        <f t="shared" ca="1" si="58"/>
        <v>-</v>
      </c>
      <c r="AW76" s="382" t="e">
        <f>#REF!*SIN(#REF!)</f>
        <v>#REF!</v>
      </c>
      <c r="AX76" s="382" t="e">
        <f>#REF!*SIN(#REF!)</f>
        <v>#REF!</v>
      </c>
      <c r="AY76" s="382"/>
      <c r="AZ76" s="382"/>
      <c r="BA76" s="388" t="str">
        <f t="shared" ca="1" si="63"/>
        <v>-</v>
      </c>
      <c r="BB76" s="388" t="str">
        <f t="shared" ca="1" si="64"/>
        <v>-</v>
      </c>
      <c r="BC76" s="388" t="str">
        <f t="shared" ca="1" si="65"/>
        <v>-</v>
      </c>
      <c r="BD76" s="388" t="str">
        <f t="shared" ca="1" si="66"/>
        <v>-</v>
      </c>
    </row>
    <row r="77" spans="1:56">
      <c r="A77" t="e">
        <f>IF(#REF!=0,A76,#REF!)</f>
        <v>#REF!</v>
      </c>
      <c r="C77" s="381" t="e">
        <f>#REF!</f>
        <v>#REF!</v>
      </c>
      <c r="D77" s="381" t="e">
        <f>#REF!</f>
        <v>#REF!</v>
      </c>
      <c r="E77" t="s">
        <v>133</v>
      </c>
      <c r="F77" t="s">
        <v>133</v>
      </c>
      <c r="G77" s="382" t="str">
        <f ca="1">IFERROR(C77*Changes!$B$1,"-")</f>
        <v>-</v>
      </c>
      <c r="H77" s="382" t="str">
        <f ca="1">IFERROR(D77*Changes!$B$1,"-")</f>
        <v>-</v>
      </c>
      <c r="I77" s="382" t="str">
        <f ca="1">IFERROR(E77*Changes!$B$1,"-")</f>
        <v>-</v>
      </c>
      <c r="J77" s="382" t="str">
        <f ca="1">IFERROR(F77*Changes!$B$1,"-")</f>
        <v>-</v>
      </c>
      <c r="K77" s="383" t="str">
        <f t="shared" ca="1" si="42"/>
        <v>-</v>
      </c>
      <c r="L77" s="383" t="str">
        <f t="shared" ca="1" si="43"/>
        <v>-</v>
      </c>
      <c r="M77" s="383" t="str">
        <f t="shared" ca="1" si="44"/>
        <v>-</v>
      </c>
      <c r="N77" s="383" t="str">
        <f t="shared" ca="1" si="45"/>
        <v>-</v>
      </c>
      <c r="O77" s="384">
        <f>[1]Particles!$B$13</f>
        <v>512373.33725154324</v>
      </c>
      <c r="P77" s="384">
        <f>[1]Particles!$B$5</f>
        <v>3152.8432598003224</v>
      </c>
      <c r="Q77" s="383">
        <f>IFERROR(VLOOKUP("s",[1]md!$A:$E,5,0)*14.3998434/U77*100,"-")</f>
        <v>1334.4557232258267</v>
      </c>
      <c r="R77" s="383">
        <f>IFERROR(VLOOKUP("s",[1]md!$A:$E,5,0)*14.3998434/V77*100,"-")</f>
        <v>1334.4584086556631</v>
      </c>
      <c r="S77" s="383">
        <f>IFERROR(VLOOKUP("s",[1]md!$A:$E,5,0)*14.3998434/W77*100,"-")</f>
        <v>1349.98531875</v>
      </c>
      <c r="T77" s="383">
        <f>IFERROR(VLOOKUP("s",[1]md!$A:$E,5,0)*14.3998434/X77*100,"-")</f>
        <v>1349.98531875</v>
      </c>
      <c r="U77" s="386">
        <v>2.4279297608825261</v>
      </c>
      <c r="V77" s="386">
        <v>2.4279248749790177</v>
      </c>
      <c r="W77" s="386">
        <v>2.4</v>
      </c>
      <c r="X77" s="386">
        <v>2.4</v>
      </c>
      <c r="Y77" s="382" t="str">
        <f t="shared" ca="1" si="46"/>
        <v>-</v>
      </c>
      <c r="Z77" s="382" t="str">
        <f t="shared" ca="1" si="47"/>
        <v>-</v>
      </c>
      <c r="AA77" s="382" t="str">
        <f t="shared" ca="1" si="48"/>
        <v>-</v>
      </c>
      <c r="AB77" s="382" t="str">
        <f t="shared" ca="1" si="49"/>
        <v>-</v>
      </c>
      <c r="AC77" s="382" t="str">
        <f ca="1">IFERROR(Changes!$B$2*Rotation!C77,"-")</f>
        <v>-</v>
      </c>
      <c r="AD77" s="382" t="str">
        <f ca="1">IFERROR(Changes!$B$2*Rotation!D77,"-")</f>
        <v>-</v>
      </c>
      <c r="AE77" s="382" t="str">
        <f ca="1">IFERROR(Changes!$B$2*Rotation!E77,"-")</f>
        <v>-</v>
      </c>
      <c r="AF77" s="382" t="str">
        <f ca="1">IFERROR(Changes!$B$2*Rotation!F77,"-")</f>
        <v>-</v>
      </c>
      <c r="AG77" s="382" t="e">
        <f ca="1">(AC77+AD77)*#REF!</f>
        <v>#VALUE!</v>
      </c>
      <c r="AH77" s="382" t="e">
        <f t="shared" ca="1" si="50"/>
        <v>#VALUE!</v>
      </c>
      <c r="AI77" s="382"/>
      <c r="AJ77" s="382"/>
      <c r="AK77" s="382">
        <f t="shared" si="51"/>
        <v>0.47769946969730165</v>
      </c>
      <c r="AL77" s="382">
        <f t="shared" si="52"/>
        <v>0.47770043100938298</v>
      </c>
      <c r="AM77" s="382">
        <f t="shared" si="53"/>
        <v>0.48325864968161619</v>
      </c>
      <c r="AN77" s="382">
        <f t="shared" si="54"/>
        <v>0.48325864968161619</v>
      </c>
      <c r="AO77" s="382">
        <f t="shared" si="59"/>
        <v>39.970482793903969</v>
      </c>
      <c r="AP77" s="382">
        <f t="shared" si="60"/>
        <v>39.970643665536059</v>
      </c>
      <c r="AQ77" s="382">
        <f t="shared" si="61"/>
        <v>40.906200982235795</v>
      </c>
      <c r="AR77" s="382">
        <f t="shared" si="62"/>
        <v>40.906200982235795</v>
      </c>
      <c r="AS77" s="388" t="str">
        <f t="shared" ca="1" si="55"/>
        <v>-</v>
      </c>
      <c r="AT77" s="388" t="str">
        <f t="shared" ca="1" si="56"/>
        <v>-</v>
      </c>
      <c r="AU77" s="388" t="str">
        <f t="shared" ca="1" si="57"/>
        <v>-</v>
      </c>
      <c r="AV77" s="388" t="str">
        <f t="shared" ca="1" si="58"/>
        <v>-</v>
      </c>
      <c r="AW77" s="382" t="e">
        <f>#REF!*SIN(#REF!)</f>
        <v>#REF!</v>
      </c>
      <c r="AX77" s="382" t="e">
        <f>#REF!*SIN(#REF!)</f>
        <v>#REF!</v>
      </c>
      <c r="AY77" s="382"/>
      <c r="AZ77" s="382"/>
      <c r="BA77" s="388" t="str">
        <f t="shared" ca="1" si="63"/>
        <v>-</v>
      </c>
      <c r="BB77" s="388" t="str">
        <f t="shared" ca="1" si="64"/>
        <v>-</v>
      </c>
      <c r="BC77" s="388" t="str">
        <f t="shared" ca="1" si="65"/>
        <v>-</v>
      </c>
      <c r="BD77" s="388" t="str">
        <f t="shared" ca="1" si="66"/>
        <v>-</v>
      </c>
    </row>
    <row r="78" spans="1:56">
      <c r="A78" t="e">
        <f>IF(#REF!=0,A77,#REF!)</f>
        <v>#REF!</v>
      </c>
      <c r="C78" s="381" t="e">
        <f>#REF!</f>
        <v>#REF!</v>
      </c>
      <c r="D78" s="381" t="e">
        <f>#REF!</f>
        <v>#REF!</v>
      </c>
      <c r="E78" t="s">
        <v>133</v>
      </c>
      <c r="F78" t="s">
        <v>133</v>
      </c>
      <c r="G78" s="382" t="str">
        <f ca="1">IFERROR(C78*Changes!$B$1,"-")</f>
        <v>-</v>
      </c>
      <c r="H78" s="382" t="str">
        <f ca="1">IFERROR(D78*Changes!$B$1,"-")</f>
        <v>-</v>
      </c>
      <c r="I78" s="382" t="str">
        <f ca="1">IFERROR(E78*Changes!$B$1,"-")</f>
        <v>-</v>
      </c>
      <c r="J78" s="382" t="str">
        <f ca="1">IFERROR(F78*Changes!$B$1,"-")</f>
        <v>-</v>
      </c>
      <c r="K78" s="383" t="str">
        <f t="shared" ca="1" si="42"/>
        <v>-</v>
      </c>
      <c r="L78" s="383" t="str">
        <f t="shared" ca="1" si="43"/>
        <v>-</v>
      </c>
      <c r="M78" s="383" t="str">
        <f t="shared" ca="1" si="44"/>
        <v>-</v>
      </c>
      <c r="N78" s="383" t="str">
        <f t="shared" ca="1" si="45"/>
        <v>-</v>
      </c>
      <c r="O78" s="384">
        <f>[1]Particles!$B$13</f>
        <v>512373.33725154324</v>
      </c>
      <c r="P78" s="384">
        <f>[1]Particles!$B$5</f>
        <v>3152.8432598003224</v>
      </c>
      <c r="Q78" s="383">
        <f>IFERROR(VLOOKUP("s",[1]md!$A:$E,5,0)*14.3998434/U78*100,"-")</f>
        <v>1334.5041348429493</v>
      </c>
      <c r="R78" s="383">
        <f>IFERROR(VLOOKUP("s",[1]md!$A:$E,5,0)*14.3998434/V78*100,"-")</f>
        <v>1334.5041184937393</v>
      </c>
      <c r="S78" s="383">
        <f>IFERROR(VLOOKUP("s",[1]md!$A:$E,5,0)*14.3998434/W78*100,"-")</f>
        <v>1349.98531875</v>
      </c>
      <c r="T78" s="383">
        <f>IFERROR(VLOOKUP("s",[1]md!$A:$E,5,0)*14.3998434/X78*100,"-")</f>
        <v>1349.98531875</v>
      </c>
      <c r="U78" s="386">
        <v>2.4278416832191341</v>
      </c>
      <c r="V78" s="386">
        <v>2.4278417129629859</v>
      </c>
      <c r="W78" s="386">
        <v>2.4</v>
      </c>
      <c r="X78" s="386">
        <v>2.4</v>
      </c>
      <c r="Y78" s="382" t="str">
        <f t="shared" ca="1" si="46"/>
        <v>-</v>
      </c>
      <c r="Z78" s="382" t="str">
        <f t="shared" ca="1" si="47"/>
        <v>-</v>
      </c>
      <c r="AA78" s="382" t="str">
        <f t="shared" ca="1" si="48"/>
        <v>-</v>
      </c>
      <c r="AB78" s="382" t="str">
        <f t="shared" ca="1" si="49"/>
        <v>-</v>
      </c>
      <c r="AC78" s="382" t="str">
        <f ca="1">IFERROR(Changes!$B$2*Rotation!C78,"-")</f>
        <v>-</v>
      </c>
      <c r="AD78" s="382" t="str">
        <f ca="1">IFERROR(Changes!$B$2*Rotation!D78,"-")</f>
        <v>-</v>
      </c>
      <c r="AE78" s="382" t="str">
        <f ca="1">IFERROR(Changes!$B$2*Rotation!E78,"-")</f>
        <v>-</v>
      </c>
      <c r="AF78" s="382" t="str">
        <f ca="1">IFERROR(Changes!$B$2*Rotation!F78,"-")</f>
        <v>-</v>
      </c>
      <c r="AG78" s="382" t="e">
        <f ca="1">(AC78+AD78)*#REF!</f>
        <v>#VALUE!</v>
      </c>
      <c r="AH78" s="382" t="e">
        <f t="shared" ca="1" si="50"/>
        <v>#VALUE!</v>
      </c>
      <c r="AI78" s="382"/>
      <c r="AJ78" s="382"/>
      <c r="AK78" s="382">
        <f t="shared" si="51"/>
        <v>0.47771679976185455</v>
      </c>
      <c r="AL78" s="382">
        <f t="shared" si="52"/>
        <v>0.47771679390927452</v>
      </c>
      <c r="AM78" s="382">
        <f t="shared" si="53"/>
        <v>0.48325864968161619</v>
      </c>
      <c r="AN78" s="382">
        <f t="shared" si="54"/>
        <v>0.48325864968161619</v>
      </c>
      <c r="AO78" s="382">
        <f t="shared" si="59"/>
        <v>39.973382958780654</v>
      </c>
      <c r="AP78" s="382">
        <f t="shared" si="60"/>
        <v>39.973381979340857</v>
      </c>
      <c r="AQ78" s="382">
        <f t="shared" si="61"/>
        <v>40.906200982235795</v>
      </c>
      <c r="AR78" s="382">
        <f t="shared" si="62"/>
        <v>40.906200982235795</v>
      </c>
      <c r="AS78" s="388" t="str">
        <f t="shared" ca="1" si="55"/>
        <v>-</v>
      </c>
      <c r="AT78" s="388" t="str">
        <f t="shared" ca="1" si="56"/>
        <v>-</v>
      </c>
      <c r="AU78" s="388" t="str">
        <f t="shared" ca="1" si="57"/>
        <v>-</v>
      </c>
      <c r="AV78" s="388" t="str">
        <f t="shared" ca="1" si="58"/>
        <v>-</v>
      </c>
      <c r="AW78" s="382" t="e">
        <f>#REF!*SIN(#REF!)</f>
        <v>#REF!</v>
      </c>
      <c r="AX78" s="382" t="e">
        <f>#REF!*SIN(#REF!)</f>
        <v>#REF!</v>
      </c>
      <c r="AY78" s="382"/>
      <c r="AZ78" s="382"/>
      <c r="BA78" s="388" t="str">
        <f t="shared" ca="1" si="63"/>
        <v>-</v>
      </c>
      <c r="BB78" s="388" t="str">
        <f t="shared" ca="1" si="64"/>
        <v>-</v>
      </c>
      <c r="BC78" s="388" t="str">
        <f t="shared" ca="1" si="65"/>
        <v>-</v>
      </c>
      <c r="BD78" s="388" t="str">
        <f t="shared" ca="1" si="66"/>
        <v>-</v>
      </c>
    </row>
    <row r="79" spans="1:56">
      <c r="A79" t="e">
        <f>IF(#REF!=0,A78,#REF!)</f>
        <v>#REF!</v>
      </c>
      <c r="C79" s="381" t="e">
        <f>#REF!</f>
        <v>#REF!</v>
      </c>
      <c r="D79" s="381" t="e">
        <f>#REF!</f>
        <v>#REF!</v>
      </c>
      <c r="E79" t="s">
        <v>133</v>
      </c>
      <c r="F79" t="s">
        <v>133</v>
      </c>
      <c r="G79" s="382" t="str">
        <f ca="1">IFERROR(C79*Changes!$B$1,"-")</f>
        <v>-</v>
      </c>
      <c r="H79" s="382" t="str">
        <f ca="1">IFERROR(D79*Changes!$B$1,"-")</f>
        <v>-</v>
      </c>
      <c r="I79" s="382" t="str">
        <f ca="1">IFERROR(E79*Changes!$B$1,"-")</f>
        <v>-</v>
      </c>
      <c r="J79" s="382" t="str">
        <f ca="1">IFERROR(F79*Changes!$B$1,"-")</f>
        <v>-</v>
      </c>
      <c r="K79" s="383" t="str">
        <f t="shared" ca="1" si="42"/>
        <v>-</v>
      </c>
      <c r="L79" s="383" t="str">
        <f t="shared" ca="1" si="43"/>
        <v>-</v>
      </c>
      <c r="M79" s="383" t="str">
        <f t="shared" ca="1" si="44"/>
        <v>-</v>
      </c>
      <c r="N79" s="383" t="str">
        <f t="shared" ca="1" si="45"/>
        <v>-</v>
      </c>
      <c r="O79" s="384">
        <f>[1]Particles!$B$13</f>
        <v>512373.33725154324</v>
      </c>
      <c r="P79" s="384">
        <f>[1]Particles!$B$5</f>
        <v>3152.8432598003224</v>
      </c>
      <c r="Q79" s="383">
        <f>IFERROR(VLOOKUP("s",[1]md!$A:$E,5,0)*14.3998434/U79*100,"-")</f>
        <v>1334.4924423333139</v>
      </c>
      <c r="R79" s="383">
        <f>IFERROR(VLOOKUP("s",[1]md!$A:$E,5,0)*14.3998434/V79*100,"-")</f>
        <v>1334.4957278918152</v>
      </c>
      <c r="S79" s="383">
        <f>IFERROR(VLOOKUP("s",[1]md!$A:$E,5,0)*14.3998434/W79*100,"-")</f>
        <v>1349.98531875</v>
      </c>
      <c r="T79" s="383">
        <f>IFERROR(VLOOKUP("s",[1]md!$A:$E,5,0)*14.3998434/X79*100,"-")</f>
        <v>1349.98531875</v>
      </c>
      <c r="U79" s="386">
        <v>2.4278629553982589</v>
      </c>
      <c r="V79" s="386">
        <v>2.4278569779450483</v>
      </c>
      <c r="W79" s="386">
        <v>2.4</v>
      </c>
      <c r="X79" s="386">
        <v>2.4</v>
      </c>
      <c r="Y79" s="382" t="str">
        <f t="shared" ca="1" si="46"/>
        <v>-</v>
      </c>
      <c r="Z79" s="382" t="str">
        <f t="shared" ca="1" si="47"/>
        <v>-</v>
      </c>
      <c r="AA79" s="382" t="str">
        <f t="shared" ca="1" si="48"/>
        <v>-</v>
      </c>
      <c r="AB79" s="382" t="str">
        <f t="shared" ca="1" si="49"/>
        <v>-</v>
      </c>
      <c r="AC79" s="382" t="str">
        <f ca="1">IFERROR(Changes!$B$2*Rotation!C79,"-")</f>
        <v>-</v>
      </c>
      <c r="AD79" s="382" t="str">
        <f ca="1">IFERROR(Changes!$B$2*Rotation!D79,"-")</f>
        <v>-</v>
      </c>
      <c r="AE79" s="382" t="str">
        <f ca="1">IFERROR(Changes!$B$2*Rotation!E79,"-")</f>
        <v>-</v>
      </c>
      <c r="AF79" s="382" t="str">
        <f ca="1">IFERROR(Changes!$B$2*Rotation!F79,"-")</f>
        <v>-</v>
      </c>
      <c r="AG79" s="382" t="e">
        <f ca="1">(AC79+AD79)*#REF!</f>
        <v>#VALUE!</v>
      </c>
      <c r="AH79" s="382" t="e">
        <f t="shared" ca="1" si="50"/>
        <v>#VALUE!</v>
      </c>
      <c r="AI79" s="382"/>
      <c r="AJ79" s="382"/>
      <c r="AK79" s="382">
        <f t="shared" si="51"/>
        <v>0.47771261415602667</v>
      </c>
      <c r="AL79" s="382">
        <f t="shared" si="52"/>
        <v>0.47771379029812444</v>
      </c>
      <c r="AM79" s="382">
        <f t="shared" si="53"/>
        <v>0.48325864968161619</v>
      </c>
      <c r="AN79" s="382">
        <f t="shared" si="54"/>
        <v>0.48325864968161619</v>
      </c>
      <c r="AO79" s="382">
        <f t="shared" si="59"/>
        <v>39.972682493183527</v>
      </c>
      <c r="AP79" s="382">
        <f t="shared" si="60"/>
        <v>39.972879321197361</v>
      </c>
      <c r="AQ79" s="382">
        <f t="shared" si="61"/>
        <v>40.906200982235795</v>
      </c>
      <c r="AR79" s="382">
        <f t="shared" si="62"/>
        <v>40.906200982235795</v>
      </c>
      <c r="AS79" s="388" t="str">
        <f t="shared" ca="1" si="55"/>
        <v>-</v>
      </c>
      <c r="AT79" s="388" t="str">
        <f t="shared" ca="1" si="56"/>
        <v>-</v>
      </c>
      <c r="AU79" s="388" t="str">
        <f t="shared" ca="1" si="57"/>
        <v>-</v>
      </c>
      <c r="AV79" s="388" t="str">
        <f t="shared" ca="1" si="58"/>
        <v>-</v>
      </c>
      <c r="AW79" s="382" t="e">
        <f>#REF!*SIN(#REF!)</f>
        <v>#REF!</v>
      </c>
      <c r="AX79" s="382" t="e">
        <f>#REF!*SIN(#REF!)</f>
        <v>#REF!</v>
      </c>
      <c r="AY79" s="382"/>
      <c r="AZ79" s="382"/>
      <c r="BA79" s="388" t="str">
        <f t="shared" ca="1" si="63"/>
        <v>-</v>
      </c>
      <c r="BB79" s="388" t="str">
        <f t="shared" ca="1" si="64"/>
        <v>-</v>
      </c>
      <c r="BC79" s="388" t="str">
        <f t="shared" ca="1" si="65"/>
        <v>-</v>
      </c>
      <c r="BD79" s="388" t="str">
        <f t="shared" ca="1" si="66"/>
        <v>-</v>
      </c>
    </row>
    <row r="80" spans="1:56">
      <c r="A80" t="e">
        <f>IF(#REF!=0,A79,#REF!)</f>
        <v>#REF!</v>
      </c>
      <c r="C80" s="381" t="e">
        <f>#REF!</f>
        <v>#REF!</v>
      </c>
      <c r="D80" s="381" t="e">
        <f>#REF!</f>
        <v>#REF!</v>
      </c>
      <c r="E80" t="s">
        <v>133</v>
      </c>
      <c r="F80" t="s">
        <v>133</v>
      </c>
      <c r="G80" s="382" t="str">
        <f ca="1">IFERROR(C80*Changes!$B$1,"-")</f>
        <v>-</v>
      </c>
      <c r="H80" s="382" t="str">
        <f ca="1">IFERROR(D80*Changes!$B$1,"-")</f>
        <v>-</v>
      </c>
      <c r="I80" s="382" t="str">
        <f ca="1">IFERROR(E80*Changes!$B$1,"-")</f>
        <v>-</v>
      </c>
      <c r="J80" s="382" t="str">
        <f ca="1">IFERROR(F80*Changes!$B$1,"-")</f>
        <v>-</v>
      </c>
      <c r="K80" s="383" t="str">
        <f t="shared" ca="1" si="42"/>
        <v>-</v>
      </c>
      <c r="L80" s="383" t="str">
        <f t="shared" ca="1" si="43"/>
        <v>-</v>
      </c>
      <c r="M80" s="383" t="str">
        <f t="shared" ca="1" si="44"/>
        <v>-</v>
      </c>
      <c r="N80" s="383" t="str">
        <f t="shared" ca="1" si="45"/>
        <v>-</v>
      </c>
      <c r="O80" s="384">
        <f>[1]Particles!$B$13</f>
        <v>512373.33725154324</v>
      </c>
      <c r="P80" s="384">
        <f>[1]Particles!$B$5</f>
        <v>3152.8432598003224</v>
      </c>
      <c r="Q80" s="383">
        <f>IFERROR(VLOOKUP("s",[1]md!$A:$E,5,0)*14.3998434/U80*100,"-")</f>
        <v>1334.5109320965985</v>
      </c>
      <c r="R80" s="383">
        <f>IFERROR(VLOOKUP("s",[1]md!$A:$E,5,0)*14.3998434/V80*100,"-")</f>
        <v>1334.5117325470057</v>
      </c>
      <c r="S80" s="383">
        <f>IFERROR(VLOOKUP("s",[1]md!$A:$E,5,0)*14.3998434/W80*100,"-")</f>
        <v>1349.98531875</v>
      </c>
      <c r="T80" s="383">
        <f>IFERROR(VLOOKUP("s",[1]md!$A:$E,5,0)*14.3998434/X80*100,"-")</f>
        <v>1349.98531875</v>
      </c>
      <c r="U80" s="386">
        <v>2.4278293171490297</v>
      </c>
      <c r="V80" s="386">
        <v>2.4278278609183213</v>
      </c>
      <c r="W80" s="386">
        <v>2.4</v>
      </c>
      <c r="X80" s="386">
        <v>2.4</v>
      </c>
      <c r="Y80" s="382" t="str">
        <f t="shared" ca="1" si="46"/>
        <v>-</v>
      </c>
      <c r="Z80" s="382" t="str">
        <f t="shared" ca="1" si="47"/>
        <v>-</v>
      </c>
      <c r="AA80" s="382" t="str">
        <f t="shared" ca="1" si="48"/>
        <v>-</v>
      </c>
      <c r="AB80" s="382" t="str">
        <f t="shared" ca="1" si="49"/>
        <v>-</v>
      </c>
      <c r="AC80" s="382" t="str">
        <f ca="1">IFERROR(Changes!$B$2*Rotation!C80,"-")</f>
        <v>-</v>
      </c>
      <c r="AD80" s="382" t="str">
        <f ca="1">IFERROR(Changes!$B$2*Rotation!D80,"-")</f>
        <v>-</v>
      </c>
      <c r="AE80" s="382" t="str">
        <f ca="1">IFERROR(Changes!$B$2*Rotation!E80,"-")</f>
        <v>-</v>
      </c>
      <c r="AF80" s="382" t="str">
        <f ca="1">IFERROR(Changes!$B$2*Rotation!F80,"-")</f>
        <v>-</v>
      </c>
      <c r="AG80" s="382" t="e">
        <f ca="1">(AC80+AD80)*#REF!</f>
        <v>#VALUE!</v>
      </c>
      <c r="AH80" s="382" t="e">
        <f t="shared" ca="1" si="50"/>
        <v>#VALUE!</v>
      </c>
      <c r="AI80" s="382"/>
      <c r="AJ80" s="382"/>
      <c r="AK80" s="382">
        <f t="shared" si="51"/>
        <v>0.47771923299692354</v>
      </c>
      <c r="AL80" s="382">
        <f t="shared" si="52"/>
        <v>0.47771951953676772</v>
      </c>
      <c r="AM80" s="382">
        <f t="shared" si="53"/>
        <v>0.48325864968161619</v>
      </c>
      <c r="AN80" s="382">
        <f t="shared" si="54"/>
        <v>0.48325864968161619</v>
      </c>
      <c r="AO80" s="382">
        <f t="shared" si="59"/>
        <v>39.973790166084214</v>
      </c>
      <c r="AP80" s="382">
        <f t="shared" si="60"/>
        <v>39.973838119301291</v>
      </c>
      <c r="AQ80" s="382">
        <f t="shared" si="61"/>
        <v>40.906200982235795</v>
      </c>
      <c r="AR80" s="382">
        <f t="shared" si="62"/>
        <v>40.906200982235795</v>
      </c>
      <c r="AS80" s="388" t="str">
        <f t="shared" ca="1" si="55"/>
        <v>-</v>
      </c>
      <c r="AT80" s="388" t="str">
        <f t="shared" ca="1" si="56"/>
        <v>-</v>
      </c>
      <c r="AU80" s="388" t="str">
        <f t="shared" ca="1" si="57"/>
        <v>-</v>
      </c>
      <c r="AV80" s="388" t="str">
        <f t="shared" ca="1" si="58"/>
        <v>-</v>
      </c>
      <c r="AW80" s="382" t="e">
        <f>#REF!*SIN(#REF!)</f>
        <v>#REF!</v>
      </c>
      <c r="AX80" s="382" t="e">
        <f>#REF!*SIN(#REF!)</f>
        <v>#REF!</v>
      </c>
      <c r="AY80" s="382"/>
      <c r="AZ80" s="382"/>
      <c r="BA80" s="388" t="str">
        <f t="shared" ca="1" si="63"/>
        <v>-</v>
      </c>
      <c r="BB80" s="388" t="str">
        <f t="shared" ca="1" si="64"/>
        <v>-</v>
      </c>
      <c r="BC80" s="388" t="str">
        <f t="shared" ca="1" si="65"/>
        <v>-</v>
      </c>
      <c r="BD80" s="388" t="str">
        <f t="shared" ca="1" si="66"/>
        <v>-</v>
      </c>
    </row>
    <row r="81" spans="1:56">
      <c r="A81" t="e">
        <f>IF(#REF!=0,A80,#REF!)</f>
        <v>#REF!</v>
      </c>
      <c r="C81" s="381" t="e">
        <f>#REF!</f>
        <v>#REF!</v>
      </c>
      <c r="D81" s="381" t="e">
        <f>#REF!</f>
        <v>#REF!</v>
      </c>
      <c r="E81" t="s">
        <v>133</v>
      </c>
      <c r="F81" t="s">
        <v>133</v>
      </c>
      <c r="G81" s="382" t="str">
        <f ca="1">IFERROR(C81*Changes!$B$1,"-")</f>
        <v>-</v>
      </c>
      <c r="H81" s="382" t="str">
        <f ca="1">IFERROR(D81*Changes!$B$1,"-")</f>
        <v>-</v>
      </c>
      <c r="I81" s="382" t="str">
        <f ca="1">IFERROR(E81*Changes!$B$1,"-")</f>
        <v>-</v>
      </c>
      <c r="J81" s="382" t="str">
        <f ca="1">IFERROR(F81*Changes!$B$1,"-")</f>
        <v>-</v>
      </c>
      <c r="K81" s="383" t="str">
        <f t="shared" ca="1" si="42"/>
        <v>-</v>
      </c>
      <c r="L81" s="383" t="str">
        <f t="shared" ca="1" si="43"/>
        <v>-</v>
      </c>
      <c r="M81" s="383" t="str">
        <f t="shared" ca="1" si="44"/>
        <v>-</v>
      </c>
      <c r="N81" s="383" t="str">
        <f t="shared" ca="1" si="45"/>
        <v>-</v>
      </c>
      <c r="O81" s="384">
        <f>[1]Particles!$B$13</f>
        <v>512373.33725154324</v>
      </c>
      <c r="P81" s="384">
        <f>[1]Particles!$B$5</f>
        <v>3152.8432598003224</v>
      </c>
      <c r="Q81" s="383">
        <f>IFERROR(VLOOKUP("s",[1]md!$A:$E,5,0)*14.3998434/U81*100,"-")</f>
        <v>1334.4932235909182</v>
      </c>
      <c r="R81" s="383">
        <f>IFERROR(VLOOKUP("s",[1]md!$A:$E,5,0)*14.3998434/V81*100,"-")</f>
        <v>1334.5024168310213</v>
      </c>
      <c r="S81" s="383">
        <f>IFERROR(VLOOKUP("s",[1]md!$A:$E,5,0)*14.3998434/W81*100,"-")</f>
        <v>1349.98531875</v>
      </c>
      <c r="T81" s="383">
        <f>IFERROR(VLOOKUP("s",[1]md!$A:$E,5,0)*14.3998434/X81*100,"-")</f>
        <v>1349.98531875</v>
      </c>
      <c r="U81" s="386">
        <v>2.4278615340449221</v>
      </c>
      <c r="V81" s="386">
        <v>2.4278448087743358</v>
      </c>
      <c r="W81" s="386">
        <v>2.4</v>
      </c>
      <c r="X81" s="386">
        <v>2.4</v>
      </c>
      <c r="Y81" s="382" t="str">
        <f t="shared" ca="1" si="46"/>
        <v>-</v>
      </c>
      <c r="Z81" s="382" t="str">
        <f t="shared" ca="1" si="47"/>
        <v>-</v>
      </c>
      <c r="AA81" s="382" t="str">
        <f t="shared" ca="1" si="48"/>
        <v>-</v>
      </c>
      <c r="AB81" s="382" t="str">
        <f t="shared" ca="1" si="49"/>
        <v>-</v>
      </c>
      <c r="AC81" s="382" t="str">
        <f ca="1">IFERROR(Changes!$B$2*Rotation!C81,"-")</f>
        <v>-</v>
      </c>
      <c r="AD81" s="382" t="str">
        <f ca="1">IFERROR(Changes!$B$2*Rotation!D81,"-")</f>
        <v>-</v>
      </c>
      <c r="AE81" s="382" t="str">
        <f ca="1">IFERROR(Changes!$B$2*Rotation!E81,"-")</f>
        <v>-</v>
      </c>
      <c r="AF81" s="382" t="str">
        <f ca="1">IFERROR(Changes!$B$2*Rotation!F81,"-")</f>
        <v>-</v>
      </c>
      <c r="AG81" s="382" t="e">
        <f ca="1">(AC81+AD81)*#REF!</f>
        <v>#VALUE!</v>
      </c>
      <c r="AH81" s="382" t="e">
        <f t="shared" ca="1" si="50"/>
        <v>#VALUE!</v>
      </c>
      <c r="AI81" s="382"/>
      <c r="AJ81" s="382"/>
      <c r="AK81" s="382">
        <f t="shared" si="51"/>
        <v>0.47771289382536064</v>
      </c>
      <c r="AL81" s="382">
        <f t="shared" si="52"/>
        <v>0.47771618475951871</v>
      </c>
      <c r="AM81" s="382">
        <f t="shared" si="53"/>
        <v>0.48325864968161619</v>
      </c>
      <c r="AN81" s="382">
        <f t="shared" si="54"/>
        <v>0.48325864968161619</v>
      </c>
      <c r="AO81" s="382">
        <f t="shared" si="59"/>
        <v>39.97272929595335</v>
      </c>
      <c r="AP81" s="382">
        <f t="shared" si="60"/>
        <v>39.973280037099521</v>
      </c>
      <c r="AQ81" s="382">
        <f t="shared" si="61"/>
        <v>40.906200982235795</v>
      </c>
      <c r="AR81" s="382">
        <f t="shared" si="62"/>
        <v>40.906200982235795</v>
      </c>
      <c r="AS81" s="388" t="str">
        <f t="shared" ca="1" si="55"/>
        <v>-</v>
      </c>
      <c r="AT81" s="388" t="str">
        <f t="shared" ca="1" si="56"/>
        <v>-</v>
      </c>
      <c r="AU81" s="388" t="str">
        <f t="shared" ca="1" si="57"/>
        <v>-</v>
      </c>
      <c r="AV81" s="388" t="str">
        <f t="shared" ca="1" si="58"/>
        <v>-</v>
      </c>
      <c r="AW81" s="382" t="e">
        <f>#REF!*SIN(#REF!)</f>
        <v>#REF!</v>
      </c>
      <c r="AX81" s="382" t="e">
        <f>#REF!*SIN(#REF!)</f>
        <v>#REF!</v>
      </c>
      <c r="AY81" s="382"/>
      <c r="AZ81" s="382"/>
      <c r="BA81" s="388" t="str">
        <f t="shared" ca="1" si="63"/>
        <v>-</v>
      </c>
      <c r="BB81" s="388" t="str">
        <f t="shared" ca="1" si="64"/>
        <v>-</v>
      </c>
      <c r="BC81" s="388" t="str">
        <f t="shared" ca="1" si="65"/>
        <v>-</v>
      </c>
      <c r="BD81" s="388" t="str">
        <f t="shared" ca="1" si="66"/>
        <v>-</v>
      </c>
    </row>
    <row r="82" spans="1:56" ht="15.75" thickBot="1">
      <c r="A82" s="380" t="e">
        <f>IF(#REF!=0,A81,#REF!)</f>
        <v>#REF!</v>
      </c>
      <c r="B82" t="s">
        <v>531</v>
      </c>
      <c r="C82" s="381" t="e">
        <f>#REF!</f>
        <v>#REF!</v>
      </c>
      <c r="D82" s="381" t="e">
        <f>#REF!</f>
        <v>#REF!</v>
      </c>
      <c r="E82" t="s">
        <v>133</v>
      </c>
      <c r="F82" t="s">
        <v>133</v>
      </c>
      <c r="G82" s="382" t="str">
        <f ca="1">IFERROR(C82*Changes!$B$1,"-")</f>
        <v>-</v>
      </c>
      <c r="H82" s="382" t="str">
        <f ca="1">IFERROR(D82*Changes!$B$1,"-")</f>
        <v>-</v>
      </c>
      <c r="I82" s="382" t="str">
        <f ca="1">IFERROR(E82*Changes!$B$1,"-")</f>
        <v>-</v>
      </c>
      <c r="J82" s="382" t="str">
        <f ca="1">IFERROR(F82*Changes!$B$1,"-")</f>
        <v>-</v>
      </c>
      <c r="K82" s="383" t="str">
        <f t="shared" ca="1" si="42"/>
        <v>-</v>
      </c>
      <c r="L82" s="383" t="str">
        <f t="shared" ca="1" si="43"/>
        <v>-</v>
      </c>
      <c r="M82" s="383" t="str">
        <f t="shared" ca="1" si="44"/>
        <v>-</v>
      </c>
      <c r="N82" s="383" t="str">
        <f t="shared" ca="1" si="45"/>
        <v>-</v>
      </c>
      <c r="O82" s="384">
        <f>[1]Particles!$B$13</f>
        <v>512373.33725154324</v>
      </c>
      <c r="P82" s="384">
        <f>[1]Particles!$B$5</f>
        <v>3152.8432598003224</v>
      </c>
      <c r="Q82" s="383">
        <f>IFERROR(VLOOKUP("s",[1]md!$A:$E,5,0)*14.3998434/U82*100,"-")</f>
        <v>1334.4856714340726</v>
      </c>
      <c r="R82" s="383">
        <f>IFERROR(VLOOKUP("s",[1]md!$A:$E,5,0)*14.3998434/V82*100,"-")</f>
        <v>1334.4949491421348</v>
      </c>
      <c r="S82" s="383">
        <f>IFERROR(VLOOKUP("s",[1]md!$A:$E,5,0)*14.3998434/W82*100,"-")</f>
        <v>1349.98531875</v>
      </c>
      <c r="T82" s="383">
        <f>IFERROR(VLOOKUP("s",[1]md!$A:$E,5,0)*14.3998434/X82*100,"-")</f>
        <v>1349.98531875</v>
      </c>
      <c r="U82" s="386">
        <v>2.4278752738635632</v>
      </c>
      <c r="V82" s="386">
        <v>2.4278583947303622</v>
      </c>
      <c r="W82" s="386">
        <v>2.4</v>
      </c>
      <c r="X82" s="386">
        <v>2.4</v>
      </c>
      <c r="Y82" s="382" t="str">
        <f t="shared" ca="1" si="46"/>
        <v>-</v>
      </c>
      <c r="Z82" s="382" t="str">
        <f t="shared" ca="1" si="47"/>
        <v>-</v>
      </c>
      <c r="AA82" s="382" t="str">
        <f t="shared" ca="1" si="48"/>
        <v>-</v>
      </c>
      <c r="AB82" s="382" t="str">
        <f t="shared" ca="1" si="49"/>
        <v>-</v>
      </c>
      <c r="AC82" s="382" t="str">
        <f ca="1">IFERROR(Changes!$B$2*Rotation!C82,"-")</f>
        <v>-</v>
      </c>
      <c r="AD82" s="382" t="str">
        <f ca="1">IFERROR(Changes!$B$2*Rotation!D82,"-")</f>
        <v>-</v>
      </c>
      <c r="AE82" s="382" t="str">
        <f ca="1">IFERROR(Changes!$B$2*Rotation!E82,"-")</f>
        <v>-</v>
      </c>
      <c r="AF82" s="382" t="str">
        <f ca="1">IFERROR(Changes!$B$2*Rotation!F82,"-")</f>
        <v>-</v>
      </c>
      <c r="AG82" s="382" t="e">
        <f ca="1">(AC82+AD82)*#REF!</f>
        <v>#VALUE!</v>
      </c>
      <c r="AH82" s="382" t="e">
        <f t="shared" ca="1" si="50"/>
        <v>#VALUE!</v>
      </c>
      <c r="AI82" s="382"/>
      <c r="AJ82" s="382"/>
      <c r="AK82" s="382">
        <f t="shared" si="51"/>
        <v>0.47771019035513124</v>
      </c>
      <c r="AL82" s="382">
        <f t="shared" si="52"/>
        <v>0.47771351152656016</v>
      </c>
      <c r="AM82" s="382">
        <f t="shared" si="53"/>
        <v>0.48325864968161619</v>
      </c>
      <c r="AN82" s="382">
        <f t="shared" si="54"/>
        <v>0.48325864968161619</v>
      </c>
      <c r="AO82" s="382">
        <f t="shared" si="59"/>
        <v>39.972276870325928</v>
      </c>
      <c r="AP82" s="382">
        <f t="shared" si="60"/>
        <v>39.972832668582043</v>
      </c>
      <c r="AQ82" s="382">
        <f t="shared" si="61"/>
        <v>40.906200982235795</v>
      </c>
      <c r="AR82" s="382">
        <f t="shared" si="62"/>
        <v>40.906200982235795</v>
      </c>
      <c r="AS82" s="388" t="str">
        <f t="shared" ca="1" si="55"/>
        <v>-</v>
      </c>
      <c r="AT82" s="388" t="str">
        <f t="shared" ca="1" si="56"/>
        <v>-</v>
      </c>
      <c r="AU82" s="388" t="str">
        <f t="shared" ca="1" si="57"/>
        <v>-</v>
      </c>
      <c r="AV82" s="388" t="str">
        <f t="shared" ca="1" si="58"/>
        <v>-</v>
      </c>
      <c r="AW82" s="382" t="e">
        <f>#REF!*SIN(#REF!)</f>
        <v>#REF!</v>
      </c>
      <c r="AX82" s="382" t="e">
        <f>#REF!*SIN(#REF!)</f>
        <v>#REF!</v>
      </c>
      <c r="AY82" s="382"/>
      <c r="AZ82" s="382"/>
      <c r="BA82" s="388" t="str">
        <f t="shared" ca="1" si="63"/>
        <v>-</v>
      </c>
      <c r="BB82" s="388" t="str">
        <f t="shared" ca="1" si="64"/>
        <v>-</v>
      </c>
      <c r="BC82" s="388" t="str">
        <f t="shared" ca="1" si="65"/>
        <v>-</v>
      </c>
      <c r="BD82" s="388" t="str">
        <f t="shared" ca="1" si="66"/>
        <v>-</v>
      </c>
    </row>
    <row r="83" spans="1:56" ht="15.75" thickTop="1">
      <c r="A83" t="str">
        <f>IF(ABC!A4=0,A82,ABC!A4)</f>
        <v>HOH</v>
      </c>
      <c r="C83" s="381">
        <f>ABC!Q4</f>
        <v>-14.699999998261431</v>
      </c>
      <c r="D83" s="381">
        <f>ABC!R4</f>
        <v>-12.617999976620444</v>
      </c>
      <c r="E83" s="381">
        <f>ABC!S4</f>
        <v>-12.617999976620444</v>
      </c>
      <c r="F83" s="381">
        <f>ABC!T4</f>
        <v>-14.699999998261434</v>
      </c>
      <c r="G83" s="382" t="str">
        <f ca="1">IFERROR(C83*Changes!$B$1,"-")</f>
        <v>-</v>
      </c>
      <c r="H83" s="382" t="str">
        <f ca="1">IFERROR(D83*Changes!$B$1,"-")</f>
        <v>-</v>
      </c>
      <c r="I83" s="382" t="str">
        <f ca="1">IFERROR(E83*Changes!$B$1,"-")</f>
        <v>-</v>
      </c>
      <c r="J83" s="382" t="str">
        <f ca="1">IFERROR(F83*Changes!$B$1,"-")</f>
        <v>-</v>
      </c>
      <c r="K83" s="383" t="str">
        <f t="shared" ca="1" si="42"/>
        <v>-</v>
      </c>
      <c r="L83" s="383" t="str">
        <f t="shared" ca="1" si="43"/>
        <v>-</v>
      </c>
      <c r="M83" s="383" t="str">
        <f t="shared" ca="1" si="44"/>
        <v>-</v>
      </c>
      <c r="N83" s="383" t="str">
        <f t="shared" ca="1" si="45"/>
        <v>-</v>
      </c>
      <c r="O83" s="384">
        <f>[1]Particles!$B$13</f>
        <v>512373.33725154324</v>
      </c>
      <c r="P83" s="384">
        <f>[1]Particles!$B$5</f>
        <v>3152.8432598003224</v>
      </c>
      <c r="Q83" s="383">
        <f>IFERROR(VLOOKUP("s",[1]md!$A:$E,5,0)*14.3998434/U83*100,"-")</f>
        <v>1334.4609316098724</v>
      </c>
      <c r="R83" s="383">
        <f>IFERROR(VLOOKUP("s",[1]md!$A:$E,5,0)*14.3998434/V83*100,"-")</f>
        <v>1334.4555096820195</v>
      </c>
      <c r="S83" s="383">
        <f>IFERROR(VLOOKUP("s",[1]md!$A:$E,5,0)*14.3998434/W83*100,"-")</f>
        <v>1334.4555096820195</v>
      </c>
      <c r="T83" s="383">
        <f>IFERROR(VLOOKUP("s",[1]md!$A:$E,5,0)*14.3998434/X83*100,"-")</f>
        <v>1334.4609316098724</v>
      </c>
      <c r="U83" s="386">
        <v>2.4279202847035455</v>
      </c>
      <c r="V83" s="386">
        <v>2.4279301494075547</v>
      </c>
      <c r="W83" s="386">
        <v>2.4279301494075547</v>
      </c>
      <c r="X83" s="386">
        <v>2.4279202847035455</v>
      </c>
      <c r="Y83" s="382" t="str">
        <f t="shared" ca="1" si="46"/>
        <v>-</v>
      </c>
      <c r="Z83" s="382" t="str">
        <f t="shared" ca="1" si="47"/>
        <v>-</v>
      </c>
      <c r="AA83" s="382" t="str">
        <f t="shared" ca="1" si="48"/>
        <v>-</v>
      </c>
      <c r="AB83" s="382" t="str">
        <f t="shared" ca="1" si="49"/>
        <v>-</v>
      </c>
      <c r="AC83" s="382" t="str">
        <f ca="1">IFERROR(Changes!$B$2*Rotation!C83,"-")</f>
        <v>-</v>
      </c>
      <c r="AD83" s="382" t="str">
        <f ca="1">IFERROR(Changes!$B$2*Rotation!D83,"-")</f>
        <v>-</v>
      </c>
      <c r="AE83" s="382" t="str">
        <f ca="1">IFERROR(Changes!$B$2*Rotation!E83,"-")</f>
        <v>-</v>
      </c>
      <c r="AF83" s="382" t="str">
        <f ca="1">IFERROR(Changes!$B$2*Rotation!F83,"-")</f>
        <v>-</v>
      </c>
      <c r="AG83" s="382" t="e">
        <f ca="1">(AC83+AD83)*ABC!CV4</f>
        <v>#VALUE!</v>
      </c>
      <c r="AH83" s="382" t="e">
        <f t="shared" ca="1" si="50"/>
        <v>#VALUE!</v>
      </c>
      <c r="AI83" s="382" t="e">
        <f ca="1">(AE83+AF83)*ABC!CZ4</f>
        <v>#VALUE!</v>
      </c>
      <c r="AJ83" s="382" t="e">
        <f t="shared" ref="AJ83:AJ113" ca="1" si="67">AE83+AF83-AI83</f>
        <v>#VALUE!</v>
      </c>
      <c r="AK83" s="382">
        <f t="shared" si="51"/>
        <v>0.47770133415953386</v>
      </c>
      <c r="AL83" s="382">
        <f t="shared" si="52"/>
        <v>0.47769939325432814</v>
      </c>
      <c r="AM83" s="382">
        <f t="shared" si="53"/>
        <v>0.47769939325432814</v>
      </c>
      <c r="AN83" s="382">
        <f t="shared" si="54"/>
        <v>0.47770133415953386</v>
      </c>
      <c r="AO83" s="382">
        <f t="shared" si="59"/>
        <v>39.970794804302699</v>
      </c>
      <c r="AP83" s="382">
        <f t="shared" si="60"/>
        <v>39.970470001499933</v>
      </c>
      <c r="AQ83" s="382">
        <f t="shared" si="61"/>
        <v>39.970470001499933</v>
      </c>
      <c r="AR83" s="382">
        <f t="shared" si="62"/>
        <v>39.970794804302699</v>
      </c>
      <c r="AS83" s="388" t="str">
        <f t="shared" ca="1" si="55"/>
        <v>-</v>
      </c>
      <c r="AT83" s="388" t="str">
        <f t="shared" ca="1" si="56"/>
        <v>-</v>
      </c>
      <c r="AU83" s="388" t="str">
        <f t="shared" ca="1" si="57"/>
        <v>-</v>
      </c>
      <c r="AV83" s="388" t="str">
        <f t="shared" ca="1" si="58"/>
        <v>-</v>
      </c>
      <c r="AW83" s="382">
        <f>ABC!AS4*SIN(ABC!AU4)</f>
        <v>0.838247632711143</v>
      </c>
      <c r="AX83" s="382">
        <f>ABC!AT4*SIN(ABC!AV4)</f>
        <v>0.91860824697708987</v>
      </c>
      <c r="AY83" s="382">
        <f>ABC!AX4*SIN(ABC!AZ4)</f>
        <v>0.91860824697708987</v>
      </c>
      <c r="AZ83" s="382">
        <f>ABC!AY4*SIN(ABC!BA4)</f>
        <v>0.838247632711143</v>
      </c>
      <c r="BA83" s="388" t="str">
        <f t="shared" ca="1" si="63"/>
        <v>-</v>
      </c>
      <c r="BB83" s="388" t="str">
        <f t="shared" ca="1" si="64"/>
        <v>-</v>
      </c>
      <c r="BC83" s="388" t="str">
        <f t="shared" ca="1" si="65"/>
        <v>-</v>
      </c>
      <c r="BD83" s="388" t="str">
        <f t="shared" ca="1" si="66"/>
        <v>-</v>
      </c>
    </row>
    <row r="84" spans="1:56">
      <c r="A84" t="str">
        <f>IF(ABC!A5=0,A83,ABC!A5)</f>
        <v>HOH</v>
      </c>
      <c r="C84" s="381">
        <f>ABC!Q5</f>
        <v>-14.700000000000001</v>
      </c>
      <c r="D84" s="381">
        <f>ABC!R5</f>
        <v>-12.618</v>
      </c>
      <c r="E84" s="381">
        <f>ABC!S5</f>
        <v>-12.618</v>
      </c>
      <c r="F84" s="381">
        <f>ABC!T5</f>
        <v>-14.700000000000001</v>
      </c>
      <c r="G84" s="382" t="str">
        <f ca="1">IFERROR(C84*Changes!$B$1,"-")</f>
        <v>-</v>
      </c>
      <c r="H84" s="382" t="str">
        <f ca="1">IFERROR(D84*Changes!$B$1,"-")</f>
        <v>-</v>
      </c>
      <c r="I84" s="382" t="str">
        <f ca="1">IFERROR(E84*Changes!$B$1,"-")</f>
        <v>-</v>
      </c>
      <c r="J84" s="382" t="str">
        <f ca="1">IFERROR(F84*Changes!$B$1,"-")</f>
        <v>-</v>
      </c>
      <c r="K84" s="383" t="str">
        <f t="shared" ca="1" si="42"/>
        <v>-</v>
      </c>
      <c r="L84" s="383" t="str">
        <f t="shared" ca="1" si="43"/>
        <v>-</v>
      </c>
      <c r="M84" s="383" t="str">
        <f t="shared" ca="1" si="44"/>
        <v>-</v>
      </c>
      <c r="N84" s="383" t="str">
        <f t="shared" ca="1" si="45"/>
        <v>-</v>
      </c>
      <c r="O84" s="384">
        <f>[1]Particles!$B$13</f>
        <v>512373.33725154324</v>
      </c>
      <c r="P84" s="384">
        <f>[1]Particles!$B$5</f>
        <v>3152.8432598003224</v>
      </c>
      <c r="Q84" s="383">
        <f>IFERROR(VLOOKUP("s",[1]md!$A:$E,5,0)*14.3998434/U84*100,"-")</f>
        <v>1334.460931609877</v>
      </c>
      <c r="R84" s="383">
        <f>IFERROR(VLOOKUP("s",[1]md!$A:$E,5,0)*14.3998434/V84*100,"-")</f>
        <v>1334.4555096820807</v>
      </c>
      <c r="S84" s="383">
        <f>IFERROR(VLOOKUP("s",[1]md!$A:$E,5,0)*14.3998434/W84*100,"-")</f>
        <v>1334.4555096820807</v>
      </c>
      <c r="T84" s="383">
        <f>IFERROR(VLOOKUP("s",[1]md!$A:$E,5,0)*14.3998434/X84*100,"-")</f>
        <v>1334.460931609877</v>
      </c>
      <c r="U84" s="386">
        <v>2.427920284703537</v>
      </c>
      <c r="V84" s="386">
        <v>2.4279301494074432</v>
      </c>
      <c r="W84" s="386">
        <v>2.4279301494074432</v>
      </c>
      <c r="X84" s="386">
        <v>2.427920284703537</v>
      </c>
      <c r="Y84" s="382" t="str">
        <f t="shared" ca="1" si="46"/>
        <v>-</v>
      </c>
      <c r="Z84" s="382" t="str">
        <f t="shared" ca="1" si="47"/>
        <v>-</v>
      </c>
      <c r="AA84" s="382" t="str">
        <f t="shared" ca="1" si="48"/>
        <v>-</v>
      </c>
      <c r="AB84" s="382" t="str">
        <f t="shared" ca="1" si="49"/>
        <v>-</v>
      </c>
      <c r="AC84" s="382" t="str">
        <f ca="1">IFERROR(Changes!$B$2*Rotation!C84,"-")</f>
        <v>-</v>
      </c>
      <c r="AD84" s="382" t="str">
        <f ca="1">IFERROR(Changes!$B$2*Rotation!D84,"-")</f>
        <v>-</v>
      </c>
      <c r="AE84" s="382" t="str">
        <f ca="1">IFERROR(Changes!$B$2*Rotation!E84,"-")</f>
        <v>-</v>
      </c>
      <c r="AF84" s="382" t="str">
        <f ca="1">IFERROR(Changes!$B$2*Rotation!F84,"-")</f>
        <v>-</v>
      </c>
      <c r="AG84" s="382" t="e">
        <f ca="1">(AC84+AD84)*ABC!CV5</f>
        <v>#VALUE!</v>
      </c>
      <c r="AH84" s="382" t="e">
        <f t="shared" ca="1" si="50"/>
        <v>#VALUE!</v>
      </c>
      <c r="AI84" s="382" t="e">
        <f ca="1">(AE84+AF84)*ABC!CZ5</f>
        <v>#VALUE!</v>
      </c>
      <c r="AJ84" s="382" t="e">
        <f t="shared" ca="1" si="67"/>
        <v>#VALUE!</v>
      </c>
      <c r="AK84" s="382">
        <f t="shared" si="51"/>
        <v>0.47770133415953564</v>
      </c>
      <c r="AL84" s="382">
        <f t="shared" si="52"/>
        <v>0.47769939325435001</v>
      </c>
      <c r="AM84" s="382">
        <f t="shared" si="53"/>
        <v>0.47769939325435001</v>
      </c>
      <c r="AN84" s="382">
        <f t="shared" si="54"/>
        <v>0.47770133415953564</v>
      </c>
      <c r="AO84" s="382">
        <f t="shared" si="59"/>
        <v>39.97079480430299</v>
      </c>
      <c r="AP84" s="382">
        <f t="shared" si="60"/>
        <v>39.970470001503593</v>
      </c>
      <c r="AQ84" s="382">
        <f t="shared" si="61"/>
        <v>39.970470001503593</v>
      </c>
      <c r="AR84" s="382">
        <f t="shared" si="62"/>
        <v>39.97079480430299</v>
      </c>
      <c r="AS84" s="388" t="str">
        <f t="shared" ca="1" si="55"/>
        <v>-</v>
      </c>
      <c r="AT84" s="388" t="str">
        <f t="shared" ca="1" si="56"/>
        <v>-</v>
      </c>
      <c r="AU84" s="388" t="str">
        <f t="shared" ca="1" si="57"/>
        <v>-</v>
      </c>
      <c r="AV84" s="388" t="str">
        <f t="shared" ca="1" si="58"/>
        <v>-</v>
      </c>
      <c r="AW84" s="382">
        <f>ABC!AS5*SIN(ABC!AU5)</f>
        <v>0.83523728736424296</v>
      </c>
      <c r="AX84" s="382">
        <f>ABC!AT5*SIN(ABC!AV5)</f>
        <v>0.92254168219656485</v>
      </c>
      <c r="AY84" s="382">
        <f>ABC!AX5*SIN(ABC!AZ5)</f>
        <v>0.92254168219656485</v>
      </c>
      <c r="AZ84" s="382">
        <f>ABC!AY5*SIN(ABC!BA5)</f>
        <v>0.83523728736424296</v>
      </c>
      <c r="BA84" s="388" t="str">
        <f t="shared" ca="1" si="63"/>
        <v>-</v>
      </c>
      <c r="BB84" s="388" t="str">
        <f t="shared" ca="1" si="64"/>
        <v>-</v>
      </c>
      <c r="BC84" s="388" t="str">
        <f t="shared" ca="1" si="65"/>
        <v>-</v>
      </c>
      <c r="BD84" s="388" t="str">
        <f t="shared" ca="1" si="66"/>
        <v>-</v>
      </c>
    </row>
    <row r="85" spans="1:56">
      <c r="A85" t="str">
        <f>IF(ABC!A6=0,A84,ABC!A6)</f>
        <v>HOH</v>
      </c>
      <c r="C85" s="381">
        <f>ABC!Q6</f>
        <v>-14.699999999999998</v>
      </c>
      <c r="D85" s="381">
        <f>ABC!R6</f>
        <v>-12.618</v>
      </c>
      <c r="E85" s="381">
        <f>ABC!S6</f>
        <v>-12.618</v>
      </c>
      <c r="F85" s="381">
        <f>ABC!T6</f>
        <v>-14.699999999999998</v>
      </c>
      <c r="G85" s="382" t="str">
        <f ca="1">IFERROR(C85*Changes!$B$1,"-")</f>
        <v>-</v>
      </c>
      <c r="H85" s="382" t="str">
        <f ca="1">IFERROR(D85*Changes!$B$1,"-")</f>
        <v>-</v>
      </c>
      <c r="I85" s="382" t="str">
        <f ca="1">IFERROR(E85*Changes!$B$1,"-")</f>
        <v>-</v>
      </c>
      <c r="J85" s="382" t="str">
        <f ca="1">IFERROR(F85*Changes!$B$1,"-")</f>
        <v>-</v>
      </c>
      <c r="K85" s="383" t="str">
        <f t="shared" ca="1" si="42"/>
        <v>-</v>
      </c>
      <c r="L85" s="383" t="str">
        <f t="shared" ca="1" si="43"/>
        <v>-</v>
      </c>
      <c r="M85" s="383" t="str">
        <f t="shared" ca="1" si="44"/>
        <v>-</v>
      </c>
      <c r="N85" s="383" t="str">
        <f t="shared" ca="1" si="45"/>
        <v>-</v>
      </c>
      <c r="O85" s="384">
        <f>[1]Particles!$B$13</f>
        <v>512373.33725154324</v>
      </c>
      <c r="P85" s="384">
        <f>[1]Particles!$B$5</f>
        <v>3152.8432598003224</v>
      </c>
      <c r="Q85" s="383">
        <f>IFERROR(VLOOKUP("s",[1]md!$A:$E,5,0)*14.3998434/U85*100,"-")</f>
        <v>1334.460931609877</v>
      </c>
      <c r="R85" s="383">
        <f>IFERROR(VLOOKUP("s",[1]md!$A:$E,5,0)*14.3998434/V85*100,"-")</f>
        <v>1334.4555096820807</v>
      </c>
      <c r="S85" s="383">
        <f>IFERROR(VLOOKUP("s",[1]md!$A:$E,5,0)*14.3998434/W85*100,"-")</f>
        <v>1334.4555096820807</v>
      </c>
      <c r="T85" s="383">
        <f>IFERROR(VLOOKUP("s",[1]md!$A:$E,5,0)*14.3998434/X85*100,"-")</f>
        <v>1334.460931609877</v>
      </c>
      <c r="U85" s="386">
        <v>2.427920284703537</v>
      </c>
      <c r="V85" s="386">
        <v>2.4279301494074432</v>
      </c>
      <c r="W85" s="386">
        <v>2.4279301494074432</v>
      </c>
      <c r="X85" s="386">
        <v>2.427920284703537</v>
      </c>
      <c r="Y85" s="382" t="str">
        <f t="shared" ca="1" si="46"/>
        <v>-</v>
      </c>
      <c r="Z85" s="382" t="str">
        <f t="shared" ca="1" si="47"/>
        <v>-</v>
      </c>
      <c r="AA85" s="382" t="str">
        <f t="shared" ca="1" si="48"/>
        <v>-</v>
      </c>
      <c r="AB85" s="382" t="str">
        <f t="shared" ca="1" si="49"/>
        <v>-</v>
      </c>
      <c r="AC85" s="382" t="str">
        <f ca="1">IFERROR(Changes!$B$2*Rotation!C85,"-")</f>
        <v>-</v>
      </c>
      <c r="AD85" s="382" t="str">
        <f ca="1">IFERROR(Changes!$B$2*Rotation!D85,"-")</f>
        <v>-</v>
      </c>
      <c r="AE85" s="382" t="str">
        <f ca="1">IFERROR(Changes!$B$2*Rotation!E85,"-")</f>
        <v>-</v>
      </c>
      <c r="AF85" s="382" t="str">
        <f ca="1">IFERROR(Changes!$B$2*Rotation!F85,"-")</f>
        <v>-</v>
      </c>
      <c r="AG85" s="382" t="e">
        <f ca="1">(AC85+AD85)*ABC!CV6</f>
        <v>#VALUE!</v>
      </c>
      <c r="AH85" s="382" t="e">
        <f t="shared" ca="1" si="50"/>
        <v>#VALUE!</v>
      </c>
      <c r="AI85" s="382" t="e">
        <f ca="1">(AE85+AF85)*ABC!CZ6</f>
        <v>#VALUE!</v>
      </c>
      <c r="AJ85" s="382" t="e">
        <f t="shared" ca="1" si="67"/>
        <v>#VALUE!</v>
      </c>
      <c r="AK85" s="382">
        <f t="shared" si="51"/>
        <v>0.47770133415953564</v>
      </c>
      <c r="AL85" s="382">
        <f t="shared" si="52"/>
        <v>0.47769939325435001</v>
      </c>
      <c r="AM85" s="382">
        <f t="shared" si="53"/>
        <v>0.47769939325435001</v>
      </c>
      <c r="AN85" s="382">
        <f t="shared" si="54"/>
        <v>0.47770133415953564</v>
      </c>
      <c r="AO85" s="382">
        <f t="shared" si="59"/>
        <v>39.97079480430299</v>
      </c>
      <c r="AP85" s="382">
        <f t="shared" si="60"/>
        <v>39.970470001503593</v>
      </c>
      <c r="AQ85" s="382">
        <f t="shared" si="61"/>
        <v>39.970470001503593</v>
      </c>
      <c r="AR85" s="382">
        <f t="shared" si="62"/>
        <v>39.97079480430299</v>
      </c>
      <c r="AS85" s="388" t="str">
        <f t="shared" ca="1" si="55"/>
        <v>-</v>
      </c>
      <c r="AT85" s="388" t="str">
        <f t="shared" ca="1" si="56"/>
        <v>-</v>
      </c>
      <c r="AU85" s="388" t="str">
        <f t="shared" ca="1" si="57"/>
        <v>-</v>
      </c>
      <c r="AV85" s="388" t="str">
        <f t="shared" ca="1" si="58"/>
        <v>-</v>
      </c>
      <c r="AW85" s="382">
        <f>ABC!AS6*SIN(ABC!AU6)</f>
        <v>0.84043808661358466</v>
      </c>
      <c r="AX85" s="382">
        <f>ABC!AT6*SIN(ABC!AV6)</f>
        <v>0.91735214609216231</v>
      </c>
      <c r="AY85" s="382">
        <f>ABC!AX6*SIN(ABC!AZ6)</f>
        <v>0.91735214609216231</v>
      </c>
      <c r="AZ85" s="382">
        <f>ABC!AY6*SIN(ABC!BA6)</f>
        <v>0.84043808661358466</v>
      </c>
      <c r="BA85" s="388" t="str">
        <f t="shared" ca="1" si="63"/>
        <v>-</v>
      </c>
      <c r="BB85" s="388" t="str">
        <f t="shared" ca="1" si="64"/>
        <v>-</v>
      </c>
      <c r="BC85" s="388" t="str">
        <f t="shared" ca="1" si="65"/>
        <v>-</v>
      </c>
      <c r="BD85" s="388" t="str">
        <f t="shared" ca="1" si="66"/>
        <v>-</v>
      </c>
    </row>
    <row r="86" spans="1:56">
      <c r="A86" t="str">
        <f>IF(ABC!A7=0,A85,ABC!A7)</f>
        <v>HSH</v>
      </c>
      <c r="C86" s="381">
        <f>ABC!Q7</f>
        <v>-13.2</v>
      </c>
      <c r="D86" s="381">
        <f>ABC!R7</f>
        <v>-10.457000000000004</v>
      </c>
      <c r="E86" s="381">
        <f>ABC!S7</f>
        <v>-10.457000000000004</v>
      </c>
      <c r="F86" s="381">
        <f>ABC!T7</f>
        <v>-13.2</v>
      </c>
      <c r="G86" s="382" t="str">
        <f ca="1">IFERROR(C86*Changes!$B$1,"-")</f>
        <v>-</v>
      </c>
      <c r="H86" s="382" t="str">
        <f ca="1">IFERROR(D86*Changes!$B$1,"-")</f>
        <v>-</v>
      </c>
      <c r="I86" s="382" t="str">
        <f ca="1">IFERROR(E86*Changes!$B$1,"-")</f>
        <v>-</v>
      </c>
      <c r="J86" s="382" t="str">
        <f ca="1">IFERROR(F86*Changes!$B$1,"-")</f>
        <v>-</v>
      </c>
      <c r="K86" s="383" t="str">
        <f t="shared" ca="1" si="42"/>
        <v>-</v>
      </c>
      <c r="L86" s="383" t="str">
        <f t="shared" ca="1" si="43"/>
        <v>-</v>
      </c>
      <c r="M86" s="383" t="str">
        <f t="shared" ca="1" si="44"/>
        <v>-</v>
      </c>
      <c r="N86" s="383" t="str">
        <f t="shared" ca="1" si="45"/>
        <v>-</v>
      </c>
      <c r="O86" s="384">
        <f>[1]Particles!$B$13</f>
        <v>512373.33725154324</v>
      </c>
      <c r="P86" s="384">
        <f>[1]Particles!$B$5</f>
        <v>3152.8432598003224</v>
      </c>
      <c r="Q86" s="383">
        <f>IFERROR(VLOOKUP("s",[1]md!$A:$E,5,0)*14.3998434/U86*100,"-")</f>
        <v>1334.4570253218394</v>
      </c>
      <c r="R86" s="383">
        <f>IFERROR(VLOOKUP("s",[1]md!$A:$E,5,0)*14.3998434/V86*100,"-")</f>
        <v>1334.4498820231108</v>
      </c>
      <c r="S86" s="383">
        <f>IFERROR(VLOOKUP("s",[1]md!$A:$E,5,0)*14.3998434/W86*100,"-")</f>
        <v>1334.4498820231108</v>
      </c>
      <c r="T86" s="383">
        <f>IFERROR(VLOOKUP("s",[1]md!$A:$E,5,0)*14.3998434/X86*100,"-")</f>
        <v>1334.4570253218394</v>
      </c>
      <c r="U86" s="386">
        <v>2.4279273918308437</v>
      </c>
      <c r="V86" s="386">
        <v>2.4279403885052675</v>
      </c>
      <c r="W86" s="386">
        <v>2.4279403885052675</v>
      </c>
      <c r="X86" s="386">
        <v>2.4279273918308437</v>
      </c>
      <c r="Y86" s="382" t="str">
        <f t="shared" ca="1" si="46"/>
        <v>-</v>
      </c>
      <c r="Z86" s="382" t="str">
        <f t="shared" ca="1" si="47"/>
        <v>-</v>
      </c>
      <c r="AA86" s="382" t="str">
        <f t="shared" ca="1" si="48"/>
        <v>-</v>
      </c>
      <c r="AB86" s="382" t="str">
        <f t="shared" ca="1" si="49"/>
        <v>-</v>
      </c>
      <c r="AC86" s="382" t="str">
        <f ca="1">IFERROR(Changes!$B$2*Rotation!C86,"-")</f>
        <v>-</v>
      </c>
      <c r="AD86" s="382" t="str">
        <f ca="1">IFERROR(Changes!$B$2*Rotation!D86,"-")</f>
        <v>-</v>
      </c>
      <c r="AE86" s="382" t="str">
        <f ca="1">IFERROR(Changes!$B$2*Rotation!E86,"-")</f>
        <v>-</v>
      </c>
      <c r="AF86" s="382" t="str">
        <f ca="1">IFERROR(Changes!$B$2*Rotation!F86,"-")</f>
        <v>-</v>
      </c>
      <c r="AG86" s="382" t="e">
        <f ca="1">(AC86+AD86)*ABC!CV7</f>
        <v>#VALUE!</v>
      </c>
      <c r="AH86" s="382" t="e">
        <f t="shared" ca="1" si="50"/>
        <v>#VALUE!</v>
      </c>
      <c r="AI86" s="382" t="e">
        <f ca="1">(AE86+AF86)*ABC!CZ7</f>
        <v>#VALUE!</v>
      </c>
      <c r="AJ86" s="382" t="e">
        <f t="shared" ca="1" si="67"/>
        <v>#VALUE!</v>
      </c>
      <c r="AK86" s="382">
        <f t="shared" si="51"/>
        <v>0.47769993581286013</v>
      </c>
      <c r="AL86" s="382">
        <f t="shared" si="52"/>
        <v>0.47769737870290491</v>
      </c>
      <c r="AM86" s="382">
        <f t="shared" si="53"/>
        <v>0.47769737870290491</v>
      </c>
      <c r="AN86" s="382">
        <f t="shared" si="54"/>
        <v>0.47769993581286013</v>
      </c>
      <c r="AO86" s="382">
        <f t="shared" si="59"/>
        <v>39.970560796389549</v>
      </c>
      <c r="AP86" s="382">
        <f t="shared" si="60"/>
        <v>39.970132875689949</v>
      </c>
      <c r="AQ86" s="382">
        <f t="shared" si="61"/>
        <v>39.970132875689949</v>
      </c>
      <c r="AR86" s="382">
        <f t="shared" si="62"/>
        <v>39.970560796389549</v>
      </c>
      <c r="AS86" s="388" t="str">
        <f t="shared" ca="1" si="55"/>
        <v>-</v>
      </c>
      <c r="AT86" s="388" t="str">
        <f t="shared" ca="1" si="56"/>
        <v>-</v>
      </c>
      <c r="AU86" s="388" t="str">
        <f t="shared" ca="1" si="57"/>
        <v>-</v>
      </c>
      <c r="AV86" s="388" t="str">
        <f t="shared" ca="1" si="58"/>
        <v>-</v>
      </c>
      <c r="AW86" s="382">
        <f>ABC!AS7*SIN(ABC!AU7)</f>
        <v>0.99270216878620487</v>
      </c>
      <c r="AX86" s="382">
        <f>ABC!AT7*SIN(ABC!AV7)</f>
        <v>1.1540024245440783</v>
      </c>
      <c r="AY86" s="382">
        <f>ABC!AX7*SIN(ABC!AZ7)</f>
        <v>1.1540024245440783</v>
      </c>
      <c r="AZ86" s="382">
        <f>ABC!AY7*SIN(ABC!BA7)</f>
        <v>0.99270216878620487</v>
      </c>
      <c r="BA86" s="388" t="str">
        <f t="shared" ca="1" si="63"/>
        <v>-</v>
      </c>
      <c r="BB86" s="388" t="str">
        <f t="shared" ca="1" si="64"/>
        <v>-</v>
      </c>
      <c r="BC86" s="388" t="str">
        <f t="shared" ca="1" si="65"/>
        <v>-</v>
      </c>
      <c r="BD86" s="388" t="str">
        <f t="shared" ca="1" si="66"/>
        <v>-</v>
      </c>
    </row>
    <row r="87" spans="1:56">
      <c r="A87" t="str">
        <f>IF(ABC!A8=0,A86,ABC!A8)</f>
        <v>HSH</v>
      </c>
      <c r="C87" s="381">
        <f>ABC!Q8</f>
        <v>-13.200000000000003</v>
      </c>
      <c r="D87" s="381">
        <f>ABC!R8</f>
        <v>-10.456999999999997</v>
      </c>
      <c r="E87" s="381">
        <f>ABC!S8</f>
        <v>-10.457000000000001</v>
      </c>
      <c r="F87" s="381">
        <f>ABC!T8</f>
        <v>-13.2</v>
      </c>
      <c r="G87" s="382" t="str">
        <f ca="1">IFERROR(C87*Changes!$B$1,"-")</f>
        <v>-</v>
      </c>
      <c r="H87" s="382" t="str">
        <f ca="1">IFERROR(D87*Changes!$B$1,"-")</f>
        <v>-</v>
      </c>
      <c r="I87" s="382" t="str">
        <f ca="1">IFERROR(E87*Changes!$B$1,"-")</f>
        <v>-</v>
      </c>
      <c r="J87" s="382" t="str">
        <f ca="1">IFERROR(F87*Changes!$B$1,"-")</f>
        <v>-</v>
      </c>
      <c r="K87" s="383" t="str">
        <f t="shared" ca="1" si="42"/>
        <v>-</v>
      </c>
      <c r="L87" s="383" t="str">
        <f t="shared" ca="1" si="43"/>
        <v>-</v>
      </c>
      <c r="M87" s="383" t="str">
        <f t="shared" ca="1" si="44"/>
        <v>-</v>
      </c>
      <c r="N87" s="383" t="str">
        <f t="shared" ca="1" si="45"/>
        <v>-</v>
      </c>
      <c r="O87" s="384">
        <f>[1]Particles!$B$13</f>
        <v>512373.33725154324</v>
      </c>
      <c r="P87" s="384">
        <f>[1]Particles!$B$5</f>
        <v>3152.8432598003224</v>
      </c>
      <c r="Q87" s="383">
        <f>IFERROR(VLOOKUP("s",[1]md!$A:$E,5,0)*14.3998434/U87*100,"-")</f>
        <v>1334.4570253218394</v>
      </c>
      <c r="R87" s="383">
        <f>IFERROR(VLOOKUP("s",[1]md!$A:$E,5,0)*14.3998434/V87*100,"-")</f>
        <v>1334.4498820231108</v>
      </c>
      <c r="S87" s="383">
        <f>IFERROR(VLOOKUP("s",[1]md!$A:$E,5,0)*14.3998434/W87*100,"-")</f>
        <v>1334.4498820231108</v>
      </c>
      <c r="T87" s="383">
        <f>IFERROR(VLOOKUP("s",[1]md!$A:$E,5,0)*14.3998434/X87*100,"-")</f>
        <v>1334.4570253218394</v>
      </c>
      <c r="U87" s="386">
        <v>2.4279273918308437</v>
      </c>
      <c r="V87" s="386">
        <v>2.4279403885052675</v>
      </c>
      <c r="W87" s="386">
        <v>2.4279403885052675</v>
      </c>
      <c r="X87" s="386">
        <v>2.4279273918308437</v>
      </c>
      <c r="Y87" s="382" t="str">
        <f t="shared" ca="1" si="46"/>
        <v>-</v>
      </c>
      <c r="Z87" s="382" t="str">
        <f t="shared" ca="1" si="47"/>
        <v>-</v>
      </c>
      <c r="AA87" s="382" t="str">
        <f t="shared" ca="1" si="48"/>
        <v>-</v>
      </c>
      <c r="AB87" s="382" t="str">
        <f t="shared" ca="1" si="49"/>
        <v>-</v>
      </c>
      <c r="AC87" s="382" t="str">
        <f ca="1">IFERROR(Changes!$B$2*Rotation!C87,"-")</f>
        <v>-</v>
      </c>
      <c r="AD87" s="382" t="str">
        <f ca="1">IFERROR(Changes!$B$2*Rotation!D87,"-")</f>
        <v>-</v>
      </c>
      <c r="AE87" s="382" t="str">
        <f ca="1">IFERROR(Changes!$B$2*Rotation!E87,"-")</f>
        <v>-</v>
      </c>
      <c r="AF87" s="382" t="str">
        <f ca="1">IFERROR(Changes!$B$2*Rotation!F87,"-")</f>
        <v>-</v>
      </c>
      <c r="AG87" s="382" t="e">
        <f ca="1">(AC87+AD87)*ABC!CV8</f>
        <v>#VALUE!</v>
      </c>
      <c r="AH87" s="382" t="e">
        <f t="shared" ca="1" si="50"/>
        <v>#VALUE!</v>
      </c>
      <c r="AI87" s="382" t="e">
        <f ca="1">(AE87+AF87)*ABC!CZ8</f>
        <v>#VALUE!</v>
      </c>
      <c r="AJ87" s="382" t="e">
        <f t="shared" ca="1" si="67"/>
        <v>#VALUE!</v>
      </c>
      <c r="AK87" s="382">
        <f t="shared" si="51"/>
        <v>0.47769993581286013</v>
      </c>
      <c r="AL87" s="382">
        <f t="shared" si="52"/>
        <v>0.47769737870290491</v>
      </c>
      <c r="AM87" s="382">
        <f t="shared" si="53"/>
        <v>0.47769737870290491</v>
      </c>
      <c r="AN87" s="382">
        <f t="shared" si="54"/>
        <v>0.47769993581286013</v>
      </c>
      <c r="AO87" s="382">
        <f t="shared" si="59"/>
        <v>39.970560796389549</v>
      </c>
      <c r="AP87" s="382">
        <f t="shared" si="60"/>
        <v>39.970132875689949</v>
      </c>
      <c r="AQ87" s="382">
        <f t="shared" si="61"/>
        <v>39.970132875689949</v>
      </c>
      <c r="AR87" s="382">
        <f t="shared" si="62"/>
        <v>39.970560796389549</v>
      </c>
      <c r="AS87" s="388" t="str">
        <f t="shared" ca="1" si="55"/>
        <v>-</v>
      </c>
      <c r="AT87" s="388" t="str">
        <f t="shared" ca="1" si="56"/>
        <v>-</v>
      </c>
      <c r="AU87" s="388" t="str">
        <f t="shared" ca="1" si="57"/>
        <v>-</v>
      </c>
      <c r="AV87" s="388" t="str">
        <f t="shared" ca="1" si="58"/>
        <v>-</v>
      </c>
      <c r="AW87" s="382">
        <f>ABC!AS8*SIN(ABC!AU8)</f>
        <v>0.99389333312832884</v>
      </c>
      <c r="AX87" s="382">
        <f>ABC!AT8*SIN(ABC!AV8)</f>
        <v>1.158043772447372</v>
      </c>
      <c r="AY87" s="382">
        <f>ABC!AX8*SIN(ABC!AZ8)</f>
        <v>1.158043772447372</v>
      </c>
      <c r="AZ87" s="382">
        <f>ABC!AY8*SIN(ABC!BA8)</f>
        <v>0.99389333312832884</v>
      </c>
      <c r="BA87" s="388" t="str">
        <f t="shared" ca="1" si="63"/>
        <v>-</v>
      </c>
      <c r="BB87" s="388" t="str">
        <f t="shared" ca="1" si="64"/>
        <v>-</v>
      </c>
      <c r="BC87" s="388" t="str">
        <f t="shared" ca="1" si="65"/>
        <v>-</v>
      </c>
      <c r="BD87" s="388" t="str">
        <f t="shared" ca="1" si="66"/>
        <v>-</v>
      </c>
    </row>
    <row r="88" spans="1:56">
      <c r="A88" t="str">
        <f>IF(ABC!A9=0,A87,ABC!A9)</f>
        <v>OSO</v>
      </c>
      <c r="C88" s="381">
        <f>ABC!Q9</f>
        <v>-13.049999999999999</v>
      </c>
      <c r="D88" s="381">
        <f>ABC!R9</f>
        <v>-12.349000000000006</v>
      </c>
      <c r="E88" s="381">
        <f>ABC!S9</f>
        <v>-12.349000000000006</v>
      </c>
      <c r="F88" s="381">
        <f>ABC!T9</f>
        <v>-13.049999999999999</v>
      </c>
      <c r="G88" s="382" t="str">
        <f ca="1">IFERROR(C88*Changes!$B$1,"-")</f>
        <v>-</v>
      </c>
      <c r="H88" s="382" t="str">
        <f ca="1">IFERROR(D88*Changes!$B$1,"-")</f>
        <v>-</v>
      </c>
      <c r="I88" s="382" t="str">
        <f ca="1">IFERROR(E88*Changes!$B$1,"-")</f>
        <v>-</v>
      </c>
      <c r="J88" s="382" t="str">
        <f ca="1">IFERROR(F88*Changes!$B$1,"-")</f>
        <v>-</v>
      </c>
      <c r="K88" s="383" t="str">
        <f t="shared" ca="1" si="42"/>
        <v>-</v>
      </c>
      <c r="L88" s="383" t="str">
        <f t="shared" ca="1" si="43"/>
        <v>-</v>
      </c>
      <c r="M88" s="383" t="str">
        <f t="shared" ca="1" si="44"/>
        <v>-</v>
      </c>
      <c r="N88" s="383" t="str">
        <f t="shared" ca="1" si="45"/>
        <v>-</v>
      </c>
      <c r="O88" s="384">
        <f>[1]Particles!$B$13</f>
        <v>512373.33725154324</v>
      </c>
      <c r="P88" s="384">
        <f>[1]Particles!$B$5</f>
        <v>3152.8432598003224</v>
      </c>
      <c r="Q88" s="383">
        <f>IFERROR(VLOOKUP("s",[1]md!$A:$E,5,0)*14.3998434/U88*100,"-")</f>
        <v>1334.4566346930358</v>
      </c>
      <c r="R88" s="383">
        <f>IFERROR(VLOOKUP("s",[1]md!$A:$E,5,0)*14.3998434/V88*100,"-")</f>
        <v>1334.4548091544259</v>
      </c>
      <c r="S88" s="383">
        <f>IFERROR(VLOOKUP("s",[1]md!$A:$E,5,0)*14.3998434/W88*100,"-")</f>
        <v>1334.4548091544259</v>
      </c>
      <c r="T88" s="383">
        <f>IFERROR(VLOOKUP("s",[1]md!$A:$E,5,0)*14.3998434/X88*100,"-")</f>
        <v>1334.4566346930358</v>
      </c>
      <c r="U88" s="386">
        <v>2.4279281025458626</v>
      </c>
      <c r="V88" s="386">
        <v>2.4279314239595688</v>
      </c>
      <c r="W88" s="386">
        <v>2.4279314239595688</v>
      </c>
      <c r="X88" s="386">
        <v>2.4279281025458626</v>
      </c>
      <c r="Y88" s="382" t="str">
        <f t="shared" ca="1" si="46"/>
        <v>-</v>
      </c>
      <c r="Z88" s="382" t="str">
        <f t="shared" ca="1" si="47"/>
        <v>-</v>
      </c>
      <c r="AA88" s="382" t="str">
        <f t="shared" ca="1" si="48"/>
        <v>-</v>
      </c>
      <c r="AB88" s="382" t="str">
        <f t="shared" ca="1" si="49"/>
        <v>-</v>
      </c>
      <c r="AC88" s="382" t="str">
        <f ca="1">IFERROR(Changes!$B$2*Rotation!C88,"-")</f>
        <v>-</v>
      </c>
      <c r="AD88" s="382" t="str">
        <f ca="1">IFERROR(Changes!$B$2*Rotation!D88,"-")</f>
        <v>-</v>
      </c>
      <c r="AE88" s="382" t="str">
        <f ca="1">IFERROR(Changes!$B$2*Rotation!E88,"-")</f>
        <v>-</v>
      </c>
      <c r="AF88" s="382" t="str">
        <f ca="1">IFERROR(Changes!$B$2*Rotation!F88,"-")</f>
        <v>-</v>
      </c>
      <c r="AG88" s="382" t="e">
        <f ca="1">(AC88+AD88)*ABC!CV9</f>
        <v>#VALUE!</v>
      </c>
      <c r="AH88" s="382" t="e">
        <f t="shared" ca="1" si="50"/>
        <v>#VALUE!</v>
      </c>
      <c r="AI88" s="382" t="e">
        <f ca="1">(AE88+AF88)*ABC!CZ9</f>
        <v>#VALUE!</v>
      </c>
      <c r="AJ88" s="382" t="e">
        <f t="shared" ca="1" si="67"/>
        <v>#VALUE!</v>
      </c>
      <c r="AK88" s="382">
        <f t="shared" si="51"/>
        <v>0.47769979597819273</v>
      </c>
      <c r="AL88" s="382">
        <f t="shared" si="52"/>
        <v>0.4776991424841795</v>
      </c>
      <c r="AM88" s="382">
        <f t="shared" si="53"/>
        <v>0.4776991424841795</v>
      </c>
      <c r="AN88" s="382">
        <f t="shared" si="54"/>
        <v>0.47769979597819273</v>
      </c>
      <c r="AO88" s="382">
        <f t="shared" si="59"/>
        <v>39.970537395635915</v>
      </c>
      <c r="AP88" s="382">
        <f t="shared" si="60"/>
        <v>39.970428036204538</v>
      </c>
      <c r="AQ88" s="382">
        <f t="shared" si="61"/>
        <v>39.970428036204538</v>
      </c>
      <c r="AR88" s="382">
        <f t="shared" si="62"/>
        <v>39.970537395635915</v>
      </c>
      <c r="AS88" s="388" t="str">
        <f t="shared" ca="1" si="55"/>
        <v>-</v>
      </c>
      <c r="AT88" s="388" t="str">
        <f t="shared" ca="1" si="56"/>
        <v>-</v>
      </c>
      <c r="AU88" s="388" t="str">
        <f t="shared" ca="1" si="57"/>
        <v>-</v>
      </c>
      <c r="AV88" s="388" t="str">
        <f t="shared" ca="1" si="58"/>
        <v>-</v>
      </c>
      <c r="AW88" s="382">
        <f>ABC!AS9*SIN(ABC!AU9)</f>
        <v>1.0147637131033178</v>
      </c>
      <c r="AX88" s="382">
        <f>ABC!AT9*SIN(ABC!AV9)</f>
        <v>1.0674670517878528</v>
      </c>
      <c r="AY88" s="382">
        <f>ABC!AX9*SIN(ABC!AZ9)</f>
        <v>1.0674670517878528</v>
      </c>
      <c r="AZ88" s="382">
        <f>ABC!AY9*SIN(ABC!BA9)</f>
        <v>1.0147637131033178</v>
      </c>
      <c r="BA88" s="388" t="str">
        <f t="shared" ca="1" si="63"/>
        <v>-</v>
      </c>
      <c r="BB88" s="388" t="str">
        <f t="shared" ca="1" si="64"/>
        <v>-</v>
      </c>
      <c r="BC88" s="388" t="str">
        <f t="shared" ca="1" si="65"/>
        <v>-</v>
      </c>
      <c r="BD88" s="388" t="str">
        <f t="shared" ca="1" si="66"/>
        <v>-</v>
      </c>
    </row>
    <row r="89" spans="1:56">
      <c r="A89" t="str">
        <f>IF(ABC!A10=0,A88,ABC!A10)</f>
        <v>OCO</v>
      </c>
      <c r="C89" s="381">
        <f>ABC!Q10</f>
        <v>-17.600000000000001</v>
      </c>
      <c r="D89" s="381">
        <f>ABC!R10</f>
        <v>-13.777000000000001</v>
      </c>
      <c r="E89" s="381">
        <f>ABC!S10</f>
        <v>-13.777000000000001</v>
      </c>
      <c r="F89" s="381">
        <f>ABC!T10</f>
        <v>-17.600000000000001</v>
      </c>
      <c r="G89" s="382" t="str">
        <f ca="1">IFERROR(C89*Changes!$B$1,"-")</f>
        <v>-</v>
      </c>
      <c r="H89" s="382" t="str">
        <f ca="1">IFERROR(D89*Changes!$B$1,"-")</f>
        <v>-</v>
      </c>
      <c r="I89" s="382" t="str">
        <f ca="1">IFERROR(E89*Changes!$B$1,"-")</f>
        <v>-</v>
      </c>
      <c r="J89" s="382" t="str">
        <f ca="1">IFERROR(F89*Changes!$B$1,"-")</f>
        <v>-</v>
      </c>
      <c r="K89" s="383" t="str">
        <f t="shared" ca="1" si="42"/>
        <v>-</v>
      </c>
      <c r="L89" s="383" t="str">
        <f t="shared" ca="1" si="43"/>
        <v>-</v>
      </c>
      <c r="M89" s="383" t="str">
        <f t="shared" ca="1" si="44"/>
        <v>-</v>
      </c>
      <c r="N89" s="383" t="str">
        <f t="shared" ca="1" si="45"/>
        <v>-</v>
      </c>
      <c r="O89" s="384">
        <f>[1]Particles!$B$13</f>
        <v>512373.33725154324</v>
      </c>
      <c r="P89" s="384">
        <f>[1]Particles!$B$5</f>
        <v>3152.8432598003224</v>
      </c>
      <c r="Q89" s="383">
        <f>IFERROR(VLOOKUP("s",[1]md!$A:$E,5,0)*14.3998434/U89*100,"-")</f>
        <v>1334.4684837667444</v>
      </c>
      <c r="R89" s="383">
        <f>IFERROR(VLOOKUP("s",[1]md!$A:$E,5,0)*14.3998434/V89*100,"-")</f>
        <v>1334.4585279406381</v>
      </c>
      <c r="S89" s="383">
        <f>IFERROR(VLOOKUP("s",[1]md!$A:$E,5,0)*14.3998434/W89*100,"-")</f>
        <v>1334.4585279406381</v>
      </c>
      <c r="T89" s="383">
        <f>IFERROR(VLOOKUP("s",[1]md!$A:$E,5,0)*14.3998434/X89*100,"-")</f>
        <v>1334.4684837667444</v>
      </c>
      <c r="U89" s="386">
        <v>2.4279065443754031</v>
      </c>
      <c r="V89" s="386">
        <v>2.4279246579509484</v>
      </c>
      <c r="W89" s="386">
        <v>2.4279246579509484</v>
      </c>
      <c r="X89" s="386">
        <v>2.4279065443754031</v>
      </c>
      <c r="Y89" s="382" t="str">
        <f t="shared" ca="1" si="46"/>
        <v>-</v>
      </c>
      <c r="Z89" s="382" t="str">
        <f t="shared" ca="1" si="47"/>
        <v>-</v>
      </c>
      <c r="AA89" s="382" t="str">
        <f t="shared" ca="1" si="48"/>
        <v>-</v>
      </c>
      <c r="AB89" s="382" t="str">
        <f t="shared" ca="1" si="49"/>
        <v>-</v>
      </c>
      <c r="AC89" s="382" t="str">
        <f ca="1">IFERROR(Changes!$B$2*Rotation!C89,"-")</f>
        <v>-</v>
      </c>
      <c r="AD89" s="382" t="str">
        <f ca="1">IFERROR(Changes!$B$2*Rotation!D89,"-")</f>
        <v>-</v>
      </c>
      <c r="AE89" s="382" t="str">
        <f ca="1">IFERROR(Changes!$B$2*Rotation!E89,"-")</f>
        <v>-</v>
      </c>
      <c r="AF89" s="382" t="str">
        <f ca="1">IFERROR(Changes!$B$2*Rotation!F89,"-")</f>
        <v>-</v>
      </c>
      <c r="AG89" s="382" t="e">
        <f ca="1">(AC89+AD89)*ABC!CV10</f>
        <v>#VALUE!</v>
      </c>
      <c r="AH89" s="382" t="e">
        <f t="shared" ca="1" si="50"/>
        <v>#VALUE!</v>
      </c>
      <c r="AI89" s="382" t="e">
        <f ca="1">(AE89+AF89)*ABC!CZ10</f>
        <v>#VALUE!</v>
      </c>
      <c r="AJ89" s="382" t="e">
        <f t="shared" ca="1" si="67"/>
        <v>#VALUE!</v>
      </c>
      <c r="AK89" s="382">
        <f t="shared" si="51"/>
        <v>0.47770403762977282</v>
      </c>
      <c r="AL89" s="382">
        <f t="shared" si="52"/>
        <v>0.47770047371021473</v>
      </c>
      <c r="AM89" s="382">
        <f t="shared" si="53"/>
        <v>0.47770047371021473</v>
      </c>
      <c r="AN89" s="382">
        <f t="shared" si="54"/>
        <v>0.47770403762977282</v>
      </c>
      <c r="AO89" s="382">
        <f t="shared" si="59"/>
        <v>39.971247221544289</v>
      </c>
      <c r="AP89" s="382">
        <f t="shared" si="60"/>
        <v>39.970650811352535</v>
      </c>
      <c r="AQ89" s="382">
        <f t="shared" si="61"/>
        <v>39.970650811352535</v>
      </c>
      <c r="AR89" s="382">
        <f t="shared" si="62"/>
        <v>39.971247221544289</v>
      </c>
      <c r="AS89" s="388" t="str">
        <f t="shared" ca="1" si="55"/>
        <v>-</v>
      </c>
      <c r="AT89" s="388" t="str">
        <f t="shared" ca="1" si="56"/>
        <v>-</v>
      </c>
      <c r="AU89" s="388" t="str">
        <f t="shared" ca="1" si="57"/>
        <v>-</v>
      </c>
      <c r="AV89" s="388" t="str">
        <f t="shared" ca="1" si="58"/>
        <v>-</v>
      </c>
      <c r="AW89" s="382">
        <f>ABC!AS10*SIN(ABC!AU10)</f>
        <v>0.76563433769119094</v>
      </c>
      <c r="AX89" s="382">
        <f>ABC!AT10*SIN(ABC!AV10)</f>
        <v>0.93137266180454004</v>
      </c>
      <c r="AY89" s="382">
        <f>ABC!AX10*SIN(ABC!AZ10)</f>
        <v>0.93137266180454004</v>
      </c>
      <c r="AZ89" s="382">
        <f>ABC!AY10*SIN(ABC!BA10)</f>
        <v>0.76563433769119094</v>
      </c>
      <c r="BA89" s="388" t="str">
        <f t="shared" ca="1" si="63"/>
        <v>-</v>
      </c>
      <c r="BB89" s="388" t="str">
        <f t="shared" ca="1" si="64"/>
        <v>-</v>
      </c>
      <c r="BC89" s="388" t="str">
        <f t="shared" ca="1" si="65"/>
        <v>-</v>
      </c>
      <c r="BD89" s="388" t="str">
        <f t="shared" ca="1" si="66"/>
        <v>-</v>
      </c>
    </row>
    <row r="90" spans="1:56">
      <c r="A90" t="str">
        <f>IF(ABC!A11=0,A89,ABC!A11)</f>
        <v>SCS</v>
      </c>
      <c r="C90" s="381">
        <f>ABC!Q11</f>
        <v>-10.073000003922177</v>
      </c>
      <c r="D90" s="381">
        <f>ABC!R11</f>
        <v>-12.900000013474136</v>
      </c>
      <c r="E90" s="381">
        <f>ABC!S11</f>
        <v>-12.900000013474136</v>
      </c>
      <c r="F90" s="381">
        <f>ABC!T11</f>
        <v>-10.073000003922184</v>
      </c>
      <c r="G90" s="382" t="str">
        <f ca="1">IFERROR(C90*Changes!$B$1,"-")</f>
        <v>-</v>
      </c>
      <c r="H90" s="382" t="str">
        <f ca="1">IFERROR(D90*Changes!$B$1,"-")</f>
        <v>-</v>
      </c>
      <c r="I90" s="382" t="str">
        <f ca="1">IFERROR(E90*Changes!$B$1,"-")</f>
        <v>-</v>
      </c>
      <c r="J90" s="382" t="str">
        <f ca="1">IFERROR(F90*Changes!$B$1,"-")</f>
        <v>-</v>
      </c>
      <c r="K90" s="383" t="str">
        <f t="shared" ca="1" si="42"/>
        <v>-</v>
      </c>
      <c r="L90" s="383" t="str">
        <f t="shared" ca="1" si="43"/>
        <v>-</v>
      </c>
      <c r="M90" s="383" t="str">
        <f t="shared" ca="1" si="44"/>
        <v>-</v>
      </c>
      <c r="N90" s="383" t="str">
        <f t="shared" ca="1" si="45"/>
        <v>-</v>
      </c>
      <c r="O90" s="384">
        <f>[1]Particles!$B$13</f>
        <v>512373.33725154324</v>
      </c>
      <c r="P90" s="384">
        <f>[1]Particles!$B$5</f>
        <v>3152.8432598003224</v>
      </c>
      <c r="Q90" s="383">
        <f>IFERROR(VLOOKUP("s",[1]md!$A:$E,5,0)*14.3998434/U90*100,"-")</f>
        <v>1334.448882013382</v>
      </c>
      <c r="R90" s="383">
        <f>IFERROR(VLOOKUP("s",[1]md!$A:$E,5,0)*14.3998434/V90*100,"-")</f>
        <v>1334.4562440642669</v>
      </c>
      <c r="S90" s="383">
        <f>IFERROR(VLOOKUP("s",[1]md!$A:$E,5,0)*14.3998434/W90*100,"-")</f>
        <v>1334.4562440642669</v>
      </c>
      <c r="T90" s="383">
        <f>IFERROR(VLOOKUP("s",[1]md!$A:$E,5,0)*14.3998434/X90*100,"-")</f>
        <v>1334.448882013382</v>
      </c>
      <c r="U90" s="386">
        <v>2.42794220795601</v>
      </c>
      <c r="V90" s="386">
        <v>2.4279288132612344</v>
      </c>
      <c r="W90" s="386">
        <v>2.4279288132612344</v>
      </c>
      <c r="X90" s="386">
        <v>2.42794220795601</v>
      </c>
      <c r="Y90" s="382" t="str">
        <f t="shared" ca="1" si="46"/>
        <v>-</v>
      </c>
      <c r="Z90" s="382" t="str">
        <f t="shared" ca="1" si="47"/>
        <v>-</v>
      </c>
      <c r="AA90" s="382" t="str">
        <f t="shared" ca="1" si="48"/>
        <v>-</v>
      </c>
      <c r="AB90" s="382" t="str">
        <f t="shared" ca="1" si="49"/>
        <v>-</v>
      </c>
      <c r="AC90" s="382" t="str">
        <f ca="1">IFERROR(Changes!$B$2*Rotation!C90,"-")</f>
        <v>-</v>
      </c>
      <c r="AD90" s="382" t="str">
        <f ca="1">IFERROR(Changes!$B$2*Rotation!D90,"-")</f>
        <v>-</v>
      </c>
      <c r="AE90" s="382" t="str">
        <f ca="1">IFERROR(Changes!$B$2*Rotation!E90,"-")</f>
        <v>-</v>
      </c>
      <c r="AF90" s="382" t="str">
        <f ca="1">IFERROR(Changes!$B$2*Rotation!F90,"-")</f>
        <v>-</v>
      </c>
      <c r="AG90" s="382" t="e">
        <f ca="1">(AC90+AD90)*ABC!CV11</f>
        <v>#VALUE!</v>
      </c>
      <c r="AH90" s="382" t="e">
        <f t="shared" ca="1" si="50"/>
        <v>#VALUE!</v>
      </c>
      <c r="AI90" s="382" t="e">
        <f ca="1">(AE90+AF90)*ABC!CZ11</f>
        <v>#VALUE!</v>
      </c>
      <c r="AJ90" s="382" t="e">
        <f t="shared" ca="1" si="67"/>
        <v>#VALUE!</v>
      </c>
      <c r="AK90" s="382">
        <f t="shared" si="51"/>
        <v>0.47769702072615916</v>
      </c>
      <c r="AL90" s="382">
        <f t="shared" si="52"/>
        <v>0.4776996561435376</v>
      </c>
      <c r="AM90" s="382">
        <f t="shared" si="53"/>
        <v>0.4776996561435376</v>
      </c>
      <c r="AN90" s="382">
        <f t="shared" si="54"/>
        <v>0.47769702072615916</v>
      </c>
      <c r="AO90" s="382">
        <f t="shared" si="59"/>
        <v>39.970072970095444</v>
      </c>
      <c r="AP90" s="382">
        <f t="shared" si="60"/>
        <v>39.970513994891171</v>
      </c>
      <c r="AQ90" s="382">
        <f t="shared" si="61"/>
        <v>39.970513994891171</v>
      </c>
      <c r="AR90" s="382">
        <f t="shared" si="62"/>
        <v>39.970072970095444</v>
      </c>
      <c r="AS90" s="388" t="str">
        <f t="shared" ca="1" si="55"/>
        <v>-</v>
      </c>
      <c r="AT90" s="388" t="str">
        <f t="shared" ca="1" si="56"/>
        <v>-</v>
      </c>
      <c r="AU90" s="388" t="str">
        <f t="shared" ca="1" si="57"/>
        <v>-</v>
      </c>
      <c r="AV90" s="388" t="str">
        <f t="shared" ca="1" si="58"/>
        <v>-</v>
      </c>
      <c r="AW90" s="382">
        <f>ABC!AS11*SIN(ABC!AU11)</f>
        <v>1.2698511066863234</v>
      </c>
      <c r="AX90" s="382">
        <f>ABC!AT11*SIN(ABC!AV11)</f>
        <v>1.0424803701390808</v>
      </c>
      <c r="AY90" s="382">
        <f>ABC!AX11*SIN(ABC!AZ11)</f>
        <v>1.0424803701390808</v>
      </c>
      <c r="AZ90" s="382">
        <f>ABC!AY11*SIN(ABC!BA11)</f>
        <v>1.2698511066863234</v>
      </c>
      <c r="BA90" s="388" t="str">
        <f t="shared" ca="1" si="63"/>
        <v>-</v>
      </c>
      <c r="BB90" s="388" t="str">
        <f t="shared" ca="1" si="64"/>
        <v>-</v>
      </c>
      <c r="BC90" s="388" t="str">
        <f t="shared" ca="1" si="65"/>
        <v>-</v>
      </c>
      <c r="BD90" s="388" t="str">
        <f t="shared" ca="1" si="66"/>
        <v>-</v>
      </c>
    </row>
    <row r="91" spans="1:56">
      <c r="A91" t="str">
        <f>IF(ABC!A12=0,A90,ABC!A12)</f>
        <v>HNH</v>
      </c>
      <c r="C91" s="381">
        <f>ABC!Q12</f>
        <v>-10.780000000000003</v>
      </c>
      <c r="D91" s="381">
        <f>ABC!R12</f>
        <v>-21.322762492426264</v>
      </c>
      <c r="E91" s="381">
        <f>ABC!S12</f>
        <v>-21.322762492426264</v>
      </c>
      <c r="F91" s="381">
        <f>ABC!T12</f>
        <v>-10.780000000000003</v>
      </c>
      <c r="G91" s="382" t="str">
        <f ca="1">IFERROR(C91*Changes!$B$1,"-")</f>
        <v>-</v>
      </c>
      <c r="H91" s="382" t="str">
        <f ca="1">IFERROR(D91*Changes!$B$1,"-")</f>
        <v>-</v>
      </c>
      <c r="I91" s="382" t="str">
        <f ca="1">IFERROR(E91*Changes!$B$1,"-")</f>
        <v>-</v>
      </c>
      <c r="J91" s="382" t="str">
        <f ca="1">IFERROR(F91*Changes!$B$1,"-")</f>
        <v>-</v>
      </c>
      <c r="K91" s="383" t="str">
        <f t="shared" ca="1" si="42"/>
        <v>-</v>
      </c>
      <c r="L91" s="383" t="str">
        <f t="shared" ca="1" si="43"/>
        <v>-</v>
      </c>
      <c r="M91" s="383" t="str">
        <f t="shared" ca="1" si="44"/>
        <v>-</v>
      </c>
      <c r="N91" s="383" t="str">
        <f t="shared" ca="1" si="45"/>
        <v>-</v>
      </c>
      <c r="O91" s="384">
        <f>[1]Particles!$B$13</f>
        <v>512373.33725154324</v>
      </c>
      <c r="P91" s="384">
        <f>[1]Particles!$B$5</f>
        <v>3152.8432598003224</v>
      </c>
      <c r="Q91" s="383">
        <f>IFERROR(VLOOKUP("s",[1]md!$A:$E,5,0)*14.3998434/U91*100,"-")</f>
        <v>1334.4507231771356</v>
      </c>
      <c r="R91" s="383">
        <f>IFERROR(VLOOKUP("s",[1]md!$A:$E,5,0)*14.3998434/V91*100,"-")</f>
        <v>1334.478178555122</v>
      </c>
      <c r="S91" s="383">
        <f>IFERROR(VLOOKUP("s",[1]md!$A:$E,5,0)*14.3998434/W91*100,"-")</f>
        <v>1334.478178555122</v>
      </c>
      <c r="T91" s="383">
        <f>IFERROR(VLOOKUP("s",[1]md!$A:$E,5,0)*14.3998434/X91*100,"-")</f>
        <v>1334.4507231771356</v>
      </c>
      <c r="U91" s="386">
        <v>2.4279388580839529</v>
      </c>
      <c r="V91" s="386">
        <v>2.4278889059902076</v>
      </c>
      <c r="W91" s="386">
        <v>2.4278889059902076</v>
      </c>
      <c r="X91" s="386">
        <v>2.4279388580839529</v>
      </c>
      <c r="Y91" s="382" t="str">
        <f t="shared" ca="1" si="46"/>
        <v>-</v>
      </c>
      <c r="Z91" s="382" t="str">
        <f t="shared" ca="1" si="47"/>
        <v>-</v>
      </c>
      <c r="AA91" s="382" t="str">
        <f t="shared" ca="1" si="48"/>
        <v>-</v>
      </c>
      <c r="AB91" s="382" t="str">
        <f t="shared" ca="1" si="49"/>
        <v>-</v>
      </c>
      <c r="AC91" s="382" t="str">
        <f ca="1">IFERROR(Changes!$B$2*Rotation!C91,"-")</f>
        <v>-</v>
      </c>
      <c r="AD91" s="382" t="str">
        <f ca="1">IFERROR(Changes!$B$2*Rotation!D91,"-")</f>
        <v>-</v>
      </c>
      <c r="AE91" s="382" t="str">
        <f ca="1">IFERROR(Changes!$B$2*Rotation!E91,"-")</f>
        <v>-</v>
      </c>
      <c r="AF91" s="382" t="str">
        <f ca="1">IFERROR(Changes!$B$2*Rotation!F91,"-")</f>
        <v>-</v>
      </c>
      <c r="AG91" s="382" t="e">
        <f ca="1">(AC91+AD91)*ABC!CV12</f>
        <v>#VALUE!</v>
      </c>
      <c r="AH91" s="382" t="e">
        <f t="shared" ca="1" si="50"/>
        <v>#VALUE!</v>
      </c>
      <c r="AI91" s="382" t="e">
        <f ca="1">(AE91+AF91)*ABC!CZ12</f>
        <v>#VALUE!</v>
      </c>
      <c r="AJ91" s="382" t="e">
        <f t="shared" ca="1" si="67"/>
        <v>#VALUE!</v>
      </c>
      <c r="AK91" s="382">
        <f t="shared" si="51"/>
        <v>0.4776976798135561</v>
      </c>
      <c r="AL91" s="382">
        <f t="shared" si="52"/>
        <v>0.47770750810480322</v>
      </c>
      <c r="AM91" s="382">
        <f t="shared" si="53"/>
        <v>0.47770750810480322</v>
      </c>
      <c r="AN91" s="382">
        <f t="shared" si="54"/>
        <v>0.4776976798135561</v>
      </c>
      <c r="AO91" s="382">
        <f t="shared" si="59"/>
        <v>39.970183265066439</v>
      </c>
      <c r="AP91" s="382">
        <f t="shared" si="60"/>
        <v>39.971827998378402</v>
      </c>
      <c r="AQ91" s="382">
        <f t="shared" si="61"/>
        <v>39.971827998378402</v>
      </c>
      <c r="AR91" s="382">
        <f t="shared" si="62"/>
        <v>39.970183265066439</v>
      </c>
      <c r="AS91" s="388" t="str">
        <f t="shared" ca="1" si="55"/>
        <v>-</v>
      </c>
      <c r="AT91" s="388" t="str">
        <f t="shared" ca="1" si="56"/>
        <v>-</v>
      </c>
      <c r="AU91" s="388" t="str">
        <f t="shared" ca="1" si="57"/>
        <v>-</v>
      </c>
      <c r="AV91" s="388" t="str">
        <f t="shared" ca="1" si="58"/>
        <v>-</v>
      </c>
      <c r="AW91" s="382">
        <f>ABC!AS12*SIN(ABC!AU12)</f>
        <v>1.0290976942234487</v>
      </c>
      <c r="AX91" s="382">
        <f>ABC!AT12*SIN(ABC!AV12)</f>
        <v>0.63329053464217255</v>
      </c>
      <c r="AY91" s="382">
        <f>ABC!AX12*SIN(ABC!AZ12)</f>
        <v>0.63329053464217255</v>
      </c>
      <c r="AZ91" s="382">
        <f>ABC!AY12*SIN(ABC!BA12)</f>
        <v>1.0290976942234487</v>
      </c>
      <c r="BA91" s="388" t="str">
        <f t="shared" ca="1" si="63"/>
        <v>-</v>
      </c>
      <c r="BB91" s="388" t="str">
        <f t="shared" ca="1" si="64"/>
        <v>-</v>
      </c>
      <c r="BC91" s="388" t="str">
        <f t="shared" ca="1" si="65"/>
        <v>-</v>
      </c>
      <c r="BD91" s="388" t="str">
        <f t="shared" ca="1" si="66"/>
        <v>-</v>
      </c>
    </row>
    <row r="92" spans="1:56">
      <c r="A92" t="str">
        <f>IF(ABC!A13=0,A91,ABC!A13)</f>
        <v>OOO</v>
      </c>
      <c r="C92" s="381">
        <f>ABC!Q13</f>
        <v>-12.53</v>
      </c>
      <c r="D92" s="381">
        <f>ABC!R13</f>
        <v>-15.847699984944393</v>
      </c>
      <c r="E92" s="381">
        <f>ABC!S13</f>
        <v>-15.847699984944393</v>
      </c>
      <c r="F92" s="381">
        <f>ABC!T13</f>
        <v>-12.53</v>
      </c>
      <c r="G92" s="382" t="str">
        <f ca="1">IFERROR(C92*Changes!$B$1,"-")</f>
        <v>-</v>
      </c>
      <c r="H92" s="382" t="str">
        <f ca="1">IFERROR(D92*Changes!$B$1,"-")</f>
        <v>-</v>
      </c>
      <c r="I92" s="382" t="str">
        <f ca="1">IFERROR(E92*Changes!$B$1,"-")</f>
        <v>-</v>
      </c>
      <c r="J92" s="382" t="str">
        <f ca="1">IFERROR(F92*Changes!$B$1,"-")</f>
        <v>-</v>
      </c>
      <c r="K92" s="383" t="str">
        <f t="shared" ca="1" si="42"/>
        <v>-</v>
      </c>
      <c r="L92" s="383" t="str">
        <f t="shared" ca="1" si="43"/>
        <v>-</v>
      </c>
      <c r="M92" s="383" t="str">
        <f t="shared" ca="1" si="44"/>
        <v>-</v>
      </c>
      <c r="N92" s="383" t="str">
        <f t="shared" ca="1" si="45"/>
        <v>-</v>
      </c>
      <c r="O92" s="384">
        <f>[1]Particles!$B$13</f>
        <v>512373.33725154324</v>
      </c>
      <c r="P92" s="384">
        <f>[1]Particles!$B$5</f>
        <v>3152.8432598003224</v>
      </c>
      <c r="Q92" s="383">
        <f>IFERROR(VLOOKUP("s",[1]md!$A:$E,5,0)*14.3998434/U92*100,"-")</f>
        <v>1334.4552805131825</v>
      </c>
      <c r="R92" s="383">
        <f>IFERROR(VLOOKUP("s",[1]md!$A:$E,5,0)*14.3998434/V92*100,"-")</f>
        <v>1334.4639204410237</v>
      </c>
      <c r="S92" s="383">
        <f>IFERROR(VLOOKUP("s",[1]md!$A:$E,5,0)*14.3998434/W92*100,"-")</f>
        <v>1334.4639204410237</v>
      </c>
      <c r="T92" s="383">
        <f>IFERROR(VLOOKUP("s",[1]md!$A:$E,5,0)*14.3998434/X92*100,"-")</f>
        <v>1334.4552805131825</v>
      </c>
      <c r="U92" s="386">
        <v>2.4279305663611512</v>
      </c>
      <c r="V92" s="386">
        <v>2.4279148468317016</v>
      </c>
      <c r="W92" s="386">
        <v>2.4279148468317016</v>
      </c>
      <c r="X92" s="386">
        <v>2.4279305663611512</v>
      </c>
      <c r="Y92" s="382" t="str">
        <f t="shared" ca="1" si="46"/>
        <v>-</v>
      </c>
      <c r="Z92" s="382" t="str">
        <f t="shared" ca="1" si="47"/>
        <v>-</v>
      </c>
      <c r="AA92" s="382" t="str">
        <f t="shared" ca="1" si="48"/>
        <v>-</v>
      </c>
      <c r="AB92" s="382" t="str">
        <f t="shared" ca="1" si="49"/>
        <v>-</v>
      </c>
      <c r="AC92" s="382" t="str">
        <f ca="1">IFERROR(Changes!$B$2*Rotation!C92,"-")</f>
        <v>-</v>
      </c>
      <c r="AD92" s="382" t="str">
        <f ca="1">IFERROR(Changes!$B$2*Rotation!D92,"-")</f>
        <v>-</v>
      </c>
      <c r="AE92" s="382" t="str">
        <f ca="1">IFERROR(Changes!$B$2*Rotation!E92,"-")</f>
        <v>-</v>
      </c>
      <c r="AF92" s="382" t="str">
        <f ca="1">IFERROR(Changes!$B$2*Rotation!F92,"-")</f>
        <v>-</v>
      </c>
      <c r="AG92" s="382" t="e">
        <f ca="1">(AC92+AD92)*ABC!CV13</f>
        <v>#VALUE!</v>
      </c>
      <c r="AH92" s="382" t="e">
        <f t="shared" ca="1" si="50"/>
        <v>#VALUE!</v>
      </c>
      <c r="AI92" s="382" t="e">
        <f ca="1">(AE92+AF92)*ABC!CZ13</f>
        <v>#VALUE!</v>
      </c>
      <c r="AJ92" s="382" t="e">
        <f t="shared" ca="1" si="67"/>
        <v>#VALUE!</v>
      </c>
      <c r="AK92" s="382">
        <f t="shared" si="51"/>
        <v>0.47769931121801168</v>
      </c>
      <c r="AL92" s="382">
        <f t="shared" si="52"/>
        <v>0.47770240408117398</v>
      </c>
      <c r="AM92" s="382">
        <f t="shared" si="53"/>
        <v>0.47770240408117398</v>
      </c>
      <c r="AN92" s="382">
        <f t="shared" si="54"/>
        <v>0.47769931121801168</v>
      </c>
      <c r="AO92" s="382">
        <f t="shared" si="59"/>
        <v>39.970456273076195</v>
      </c>
      <c r="AP92" s="382">
        <f t="shared" si="60"/>
        <v>39.970973852017934</v>
      </c>
      <c r="AQ92" s="382">
        <f t="shared" si="61"/>
        <v>39.970973852017934</v>
      </c>
      <c r="AR92" s="382">
        <f t="shared" si="62"/>
        <v>39.970456273076195</v>
      </c>
      <c r="AS92" s="388" t="str">
        <f t="shared" ca="1" si="55"/>
        <v>-</v>
      </c>
      <c r="AT92" s="388" t="str">
        <f t="shared" ca="1" si="56"/>
        <v>-</v>
      </c>
      <c r="AU92" s="388" t="str">
        <f t="shared" ca="1" si="57"/>
        <v>-</v>
      </c>
      <c r="AV92" s="388" t="str">
        <f t="shared" ca="1" si="58"/>
        <v>-</v>
      </c>
      <c r="AW92" s="382">
        <f>ABC!AS13*SIN(ABC!AU13)</f>
        <v>1.0273611192448548</v>
      </c>
      <c r="AX92" s="382">
        <f>ABC!AT13*SIN(ABC!AV13)</f>
        <v>0.84847036389388464</v>
      </c>
      <c r="AY92" s="382">
        <f>ABC!AX13*SIN(ABC!AZ13)</f>
        <v>0.84847036389388464</v>
      </c>
      <c r="AZ92" s="382">
        <f>ABC!AY13*SIN(ABC!BA13)</f>
        <v>1.0273611192448548</v>
      </c>
      <c r="BA92" s="388" t="str">
        <f t="shared" ca="1" si="63"/>
        <v>-</v>
      </c>
      <c r="BB92" s="388" t="str">
        <f t="shared" ca="1" si="64"/>
        <v>-</v>
      </c>
      <c r="BC92" s="388" t="str">
        <f t="shared" ca="1" si="65"/>
        <v>-</v>
      </c>
      <c r="BD92" s="388" t="str">
        <f t="shared" ca="1" si="66"/>
        <v>-</v>
      </c>
    </row>
    <row r="93" spans="1:56">
      <c r="A93" t="str">
        <f>IF(ABC!A14=0,A92,ABC!A14)</f>
        <v>ClOCl</v>
      </c>
      <c r="C93" s="381">
        <f>ABC!Q14</f>
        <v>-10.909999999999997</v>
      </c>
      <c r="D93" s="381">
        <f>ABC!R14</f>
        <v>-11.119833903361528</v>
      </c>
      <c r="E93" s="381">
        <f>ABC!S14</f>
        <v>-11.119833903361528</v>
      </c>
      <c r="F93" s="381">
        <f>ABC!T14</f>
        <v>-10.909999999999997</v>
      </c>
      <c r="G93" s="382" t="str">
        <f ca="1">IFERROR(C93*Changes!$B$1,"-")</f>
        <v>-</v>
      </c>
      <c r="H93" s="382" t="str">
        <f ca="1">IFERROR(D93*Changes!$B$1,"-")</f>
        <v>-</v>
      </c>
      <c r="I93" s="382" t="str">
        <f ca="1">IFERROR(E93*Changes!$B$1,"-")</f>
        <v>-</v>
      </c>
      <c r="J93" s="382" t="str">
        <f ca="1">IFERROR(F93*Changes!$B$1,"-")</f>
        <v>-</v>
      </c>
      <c r="K93" s="383" t="str">
        <f t="shared" ca="1" si="42"/>
        <v>-</v>
      </c>
      <c r="L93" s="383" t="str">
        <f t="shared" ca="1" si="43"/>
        <v>-</v>
      </c>
      <c r="M93" s="383" t="str">
        <f t="shared" ca="1" si="44"/>
        <v>-</v>
      </c>
      <c r="N93" s="383" t="str">
        <f t="shared" ca="1" si="45"/>
        <v>-</v>
      </c>
      <c r="O93" s="384">
        <f>[1]Particles!$B$13</f>
        <v>512373.33725154324</v>
      </c>
      <c r="P93" s="384">
        <f>[1]Particles!$B$5</f>
        <v>3152.8432598003224</v>
      </c>
      <c r="Q93" s="383">
        <f>IFERROR(VLOOKUP("s",[1]md!$A:$E,5,0)*14.3998434/U93*100,"-")</f>
        <v>1334.4510617220992</v>
      </c>
      <c r="R93" s="383">
        <f>IFERROR(VLOOKUP("s",[1]md!$A:$E,5,0)*14.3998434/V93*100,"-")</f>
        <v>1334.4516081698773</v>
      </c>
      <c r="S93" s="383">
        <f>IFERROR(VLOOKUP("s",[1]md!$A:$E,5,0)*14.3998434/W93*100,"-")</f>
        <v>1334.4516081698773</v>
      </c>
      <c r="T93" s="383">
        <f>IFERROR(VLOOKUP("s",[1]md!$A:$E,5,0)*14.3998434/X93*100,"-")</f>
        <v>1334.4510617220992</v>
      </c>
      <c r="U93" s="386">
        <v>2.4279382421254545</v>
      </c>
      <c r="V93" s="386">
        <v>2.4279372479032215</v>
      </c>
      <c r="W93" s="386">
        <v>2.4279372479032215</v>
      </c>
      <c r="X93" s="386">
        <v>2.4279382421254545</v>
      </c>
      <c r="Y93" s="382" t="str">
        <f t="shared" ca="1" si="46"/>
        <v>-</v>
      </c>
      <c r="Z93" s="382" t="str">
        <f t="shared" ca="1" si="47"/>
        <v>-</v>
      </c>
      <c r="AA93" s="382" t="str">
        <f t="shared" ca="1" si="48"/>
        <v>-</v>
      </c>
      <c r="AB93" s="382" t="str">
        <f t="shared" ca="1" si="49"/>
        <v>-</v>
      </c>
      <c r="AC93" s="382" t="str">
        <f ca="1">IFERROR(Changes!$B$2*Rotation!C93,"-")</f>
        <v>-</v>
      </c>
      <c r="AD93" s="382" t="str">
        <f ca="1">IFERROR(Changes!$B$2*Rotation!D93,"-")</f>
        <v>-</v>
      </c>
      <c r="AE93" s="382" t="str">
        <f ca="1">IFERROR(Changes!$B$2*Rotation!E93,"-")</f>
        <v>-</v>
      </c>
      <c r="AF93" s="382" t="str">
        <f ca="1">IFERROR(Changes!$B$2*Rotation!F93,"-")</f>
        <v>-</v>
      </c>
      <c r="AG93" s="382" t="e">
        <f ca="1">(AC93+AD93)*ABC!CV14</f>
        <v>#VALUE!</v>
      </c>
      <c r="AH93" s="382" t="e">
        <f t="shared" ca="1" si="50"/>
        <v>#VALUE!</v>
      </c>
      <c r="AI93" s="382" t="e">
        <f ca="1">(AE93+AF93)*ABC!CZ14</f>
        <v>#VALUE!</v>
      </c>
      <c r="AJ93" s="382" t="e">
        <f t="shared" ca="1" si="67"/>
        <v>#VALUE!</v>
      </c>
      <c r="AK93" s="382">
        <f t="shared" si="51"/>
        <v>0.47769780100360132</v>
      </c>
      <c r="AL93" s="382">
        <f t="shared" si="52"/>
        <v>0.47769799661729551</v>
      </c>
      <c r="AM93" s="382">
        <f t="shared" si="53"/>
        <v>0.47769799661729551</v>
      </c>
      <c r="AN93" s="382">
        <f t="shared" si="54"/>
        <v>0.47769780100360132</v>
      </c>
      <c r="AO93" s="382">
        <f t="shared" si="59"/>
        <v>39.970203545629381</v>
      </c>
      <c r="AP93" s="382">
        <f t="shared" si="60"/>
        <v>39.97023628063782</v>
      </c>
      <c r="AQ93" s="382">
        <f t="shared" si="61"/>
        <v>39.97023628063782</v>
      </c>
      <c r="AR93" s="382">
        <f t="shared" si="62"/>
        <v>39.970203545629381</v>
      </c>
      <c r="AS93" s="388" t="str">
        <f t="shared" ca="1" si="55"/>
        <v>-</v>
      </c>
      <c r="AT93" s="388" t="str">
        <f t="shared" ca="1" si="56"/>
        <v>-</v>
      </c>
      <c r="AU93" s="388" t="str">
        <f t="shared" ca="1" si="57"/>
        <v>-</v>
      </c>
      <c r="AV93" s="388" t="str">
        <f t="shared" ca="1" si="58"/>
        <v>-</v>
      </c>
      <c r="AW93" s="382">
        <f>ABC!AS14*SIN(ABC!AU14)</f>
        <v>1.2113202396338825</v>
      </c>
      <c r="AX93" s="382">
        <f>ABC!AT14*SIN(ABC!AV14)</f>
        <v>1.1911922319425865</v>
      </c>
      <c r="AY93" s="382">
        <f>ABC!AX14*SIN(ABC!AZ14)</f>
        <v>1.1911922319425865</v>
      </c>
      <c r="AZ93" s="382">
        <f>ABC!AY14*SIN(ABC!BA14)</f>
        <v>1.2113202396338825</v>
      </c>
      <c r="BA93" s="388" t="str">
        <f t="shared" ca="1" si="63"/>
        <v>-</v>
      </c>
      <c r="BB93" s="388" t="str">
        <f t="shared" ca="1" si="64"/>
        <v>-</v>
      </c>
      <c r="BC93" s="388" t="str">
        <f t="shared" ca="1" si="65"/>
        <v>-</v>
      </c>
      <c r="BD93" s="388" t="str">
        <f t="shared" ca="1" si="66"/>
        <v>-</v>
      </c>
    </row>
    <row r="94" spans="1:56">
      <c r="A94" t="str">
        <f>IF(ABC!A15=0,A93,ABC!A15)</f>
        <v>FOF</v>
      </c>
      <c r="C94" s="381">
        <f>ABC!Q15</f>
        <v>-13.152934738217175</v>
      </c>
      <c r="D94" s="381">
        <f>ABC!R15</f>
        <v>-13.11000001926981</v>
      </c>
      <c r="E94" s="381">
        <f>ABC!S15</f>
        <v>-13.11000001926981</v>
      </c>
      <c r="F94" s="381">
        <f>ABC!T15</f>
        <v>-13.152934738217175</v>
      </c>
      <c r="G94" s="382" t="str">
        <f ca="1">IFERROR(C94*Changes!$B$1,"-")</f>
        <v>-</v>
      </c>
      <c r="H94" s="382" t="str">
        <f ca="1">IFERROR(D94*Changes!$B$1,"-")</f>
        <v>-</v>
      </c>
      <c r="I94" s="382" t="str">
        <f ca="1">IFERROR(E94*Changes!$B$1,"-")</f>
        <v>-</v>
      </c>
      <c r="J94" s="382" t="str">
        <f ca="1">IFERROR(F94*Changes!$B$1,"-")</f>
        <v>-</v>
      </c>
      <c r="K94" s="383" t="str">
        <f t="shared" ca="1" si="42"/>
        <v>-</v>
      </c>
      <c r="L94" s="383" t="str">
        <f t="shared" ca="1" si="43"/>
        <v>-</v>
      </c>
      <c r="M94" s="383" t="str">
        <f t="shared" ca="1" si="44"/>
        <v>-</v>
      </c>
      <c r="N94" s="383" t="str">
        <f t="shared" ca="1" si="45"/>
        <v>-</v>
      </c>
      <c r="O94" s="384">
        <f>[1]Particles!$B$13</f>
        <v>512373.33725154324</v>
      </c>
      <c r="P94" s="384">
        <f>[1]Particles!$B$5</f>
        <v>3152.8432598003224</v>
      </c>
      <c r="Q94" s="383">
        <f>IFERROR(VLOOKUP("s",[1]md!$A:$E,5,0)*14.3998434/U94*100,"-")</f>
        <v>1334.4569027548603</v>
      </c>
      <c r="R94" s="383">
        <f>IFERROR(VLOOKUP("s",[1]md!$A:$E,5,0)*14.3998434/V94*100,"-")</f>
        <v>1334.4567909446075</v>
      </c>
      <c r="S94" s="383">
        <f>IFERROR(VLOOKUP("s",[1]md!$A:$E,5,0)*14.3998434/W94*100,"-")</f>
        <v>1334.4567909446075</v>
      </c>
      <c r="T94" s="383">
        <f>IFERROR(VLOOKUP("s",[1]md!$A:$E,5,0)*14.3998434/X94*100,"-")</f>
        <v>1334.4569027548603</v>
      </c>
      <c r="U94" s="386">
        <v>2.4279276148307214</v>
      </c>
      <c r="V94" s="386">
        <v>2.4279278182597137</v>
      </c>
      <c r="W94" s="386">
        <v>2.4279278182597137</v>
      </c>
      <c r="X94" s="386">
        <v>2.4279276148307214</v>
      </c>
      <c r="Y94" s="382" t="str">
        <f t="shared" ca="1" si="46"/>
        <v>-</v>
      </c>
      <c r="Z94" s="382" t="str">
        <f t="shared" ca="1" si="47"/>
        <v>-</v>
      </c>
      <c r="AA94" s="382" t="str">
        <f t="shared" ca="1" si="48"/>
        <v>-</v>
      </c>
      <c r="AB94" s="382" t="str">
        <f t="shared" ca="1" si="49"/>
        <v>-</v>
      </c>
      <c r="AC94" s="382" t="str">
        <f ca="1">IFERROR(Changes!$B$2*Rotation!C94,"-")</f>
        <v>-</v>
      </c>
      <c r="AD94" s="382" t="str">
        <f ca="1">IFERROR(Changes!$B$2*Rotation!D94,"-")</f>
        <v>-</v>
      </c>
      <c r="AE94" s="382" t="str">
        <f ca="1">IFERROR(Changes!$B$2*Rotation!E94,"-")</f>
        <v>-</v>
      </c>
      <c r="AF94" s="382" t="str">
        <f ca="1">IFERROR(Changes!$B$2*Rotation!F94,"-")</f>
        <v>-</v>
      </c>
      <c r="AG94" s="382" t="e">
        <f ca="1">(AC94+AD94)*ABC!CV15</f>
        <v>#VALUE!</v>
      </c>
      <c r="AH94" s="382" t="e">
        <f t="shared" ca="1" si="50"/>
        <v>#VALUE!</v>
      </c>
      <c r="AI94" s="382" t="e">
        <f ca="1">(AE94+AF94)*ABC!CZ15</f>
        <v>#VALUE!</v>
      </c>
      <c r="AJ94" s="382" t="e">
        <f t="shared" ca="1" si="67"/>
        <v>#VALUE!</v>
      </c>
      <c r="AK94" s="382">
        <f t="shared" si="51"/>
        <v>0.47769989193715867</v>
      </c>
      <c r="AL94" s="382">
        <f t="shared" si="52"/>
        <v>0.47769985191207759</v>
      </c>
      <c r="AM94" s="382">
        <f t="shared" si="53"/>
        <v>0.47769985191207759</v>
      </c>
      <c r="AN94" s="382">
        <f t="shared" si="54"/>
        <v>0.47769989193715867</v>
      </c>
      <c r="AO94" s="382">
        <f t="shared" si="59"/>
        <v>39.970553453971519</v>
      </c>
      <c r="AP94" s="382">
        <f t="shared" si="60"/>
        <v>39.970546755939537</v>
      </c>
      <c r="AQ94" s="382">
        <f t="shared" si="61"/>
        <v>39.970546755939537</v>
      </c>
      <c r="AR94" s="382">
        <f t="shared" si="62"/>
        <v>39.970553453971519</v>
      </c>
      <c r="AS94" s="388" t="str">
        <f t="shared" ca="1" si="55"/>
        <v>-</v>
      </c>
      <c r="AT94" s="388" t="str">
        <f t="shared" ca="1" si="56"/>
        <v>-</v>
      </c>
      <c r="AU94" s="388" t="str">
        <f t="shared" ca="1" si="57"/>
        <v>-</v>
      </c>
      <c r="AV94" s="388" t="str">
        <f t="shared" ca="1" si="58"/>
        <v>-</v>
      </c>
      <c r="AW94" s="382">
        <f>ABC!AS15*SIN(ABC!AU15)</f>
        <v>1.0034017319962716</v>
      </c>
      <c r="AX94" s="382">
        <f>ABC!AT15*SIN(ABC!AV15)</f>
        <v>1.0084902401127878</v>
      </c>
      <c r="AY94" s="382">
        <f>ABC!AX15*SIN(ABC!AZ15)</f>
        <v>1.0084902401127878</v>
      </c>
      <c r="AZ94" s="382">
        <f>ABC!AY15*SIN(ABC!BA15)</f>
        <v>1.0034017319962716</v>
      </c>
      <c r="BA94" s="388" t="str">
        <f t="shared" ca="1" si="63"/>
        <v>-</v>
      </c>
      <c r="BB94" s="388" t="str">
        <f t="shared" ca="1" si="64"/>
        <v>-</v>
      </c>
      <c r="BC94" s="388" t="str">
        <f t="shared" ca="1" si="65"/>
        <v>-</v>
      </c>
      <c r="BD94" s="388" t="str">
        <f t="shared" ca="1" si="66"/>
        <v>-</v>
      </c>
    </row>
    <row r="95" spans="1:56">
      <c r="A95" t="str">
        <f>IF(ABC!A16=0,A94,ABC!A16)</f>
        <v>FSF</v>
      </c>
      <c r="C95" s="381">
        <f>ABC!Q16</f>
        <v>-10.146282453507174</v>
      </c>
      <c r="D95" s="381">
        <f>ABC!R16</f>
        <v>-10.080000000052271</v>
      </c>
      <c r="E95" s="381">
        <f>ABC!S16</f>
        <v>-10.080000000052271</v>
      </c>
      <c r="F95" s="381">
        <f>ABC!T16</f>
        <v>-10.146282453507174</v>
      </c>
      <c r="G95" s="382" t="str">
        <f ca="1">IFERROR(C95*Changes!$B$1,"-")</f>
        <v>-</v>
      </c>
      <c r="H95" s="382" t="str">
        <f ca="1">IFERROR(D95*Changes!$B$1,"-")</f>
        <v>-</v>
      </c>
      <c r="I95" s="382" t="str">
        <f ca="1">IFERROR(E95*Changes!$B$1,"-")</f>
        <v>-</v>
      </c>
      <c r="J95" s="382" t="str">
        <f ca="1">IFERROR(F95*Changes!$B$1,"-")</f>
        <v>-</v>
      </c>
      <c r="K95" s="383" t="str">
        <f t="shared" ca="1" si="42"/>
        <v>-</v>
      </c>
      <c r="L95" s="383" t="str">
        <f t="shared" ca="1" si="43"/>
        <v>-</v>
      </c>
      <c r="M95" s="383" t="str">
        <f t="shared" ca="1" si="44"/>
        <v>-</v>
      </c>
      <c r="N95" s="383" t="str">
        <f t="shared" ca="1" si="45"/>
        <v>-</v>
      </c>
      <c r="O95" s="384">
        <f>[1]Particles!$B$13</f>
        <v>512373.33725154324</v>
      </c>
      <c r="P95" s="384">
        <f>[1]Particles!$B$5</f>
        <v>3152.8432598003224</v>
      </c>
      <c r="Q95" s="383">
        <f>IFERROR(VLOOKUP("s",[1]md!$A:$E,5,0)*14.3998434/U95*100,"-")</f>
        <v>1334.4490728549531</v>
      </c>
      <c r="R95" s="383">
        <f>IFERROR(VLOOKUP("s",[1]md!$A:$E,5,0)*14.3998434/V95*100,"-")</f>
        <v>1334.4489002427163</v>
      </c>
      <c r="S95" s="383">
        <f>IFERROR(VLOOKUP("s",[1]md!$A:$E,5,0)*14.3998434/W95*100,"-")</f>
        <v>1334.4489002427163</v>
      </c>
      <c r="T95" s="383">
        <f>IFERROR(VLOOKUP("s",[1]md!$A:$E,5,0)*14.3998434/X95*100,"-")</f>
        <v>1334.4490728549531</v>
      </c>
      <c r="U95" s="386">
        <v>2.4279418607323393</v>
      </c>
      <c r="V95" s="386">
        <v>2.4279421747889325</v>
      </c>
      <c r="W95" s="386">
        <v>2.4279421747889325</v>
      </c>
      <c r="X95" s="386">
        <v>2.4279418607323393</v>
      </c>
      <c r="Y95" s="382" t="str">
        <f t="shared" ca="1" si="46"/>
        <v>-</v>
      </c>
      <c r="Z95" s="382" t="str">
        <f t="shared" ca="1" si="47"/>
        <v>-</v>
      </c>
      <c r="AA95" s="382" t="str">
        <f t="shared" ca="1" si="48"/>
        <v>-</v>
      </c>
      <c r="AB95" s="382" t="str">
        <f t="shared" ca="1" si="49"/>
        <v>-</v>
      </c>
      <c r="AC95" s="382" t="str">
        <f ca="1">IFERROR(Changes!$B$2*Rotation!C95,"-")</f>
        <v>-</v>
      </c>
      <c r="AD95" s="382" t="str">
        <f ca="1">IFERROR(Changes!$B$2*Rotation!D95,"-")</f>
        <v>-</v>
      </c>
      <c r="AE95" s="382" t="str">
        <f ca="1">IFERROR(Changes!$B$2*Rotation!E95,"-")</f>
        <v>-</v>
      </c>
      <c r="AF95" s="382" t="str">
        <f ca="1">IFERROR(Changes!$B$2*Rotation!F95,"-")</f>
        <v>-</v>
      </c>
      <c r="AG95" s="382" t="e">
        <f ca="1">(AC95+AD95)*ABC!CV16</f>
        <v>#VALUE!</v>
      </c>
      <c r="AH95" s="382" t="e">
        <f t="shared" ca="1" si="50"/>
        <v>#VALUE!</v>
      </c>
      <c r="AI95" s="382" t="e">
        <f ca="1">(AE95+AF95)*ABC!CZ16</f>
        <v>#VALUE!</v>
      </c>
      <c r="AJ95" s="382" t="e">
        <f t="shared" ca="1" si="67"/>
        <v>#VALUE!</v>
      </c>
      <c r="AK95" s="382">
        <f t="shared" si="51"/>
        <v>0.47769708904233915</v>
      </c>
      <c r="AL95" s="382">
        <f t="shared" si="52"/>
        <v>0.47769702725177349</v>
      </c>
      <c r="AM95" s="382">
        <f t="shared" si="53"/>
        <v>0.47769702725177349</v>
      </c>
      <c r="AN95" s="382">
        <f t="shared" si="54"/>
        <v>0.47769708904233915</v>
      </c>
      <c r="AO95" s="382">
        <f t="shared" si="59"/>
        <v>39.970084402458532</v>
      </c>
      <c r="AP95" s="382">
        <f t="shared" si="60"/>
        <v>39.97007406212353</v>
      </c>
      <c r="AQ95" s="382">
        <f t="shared" si="61"/>
        <v>39.97007406212353</v>
      </c>
      <c r="AR95" s="382">
        <f t="shared" si="62"/>
        <v>39.970084402458532</v>
      </c>
      <c r="AS95" s="388" t="str">
        <f t="shared" ca="1" si="55"/>
        <v>-</v>
      </c>
      <c r="AT95" s="388" t="str">
        <f t="shared" ca="1" si="56"/>
        <v>-</v>
      </c>
      <c r="AU95" s="388" t="str">
        <f t="shared" ca="1" si="57"/>
        <v>-</v>
      </c>
      <c r="AV95" s="388" t="str">
        <f t="shared" ca="1" si="58"/>
        <v>-</v>
      </c>
      <c r="AW95" s="382">
        <f>ABC!AS16*SIN(ABC!AU16)</f>
        <v>1.2486978521088177</v>
      </c>
      <c r="AX95" s="382">
        <f>ABC!AT16*SIN(ABC!AV16)</f>
        <v>1.2685121270602318</v>
      </c>
      <c r="AY95" s="382">
        <f>ABC!AX16*SIN(ABC!AZ16)</f>
        <v>1.2685121270602318</v>
      </c>
      <c r="AZ95" s="382">
        <f>ABC!AY16*SIN(ABC!BA16)</f>
        <v>1.2486978521088177</v>
      </c>
      <c r="BA95" s="388" t="str">
        <f t="shared" ca="1" si="63"/>
        <v>-</v>
      </c>
      <c r="BB95" s="388" t="str">
        <f t="shared" ca="1" si="64"/>
        <v>-</v>
      </c>
      <c r="BC95" s="388" t="str">
        <f t="shared" ca="1" si="65"/>
        <v>-</v>
      </c>
      <c r="BD95" s="388" t="str">
        <f t="shared" ca="1" si="66"/>
        <v>-</v>
      </c>
    </row>
    <row r="96" spans="1:56">
      <c r="A96" t="str">
        <f>IF(ABC!A17=0,A95,ABC!A17)</f>
        <v>FNF</v>
      </c>
      <c r="C96" s="381">
        <f>ABC!Q17</f>
        <v>-11.817137614738966</v>
      </c>
      <c r="D96" s="381">
        <f>ABC!R17</f>
        <v>-11.628000000084098</v>
      </c>
      <c r="E96" s="381">
        <f>ABC!S17</f>
        <v>-11.628000000084098</v>
      </c>
      <c r="F96" s="381">
        <f>ABC!T17</f>
        <v>-11.817137614738966</v>
      </c>
      <c r="G96" s="382" t="str">
        <f ca="1">IFERROR(C96*Changes!$B$1,"-")</f>
        <v>-</v>
      </c>
      <c r="H96" s="382" t="str">
        <f ca="1">IFERROR(D96*Changes!$B$1,"-")</f>
        <v>-</v>
      </c>
      <c r="I96" s="382" t="str">
        <f ca="1">IFERROR(E96*Changes!$B$1,"-")</f>
        <v>-</v>
      </c>
      <c r="J96" s="382" t="str">
        <f ca="1">IFERROR(F96*Changes!$B$1,"-")</f>
        <v>-</v>
      </c>
      <c r="K96" s="383" t="str">
        <f t="shared" ca="1" si="42"/>
        <v>-</v>
      </c>
      <c r="L96" s="383" t="str">
        <f t="shared" ca="1" si="43"/>
        <v>-</v>
      </c>
      <c r="M96" s="383" t="str">
        <f t="shared" ca="1" si="44"/>
        <v>-</v>
      </c>
      <c r="N96" s="383" t="str">
        <f t="shared" ca="1" si="45"/>
        <v>-</v>
      </c>
      <c r="O96" s="384">
        <f>[1]Particles!$B$13</f>
        <v>512373.33725154324</v>
      </c>
      <c r="P96" s="384">
        <f>[1]Particles!$B$5</f>
        <v>3152.8432598003224</v>
      </c>
      <c r="Q96" s="383">
        <f>IFERROR(VLOOKUP("s",[1]md!$A:$E,5,0)*14.3998434/U96*100,"-")</f>
        <v>1334.4534240826424</v>
      </c>
      <c r="R96" s="383">
        <f>IFERROR(VLOOKUP("s",[1]md!$A:$E,5,0)*14.3998434/V96*100,"-")</f>
        <v>1334.4529315319746</v>
      </c>
      <c r="S96" s="383">
        <f>IFERROR(VLOOKUP("s",[1]md!$A:$E,5,0)*14.3998434/W96*100,"-")</f>
        <v>1334.4529315319746</v>
      </c>
      <c r="T96" s="383">
        <f>IFERROR(VLOOKUP("s",[1]md!$A:$E,5,0)*14.3998434/X96*100,"-")</f>
        <v>1334.4534240826424</v>
      </c>
      <c r="U96" s="386">
        <v>2.4279339439870546</v>
      </c>
      <c r="V96" s="386">
        <v>2.4279348401449163</v>
      </c>
      <c r="W96" s="386">
        <v>2.4279348401449163</v>
      </c>
      <c r="X96" s="386">
        <v>2.4279339439870546</v>
      </c>
      <c r="Y96" s="382" t="str">
        <f t="shared" ca="1" si="46"/>
        <v>-</v>
      </c>
      <c r="Z96" s="382" t="str">
        <f t="shared" ca="1" si="47"/>
        <v>-</v>
      </c>
      <c r="AA96" s="382" t="str">
        <f t="shared" ca="1" si="48"/>
        <v>-</v>
      </c>
      <c r="AB96" s="382" t="str">
        <f t="shared" ca="1" si="49"/>
        <v>-</v>
      </c>
      <c r="AC96" s="382" t="str">
        <f ca="1">IFERROR(Changes!$B$2*Rotation!C96,"-")</f>
        <v>-</v>
      </c>
      <c r="AD96" s="382" t="str">
        <f ca="1">IFERROR(Changes!$B$2*Rotation!D96,"-")</f>
        <v>-</v>
      </c>
      <c r="AE96" s="382" t="str">
        <f ca="1">IFERROR(Changes!$B$2*Rotation!E96,"-")</f>
        <v>-</v>
      </c>
      <c r="AF96" s="382" t="str">
        <f ca="1">IFERROR(Changes!$B$2*Rotation!F96,"-")</f>
        <v>-</v>
      </c>
      <c r="AG96" s="382" t="e">
        <f ca="1">(AC96+AD96)*ABC!CV17</f>
        <v>#VALUE!</v>
      </c>
      <c r="AH96" s="382" t="e">
        <f t="shared" ca="1" si="50"/>
        <v>#VALUE!</v>
      </c>
      <c r="AI96" s="382" t="e">
        <f ca="1">(AE96+AF96)*ABC!CZ17</f>
        <v>#VALUE!</v>
      </c>
      <c r="AJ96" s="382" t="e">
        <f t="shared" ca="1" si="67"/>
        <v>#VALUE!</v>
      </c>
      <c r="AK96" s="382">
        <f t="shared" si="51"/>
        <v>0.47769864666551359</v>
      </c>
      <c r="AL96" s="382">
        <f t="shared" si="52"/>
        <v>0.47769847034554386</v>
      </c>
      <c r="AM96" s="382">
        <f t="shared" si="53"/>
        <v>0.47769847034554386</v>
      </c>
      <c r="AN96" s="382">
        <f t="shared" si="54"/>
        <v>0.47769864666551359</v>
      </c>
      <c r="AO96" s="382">
        <f t="shared" si="59"/>
        <v>39.970345063168764</v>
      </c>
      <c r="AP96" s="382">
        <f t="shared" si="60"/>
        <v>39.970315556831324</v>
      </c>
      <c r="AQ96" s="382">
        <f t="shared" si="61"/>
        <v>39.970315556831324</v>
      </c>
      <c r="AR96" s="382">
        <f t="shared" si="62"/>
        <v>39.970345063168764</v>
      </c>
      <c r="AS96" s="388" t="str">
        <f t="shared" ca="1" si="55"/>
        <v>-</v>
      </c>
      <c r="AT96" s="388" t="str">
        <f t="shared" ca="1" si="56"/>
        <v>-</v>
      </c>
      <c r="AU96" s="388" t="str">
        <f t="shared" ca="1" si="57"/>
        <v>-</v>
      </c>
      <c r="AV96" s="388" t="str">
        <f t="shared" ca="1" si="58"/>
        <v>-</v>
      </c>
      <c r="AW96" s="382">
        <f>ABC!AS17*SIN(ABC!AU17)</f>
        <v>1.0748195221669916</v>
      </c>
      <c r="AX96" s="382">
        <f>ABC!AT17*SIN(ABC!AV17)</f>
        <v>1.0847547180006041</v>
      </c>
      <c r="AY96" s="382">
        <f>ABC!AX17*SIN(ABC!AZ17)</f>
        <v>1.0847547180006041</v>
      </c>
      <c r="AZ96" s="382">
        <f>ABC!AY17*SIN(ABC!BA17)</f>
        <v>1.0748195221669916</v>
      </c>
      <c r="BA96" s="388" t="str">
        <f t="shared" ca="1" si="63"/>
        <v>-</v>
      </c>
      <c r="BB96" s="388" t="str">
        <f t="shared" ca="1" si="64"/>
        <v>-</v>
      </c>
      <c r="BC96" s="388" t="str">
        <f t="shared" ca="1" si="65"/>
        <v>-</v>
      </c>
      <c r="BD96" s="388" t="str">
        <f t="shared" ca="1" si="66"/>
        <v>-</v>
      </c>
    </row>
    <row r="97" spans="1:56">
      <c r="A97" t="str">
        <f>IF(ABC!A18=0,A96,ABC!A18)</f>
        <v>HBH</v>
      </c>
      <c r="C97" s="381">
        <f>ABC!Q18</f>
        <v>-11.064651820753092</v>
      </c>
      <c r="D97" s="381">
        <f>ABC!R18</f>
        <v>-9.7999999999999972</v>
      </c>
      <c r="E97" s="381">
        <f>ABC!S18</f>
        <v>-9.7999999999999972</v>
      </c>
      <c r="F97" s="381">
        <f>ABC!T18</f>
        <v>-11.064651820753092</v>
      </c>
      <c r="G97" s="382" t="str">
        <f ca="1">IFERROR(C97*Changes!$B$1,"-")</f>
        <v>-</v>
      </c>
      <c r="H97" s="382" t="str">
        <f ca="1">IFERROR(D97*Changes!$B$1,"-")</f>
        <v>-</v>
      </c>
      <c r="I97" s="382" t="str">
        <f ca="1">IFERROR(E97*Changes!$B$1,"-")</f>
        <v>-</v>
      </c>
      <c r="J97" s="382" t="str">
        <f ca="1">IFERROR(F97*Changes!$B$1,"-")</f>
        <v>-</v>
      </c>
      <c r="K97" s="383" t="str">
        <f t="shared" ca="1" si="42"/>
        <v>-</v>
      </c>
      <c r="L97" s="383" t="str">
        <f t="shared" ca="1" si="43"/>
        <v>-</v>
      </c>
      <c r="M97" s="383" t="str">
        <f t="shared" ca="1" si="44"/>
        <v>-</v>
      </c>
      <c r="N97" s="383" t="str">
        <f t="shared" ca="1" si="45"/>
        <v>-</v>
      </c>
      <c r="O97" s="384">
        <f>[1]Particles!$B$13</f>
        <v>512373.33725154324</v>
      </c>
      <c r="P97" s="384">
        <f>[1]Particles!$B$5</f>
        <v>3152.8432598003224</v>
      </c>
      <c r="Q97" s="383">
        <f>IFERROR(VLOOKUP("s",[1]md!$A:$E,5,0)*14.3998434/U97*100,"-")</f>
        <v>1334.4514644651379</v>
      </c>
      <c r="R97" s="383">
        <f>IFERROR(VLOOKUP("s",[1]md!$A:$E,5,0)*14.3998434/V97*100,"-")</f>
        <v>1334.4481710689483</v>
      </c>
      <c r="S97" s="383">
        <f>IFERROR(VLOOKUP("s",[1]md!$A:$E,5,0)*14.3998434/W97*100,"-")</f>
        <v>1334.4481710689483</v>
      </c>
      <c r="T97" s="383">
        <f>IFERROR(VLOOKUP("s",[1]md!$A:$E,5,0)*14.3998434/X97*100,"-")</f>
        <v>1334.4514644651379</v>
      </c>
      <c r="U97" s="386">
        <v>2.4279375093635287</v>
      </c>
      <c r="V97" s="386">
        <v>2.4279435014734623</v>
      </c>
      <c r="W97" s="386">
        <v>2.4279435014734623</v>
      </c>
      <c r="X97" s="386">
        <v>2.4279375093635287</v>
      </c>
      <c r="Y97" s="382" t="str">
        <f t="shared" ca="1" si="46"/>
        <v>-</v>
      </c>
      <c r="Z97" s="382" t="str">
        <f t="shared" ca="1" si="47"/>
        <v>-</v>
      </c>
      <c r="AA97" s="382" t="str">
        <f t="shared" ca="1" si="48"/>
        <v>-</v>
      </c>
      <c r="AB97" s="382" t="str">
        <f t="shared" ca="1" si="49"/>
        <v>-</v>
      </c>
      <c r="AC97" s="382" t="str">
        <f ca="1">IFERROR(Changes!$B$2*Rotation!C97,"-")</f>
        <v>-</v>
      </c>
      <c r="AD97" s="382" t="str">
        <f ca="1">IFERROR(Changes!$B$2*Rotation!D97,"-")</f>
        <v>-</v>
      </c>
      <c r="AE97" s="382" t="str">
        <f ca="1">IFERROR(Changes!$B$2*Rotation!E97,"-")</f>
        <v>-</v>
      </c>
      <c r="AF97" s="382" t="str">
        <f ca="1">IFERROR(Changes!$B$2*Rotation!F97,"-")</f>
        <v>-</v>
      </c>
      <c r="AG97" s="382" t="e">
        <f ca="1">(AC97+AD97)*ABC!CV18</f>
        <v>#VALUE!</v>
      </c>
      <c r="AH97" s="382" t="e">
        <f t="shared" ca="1" si="50"/>
        <v>#VALUE!</v>
      </c>
      <c r="AI97" s="382" t="e">
        <f ca="1">(AE97+AF97)*ABC!CZ18</f>
        <v>#VALUE!</v>
      </c>
      <c r="AJ97" s="382" t="e">
        <f t="shared" ca="1" si="67"/>
        <v>#VALUE!</v>
      </c>
      <c r="AK97" s="382">
        <f t="shared" si="51"/>
        <v>0.47769794517484099</v>
      </c>
      <c r="AL97" s="382">
        <f t="shared" si="52"/>
        <v>0.47769676622706037</v>
      </c>
      <c r="AM97" s="382">
        <f t="shared" si="53"/>
        <v>0.47769676622706037</v>
      </c>
      <c r="AN97" s="382">
        <f t="shared" si="54"/>
        <v>0.47769794517484099</v>
      </c>
      <c r="AO97" s="382">
        <f t="shared" si="59"/>
        <v>39.970227671989818</v>
      </c>
      <c r="AP97" s="382">
        <f t="shared" si="60"/>
        <v>39.970030380988128</v>
      </c>
      <c r="AQ97" s="382">
        <f t="shared" si="61"/>
        <v>39.970030380988128</v>
      </c>
      <c r="AR97" s="382">
        <f t="shared" si="62"/>
        <v>39.970227671989818</v>
      </c>
      <c r="AS97" s="388" t="str">
        <f t="shared" ca="1" si="55"/>
        <v>-</v>
      </c>
      <c r="AT97" s="388" t="str">
        <f t="shared" ca="1" si="56"/>
        <v>-</v>
      </c>
      <c r="AU97" s="388" t="str">
        <f t="shared" ca="1" si="57"/>
        <v>-</v>
      </c>
      <c r="AV97" s="388" t="str">
        <f t="shared" ca="1" si="58"/>
        <v>-</v>
      </c>
      <c r="AW97" s="382">
        <f>ABC!AS18*SIN(ABC!AU18)</f>
        <v>1.0872535769730136</v>
      </c>
      <c r="AX97" s="382">
        <f>ABC!AT18*SIN(ABC!AV18)</f>
        <v>1.1679088583927391</v>
      </c>
      <c r="AY97" s="382">
        <f>ABC!AX18*SIN(ABC!AZ18)</f>
        <v>1.1679088583927391</v>
      </c>
      <c r="AZ97" s="382">
        <f>ABC!AY18*SIN(ABC!BA18)</f>
        <v>1.0872535769730136</v>
      </c>
      <c r="BA97" s="388" t="str">
        <f t="shared" ca="1" si="63"/>
        <v>-</v>
      </c>
      <c r="BB97" s="388" t="str">
        <f t="shared" ca="1" si="64"/>
        <v>-</v>
      </c>
      <c r="BC97" s="388" t="str">
        <f t="shared" ca="1" si="65"/>
        <v>-</v>
      </c>
      <c r="BD97" s="388" t="str">
        <f t="shared" ca="1" si="66"/>
        <v>-</v>
      </c>
    </row>
    <row r="98" spans="1:56">
      <c r="A98" t="str">
        <f>IF(ABC!A19=0,A97,ABC!A19)</f>
        <v>HBH</v>
      </c>
      <c r="C98" s="381">
        <f>ABC!Q19</f>
        <v>-12.48270590485766</v>
      </c>
      <c r="D98" s="381">
        <f>ABC!R19</f>
        <v>-9.8000000000000043</v>
      </c>
      <c r="E98" s="381">
        <f>ABC!S19</f>
        <v>-9.8000000000000043</v>
      </c>
      <c r="F98" s="381">
        <f>ABC!T19</f>
        <v>-12.48270590485766</v>
      </c>
      <c r="G98" s="382" t="str">
        <f ca="1">IFERROR(C98*Changes!$B$1,"-")</f>
        <v>-</v>
      </c>
      <c r="H98" s="382" t="str">
        <f ca="1">IFERROR(D98*Changes!$B$1,"-")</f>
        <v>-</v>
      </c>
      <c r="I98" s="382" t="str">
        <f ca="1">IFERROR(E98*Changes!$B$1,"-")</f>
        <v>-</v>
      </c>
      <c r="J98" s="382" t="str">
        <f ca="1">IFERROR(F98*Changes!$B$1,"-")</f>
        <v>-</v>
      </c>
      <c r="K98" s="383" t="str">
        <f t="shared" ref="K98:K131" ca="1" si="68">IFERROR($O98-G98-Q98-AC98-AO98,"-")</f>
        <v>-</v>
      </c>
      <c r="L98" s="383" t="str">
        <f t="shared" ref="L98:L131" ca="1" si="69">IFERROR($O98-H98-R98-AD98-AP98,"-")</f>
        <v>-</v>
      </c>
      <c r="M98" s="383" t="str">
        <f t="shared" ref="M98:M131" ca="1" si="70">IFERROR($O98-I98-S98-AE98-AQ98,"-")</f>
        <v>-</v>
      </c>
      <c r="N98" s="383" t="str">
        <f t="shared" ref="N98:N131" ca="1" si="71">IFERROR($O98-J98-T98-AF98-AR98,"-")</f>
        <v>-</v>
      </c>
      <c r="O98" s="384">
        <f>[1]Particles!$B$13</f>
        <v>512373.33725154324</v>
      </c>
      <c r="P98" s="384">
        <f>[1]Particles!$B$5</f>
        <v>3152.8432598003224</v>
      </c>
      <c r="Q98" s="383">
        <f>IFERROR(VLOOKUP("s",[1]md!$A:$E,5,0)*14.3998434/U98*100,"-")</f>
        <v>1334.455157350277</v>
      </c>
      <c r="R98" s="383">
        <f>IFERROR(VLOOKUP("s",[1]md!$A:$E,5,0)*14.3998434/V98*100,"-")</f>
        <v>1334.4481710689483</v>
      </c>
      <c r="S98" s="383">
        <f>IFERROR(VLOOKUP("s",[1]md!$A:$E,5,0)*14.3998434/W98*100,"-")</f>
        <v>1334.4481710689483</v>
      </c>
      <c r="T98" s="383">
        <f>IFERROR(VLOOKUP("s",[1]md!$A:$E,5,0)*14.3998434/X98*100,"-")</f>
        <v>1334.455157350277</v>
      </c>
      <c r="U98" s="386">
        <v>2.4279307904458505</v>
      </c>
      <c r="V98" s="386">
        <v>2.4279435014734623</v>
      </c>
      <c r="W98" s="386">
        <v>2.4279435014734623</v>
      </c>
      <c r="X98" s="386">
        <v>2.4279307904458505</v>
      </c>
      <c r="Y98" s="382" t="str">
        <f t="shared" ref="Y98:Y131" ca="1" si="72">IFERROR(6.582119514/K98*3*2*PI()*10^4,"-")</f>
        <v>-</v>
      </c>
      <c r="Z98" s="382" t="str">
        <f t="shared" ref="Z98:Z131" ca="1" si="73">IFERROR(6.582119514/L98*3*2*PI()*10^4,"-")</f>
        <v>-</v>
      </c>
      <c r="AA98" s="382" t="str">
        <f t="shared" ref="AA98:AA131" ca="1" si="74">IFERROR(6.582119514/M98*3*2*PI()*10^4,"-")</f>
        <v>-</v>
      </c>
      <c r="AB98" s="382" t="str">
        <f t="shared" ref="AB98:AB131" ca="1" si="75">IFERROR(6.582119514/N98*3*2*PI()*10^4,"-")</f>
        <v>-</v>
      </c>
      <c r="AC98" s="382" t="str">
        <f ca="1">IFERROR(Changes!$B$2*Rotation!C98,"-")</f>
        <v>-</v>
      </c>
      <c r="AD98" s="382" t="str">
        <f ca="1">IFERROR(Changes!$B$2*Rotation!D98,"-")</f>
        <v>-</v>
      </c>
      <c r="AE98" s="382" t="str">
        <f ca="1">IFERROR(Changes!$B$2*Rotation!E98,"-")</f>
        <v>-</v>
      </c>
      <c r="AF98" s="382" t="str">
        <f ca="1">IFERROR(Changes!$B$2*Rotation!F98,"-")</f>
        <v>-</v>
      </c>
      <c r="AG98" s="382" t="e">
        <f ca="1">(AC98+AD98)*ABC!CV19</f>
        <v>#VALUE!</v>
      </c>
      <c r="AH98" s="382" t="e">
        <f t="shared" ref="AH98:AH129" ca="1" si="76">AC98+AD98-AG98</f>
        <v>#VALUE!</v>
      </c>
      <c r="AI98" s="382" t="e">
        <f ca="1">(AE98+AF98)*ABC!CZ19</f>
        <v>#VALUE!</v>
      </c>
      <c r="AJ98" s="382" t="e">
        <f t="shared" ca="1" si="67"/>
        <v>#VALUE!</v>
      </c>
      <c r="AK98" s="382">
        <f t="shared" ref="AK98:AK131" si="77">IFERROR((0.5*6.582119514/U98/$P98)*100/9*100,"-")</f>
        <v>0.47769926712898458</v>
      </c>
      <c r="AL98" s="382">
        <f t="shared" ref="AL98:AL131" si="78">IFERROR((0.5*6.582119514/V98/$P98)*100/9*100,"-")</f>
        <v>0.47769676622706037</v>
      </c>
      <c r="AM98" s="382">
        <f t="shared" ref="AM98:AM131" si="79">IFERROR((0.5*6.582119514/W98/$P98)*100/9*100,"-")</f>
        <v>0.47769676622706037</v>
      </c>
      <c r="AN98" s="382">
        <f t="shared" ref="AN98:AN131" si="80">IFERROR((0.5*6.582119514/X98/$P98)*100/9*100,"-")</f>
        <v>0.47769926712898458</v>
      </c>
      <c r="AO98" s="382">
        <f t="shared" si="59"/>
        <v>39.970448894968641</v>
      </c>
      <c r="AP98" s="382">
        <f t="shared" si="60"/>
        <v>39.970030380988128</v>
      </c>
      <c r="AQ98" s="382">
        <f t="shared" si="61"/>
        <v>39.970030380988128</v>
      </c>
      <c r="AR98" s="382">
        <f t="shared" si="62"/>
        <v>39.970448894968641</v>
      </c>
      <c r="AS98" s="388" t="str">
        <f t="shared" ref="AS98:AS129" ca="1" si="81">IFERROR((2*AG98/-K98)^0.5*3,"-")</f>
        <v>-</v>
      </c>
      <c r="AT98" s="388" t="str">
        <f t="shared" ref="AT98:AT129" ca="1" si="82">IFERROR((2*AH98/-L98)^0.5*3,"-")</f>
        <v>-</v>
      </c>
      <c r="AU98" s="388" t="str">
        <f t="shared" ref="AU98:AU129" ca="1" si="83">IFERROR((2*AI98/-M98)^0.5*3,"-")</f>
        <v>-</v>
      </c>
      <c r="AV98" s="388" t="str">
        <f t="shared" ref="AV98:AV129" ca="1" si="84">IFERROR((2*AJ98/-N98)^0.5*3,"-")</f>
        <v>-</v>
      </c>
      <c r="AW98" s="382">
        <f>ABC!AS19*SIN(ABC!AU19)</f>
        <v>1.0052997144616793</v>
      </c>
      <c r="AX98" s="382">
        <f>ABC!AT19*SIN(ABC!AV19)</f>
        <v>1.1683323313991878</v>
      </c>
      <c r="AY98" s="382">
        <f>ABC!AX19*SIN(ABC!AZ19)</f>
        <v>1.1683323313991878</v>
      </c>
      <c r="AZ98" s="382">
        <f>ABC!AY19*SIN(ABC!BA19)</f>
        <v>1.0052997144616793</v>
      </c>
      <c r="BA98" s="388" t="str">
        <f t="shared" ca="1" si="63"/>
        <v>-</v>
      </c>
      <c r="BB98" s="388" t="str">
        <f t="shared" ca="1" si="64"/>
        <v>-</v>
      </c>
      <c r="BC98" s="388" t="str">
        <f t="shared" ca="1" si="65"/>
        <v>-</v>
      </c>
      <c r="BD98" s="388" t="str">
        <f t="shared" ca="1" si="66"/>
        <v>-</v>
      </c>
    </row>
    <row r="99" spans="1:56">
      <c r="A99" t="str">
        <f>IF(ABC!A20=0,A98,ABC!A20)</f>
        <v>HBH</v>
      </c>
      <c r="C99" s="381">
        <f>ABC!Q20</f>
        <v>-12.203644532039217</v>
      </c>
      <c r="D99" s="381">
        <f>ABC!R20</f>
        <v>-9.8000000000000007</v>
      </c>
      <c r="E99" s="381">
        <f>ABC!S20</f>
        <v>-9.7999999999999972</v>
      </c>
      <c r="F99" s="381">
        <f>ABC!T20</f>
        <v>-12.203644532039217</v>
      </c>
      <c r="G99" s="382" t="str">
        <f ca="1">IFERROR(C99*Changes!$B$1,"-")</f>
        <v>-</v>
      </c>
      <c r="H99" s="382" t="str">
        <f ca="1">IFERROR(D99*Changes!$B$1,"-")</f>
        <v>-</v>
      </c>
      <c r="I99" s="382" t="str">
        <f ca="1">IFERROR(E99*Changes!$B$1,"-")</f>
        <v>-</v>
      </c>
      <c r="J99" s="382" t="str">
        <f ca="1">IFERROR(F99*Changes!$B$1,"-")</f>
        <v>-</v>
      </c>
      <c r="K99" s="383" t="str">
        <f t="shared" ca="1" si="68"/>
        <v>-</v>
      </c>
      <c r="L99" s="383" t="str">
        <f t="shared" ca="1" si="69"/>
        <v>-</v>
      </c>
      <c r="M99" s="383" t="str">
        <f t="shared" ca="1" si="70"/>
        <v>-</v>
      </c>
      <c r="N99" s="383" t="str">
        <f t="shared" ca="1" si="71"/>
        <v>-</v>
      </c>
      <c r="O99" s="384">
        <f>[1]Particles!$B$13</f>
        <v>512373.33725154324</v>
      </c>
      <c r="P99" s="384">
        <f>[1]Particles!$B$5</f>
        <v>3152.8432598003224</v>
      </c>
      <c r="Q99" s="383">
        <f>IFERROR(VLOOKUP("s",[1]md!$A:$E,5,0)*14.3998434/U99*100,"-")</f>
        <v>1334.454430620875</v>
      </c>
      <c r="R99" s="383">
        <f>IFERROR(VLOOKUP("s",[1]md!$A:$E,5,0)*14.3998434/V99*100,"-")</f>
        <v>1334.4481710689483</v>
      </c>
      <c r="S99" s="383">
        <f>IFERROR(VLOOKUP("s",[1]md!$A:$E,5,0)*14.3998434/W99*100,"-")</f>
        <v>1334.4481710689483</v>
      </c>
      <c r="T99" s="383">
        <f>IFERROR(VLOOKUP("s",[1]md!$A:$E,5,0)*14.3998434/X99*100,"-")</f>
        <v>1334.454430620875</v>
      </c>
      <c r="U99" s="386">
        <v>2.4279321126706122</v>
      </c>
      <c r="V99" s="386">
        <v>2.4279435014734623</v>
      </c>
      <c r="W99" s="386">
        <v>2.4279435014734623</v>
      </c>
      <c r="X99" s="386">
        <v>2.4279321126706122</v>
      </c>
      <c r="Y99" s="382" t="str">
        <f t="shared" ca="1" si="72"/>
        <v>-</v>
      </c>
      <c r="Z99" s="382" t="str">
        <f t="shared" ca="1" si="73"/>
        <v>-</v>
      </c>
      <c r="AA99" s="382" t="str">
        <f t="shared" ca="1" si="74"/>
        <v>-</v>
      </c>
      <c r="AB99" s="382" t="str">
        <f t="shared" ca="1" si="75"/>
        <v>-</v>
      </c>
      <c r="AC99" s="382" t="str">
        <f ca="1">IFERROR(Changes!$B$2*Rotation!C99,"-")</f>
        <v>-</v>
      </c>
      <c r="AD99" s="382" t="str">
        <f ca="1">IFERROR(Changes!$B$2*Rotation!D99,"-")</f>
        <v>-</v>
      </c>
      <c r="AE99" s="382" t="str">
        <f ca="1">IFERROR(Changes!$B$2*Rotation!E99,"-")</f>
        <v>-</v>
      </c>
      <c r="AF99" s="382" t="str">
        <f ca="1">IFERROR(Changes!$B$2*Rotation!F99,"-")</f>
        <v>-</v>
      </c>
      <c r="AG99" s="382" t="e">
        <f ca="1">(AC99+AD99)*ABC!CV20</f>
        <v>#VALUE!</v>
      </c>
      <c r="AH99" s="382" t="e">
        <f t="shared" ca="1" si="76"/>
        <v>#VALUE!</v>
      </c>
      <c r="AI99" s="382" t="e">
        <f ca="1">(AE99+AF99)*ABC!CZ20</f>
        <v>#VALUE!</v>
      </c>
      <c r="AJ99" s="382" t="e">
        <f t="shared" ca="1" si="67"/>
        <v>#VALUE!</v>
      </c>
      <c r="AK99" s="382">
        <f t="shared" si="77"/>
        <v>0.47769900697928919</v>
      </c>
      <c r="AL99" s="382">
        <f t="shared" si="78"/>
        <v>0.47769676622706037</v>
      </c>
      <c r="AM99" s="382">
        <f t="shared" si="79"/>
        <v>0.47769676622706037</v>
      </c>
      <c r="AN99" s="382">
        <f t="shared" si="80"/>
        <v>0.47769900697928919</v>
      </c>
      <c r="AO99" s="382">
        <f t="shared" si="59"/>
        <v>39.970405360058756</v>
      </c>
      <c r="AP99" s="382">
        <f t="shared" si="60"/>
        <v>39.970030380988128</v>
      </c>
      <c r="AQ99" s="382">
        <f t="shared" si="61"/>
        <v>39.970030380988128</v>
      </c>
      <c r="AR99" s="382">
        <f t="shared" si="62"/>
        <v>39.970405360058756</v>
      </c>
      <c r="AS99" s="388" t="str">
        <f t="shared" ca="1" si="81"/>
        <v>-</v>
      </c>
      <c r="AT99" s="388" t="str">
        <f t="shared" ca="1" si="82"/>
        <v>-</v>
      </c>
      <c r="AU99" s="388" t="str">
        <f t="shared" ca="1" si="83"/>
        <v>-</v>
      </c>
      <c r="AV99" s="388" t="str">
        <f t="shared" ca="1" si="84"/>
        <v>-</v>
      </c>
      <c r="AW99" s="382">
        <f>ABC!AS20*SIN(ABC!AU20)</f>
        <v>1.0206963877176811</v>
      </c>
      <c r="AX99" s="382">
        <f>ABC!AT20*SIN(ABC!AV20)</f>
        <v>1.1683595639232944</v>
      </c>
      <c r="AY99" s="382">
        <f>ABC!AX20*SIN(ABC!AZ20)</f>
        <v>1.1683595639232944</v>
      </c>
      <c r="AZ99" s="382">
        <f>ABC!AY20*SIN(ABC!BA20)</f>
        <v>1.0206963877176811</v>
      </c>
      <c r="BA99" s="388" t="str">
        <f t="shared" ca="1" si="63"/>
        <v>-</v>
      </c>
      <c r="BB99" s="388" t="str">
        <f t="shared" ca="1" si="64"/>
        <v>-</v>
      </c>
      <c r="BC99" s="388" t="str">
        <f t="shared" ca="1" si="65"/>
        <v>-</v>
      </c>
      <c r="BD99" s="388" t="str">
        <f t="shared" ca="1" si="66"/>
        <v>-</v>
      </c>
    </row>
    <row r="100" spans="1:56">
      <c r="A100" t="str">
        <f>IF(ABC!A21=0,A99,ABC!A21)</f>
        <v>ONO</v>
      </c>
      <c r="C100" s="381">
        <f>ABC!Q21</f>
        <v>-9.5860000000765062</v>
      </c>
      <c r="D100" s="381">
        <f>ABC!R21</f>
        <v>-14.00000000068454</v>
      </c>
      <c r="E100" s="381">
        <f>ABC!S21</f>
        <v>-14.00000000068454</v>
      </c>
      <c r="F100" s="381">
        <f>ABC!T21</f>
        <v>-9.5860000000765062</v>
      </c>
      <c r="G100" s="382" t="str">
        <f ca="1">IFERROR(C100*Changes!$B$1,"-")</f>
        <v>-</v>
      </c>
      <c r="H100" s="382" t="str">
        <f ca="1">IFERROR(D100*Changes!$B$1,"-")</f>
        <v>-</v>
      </c>
      <c r="I100" s="382" t="str">
        <f ca="1">IFERROR(E100*Changes!$B$1,"-")</f>
        <v>-</v>
      </c>
      <c r="J100" s="382" t="str">
        <f ca="1">IFERROR(F100*Changes!$B$1,"-")</f>
        <v>-</v>
      </c>
      <c r="K100" s="383" t="str">
        <f t="shared" ca="1" si="68"/>
        <v>-</v>
      </c>
      <c r="L100" s="383" t="str">
        <f t="shared" ca="1" si="69"/>
        <v>-</v>
      </c>
      <c r="M100" s="383" t="str">
        <f t="shared" ca="1" si="70"/>
        <v>-</v>
      </c>
      <c r="N100" s="383" t="str">
        <f t="shared" ca="1" si="71"/>
        <v>-</v>
      </c>
      <c r="O100" s="384">
        <f>[1]Particles!$B$13</f>
        <v>512373.33725154324</v>
      </c>
      <c r="P100" s="384">
        <f>[1]Particles!$B$5</f>
        <v>3152.8432598003224</v>
      </c>
      <c r="Q100" s="383">
        <f>IFERROR(VLOOKUP("s",[1]md!$A:$E,5,0)*14.3998434/U100*100,"-")</f>
        <v>1334.4476137718543</v>
      </c>
      <c r="R100" s="383">
        <f>IFERROR(VLOOKUP("s",[1]md!$A:$E,5,0)*14.3998434/V100*100,"-")</f>
        <v>1334.4591086754615</v>
      </c>
      <c r="S100" s="383">
        <f>IFERROR(VLOOKUP("s",[1]md!$A:$E,5,0)*14.3998434/W100*100,"-")</f>
        <v>1334.4591086754615</v>
      </c>
      <c r="T100" s="383">
        <f>IFERROR(VLOOKUP("s",[1]md!$A:$E,5,0)*14.3998434/X100*100,"-")</f>
        <v>1334.4476137718543</v>
      </c>
      <c r="U100" s="386">
        <v>2.4279445154404726</v>
      </c>
      <c r="V100" s="386">
        <v>2.4279236013577652</v>
      </c>
      <c r="W100" s="386">
        <v>2.4279236013577652</v>
      </c>
      <c r="X100" s="386">
        <v>2.4279445154404726</v>
      </c>
      <c r="Y100" s="382" t="str">
        <f t="shared" ca="1" si="72"/>
        <v>-</v>
      </c>
      <c r="Z100" s="382" t="str">
        <f t="shared" ca="1" si="73"/>
        <v>-</v>
      </c>
      <c r="AA100" s="382" t="str">
        <f t="shared" ca="1" si="74"/>
        <v>-</v>
      </c>
      <c r="AB100" s="382" t="str">
        <f t="shared" ca="1" si="75"/>
        <v>-</v>
      </c>
      <c r="AC100" s="382" t="str">
        <f ca="1">IFERROR(Changes!$B$2*Rotation!C100,"-")</f>
        <v>-</v>
      </c>
      <c r="AD100" s="382" t="str">
        <f ca="1">IFERROR(Changes!$B$2*Rotation!D100,"-")</f>
        <v>-</v>
      </c>
      <c r="AE100" s="382" t="str">
        <f ca="1">IFERROR(Changes!$B$2*Rotation!E100,"-")</f>
        <v>-</v>
      </c>
      <c r="AF100" s="382" t="str">
        <f ca="1">IFERROR(Changes!$B$2*Rotation!F100,"-")</f>
        <v>-</v>
      </c>
      <c r="AG100" s="382" t="e">
        <f ca="1">(AC100+AD100)*ABC!CV21</f>
        <v>#VALUE!</v>
      </c>
      <c r="AH100" s="382" t="e">
        <f t="shared" ca="1" si="76"/>
        <v>#VALUE!</v>
      </c>
      <c r="AI100" s="382" t="e">
        <f ca="1">(AE100+AF100)*ABC!CZ21</f>
        <v>#VALUE!</v>
      </c>
      <c r="AJ100" s="382" t="e">
        <f t="shared" ca="1" si="67"/>
        <v>#VALUE!</v>
      </c>
      <c r="AK100" s="382">
        <f t="shared" si="77"/>
        <v>0.47769656672960131</v>
      </c>
      <c r="AL100" s="382">
        <f t="shared" si="78"/>
        <v>0.47770068159775436</v>
      </c>
      <c r="AM100" s="382">
        <f t="shared" si="79"/>
        <v>0.47770068159775436</v>
      </c>
      <c r="AN100" s="382">
        <f t="shared" si="80"/>
        <v>0.47769656672960131</v>
      </c>
      <c r="AO100" s="382">
        <f t="shared" si="59"/>
        <v>39.969996996136487</v>
      </c>
      <c r="AP100" s="382">
        <f t="shared" si="60"/>
        <v>39.970685600524916</v>
      </c>
      <c r="AQ100" s="382">
        <f t="shared" si="61"/>
        <v>39.970685600524916</v>
      </c>
      <c r="AR100" s="382">
        <f t="shared" si="62"/>
        <v>39.969996996136487</v>
      </c>
      <c r="AS100" s="388" t="str">
        <f t="shared" ca="1" si="81"/>
        <v>-</v>
      </c>
      <c r="AT100" s="388" t="str">
        <f t="shared" ca="1" si="82"/>
        <v>-</v>
      </c>
      <c r="AU100" s="388" t="str">
        <f t="shared" ca="1" si="83"/>
        <v>-</v>
      </c>
      <c r="AV100" s="388" t="str">
        <f t="shared" ca="1" si="84"/>
        <v>-</v>
      </c>
      <c r="AW100" s="382">
        <f>ABC!AS21*SIN(ABC!AU21)</f>
        <v>1.1885722759340582</v>
      </c>
      <c r="AX100" s="382">
        <f>ABC!AT21*SIN(ABC!AV21)</f>
        <v>0.93010601588960895</v>
      </c>
      <c r="AY100" s="382">
        <f>ABC!AX21*SIN(ABC!AZ21)</f>
        <v>0.93010601588960895</v>
      </c>
      <c r="AZ100" s="382">
        <f>ABC!AY21*SIN(ABC!BA21)</f>
        <v>1.1885722759340582</v>
      </c>
      <c r="BA100" s="388" t="str">
        <f t="shared" ca="1" si="63"/>
        <v>-</v>
      </c>
      <c r="BB100" s="388" t="str">
        <f t="shared" ca="1" si="64"/>
        <v>-</v>
      </c>
      <c r="BC100" s="388" t="str">
        <f t="shared" ca="1" si="65"/>
        <v>-</v>
      </c>
      <c r="BD100" s="388" t="str">
        <f t="shared" ca="1" si="66"/>
        <v>-</v>
      </c>
    </row>
    <row r="101" spans="1:56">
      <c r="A101" t="str">
        <f>IF(ABC!A22=0,A100,ABC!A22)</f>
        <v>NNO</v>
      </c>
      <c r="C101" s="381">
        <f>ABC!Q22</f>
        <v>-12.889000000686558</v>
      </c>
      <c r="D101" s="381">
        <f>ABC!R22</f>
        <v>-18.199990245756581</v>
      </c>
      <c r="E101" s="381">
        <f>ABC!S22</f>
        <v>-16.299964655694353</v>
      </c>
      <c r="F101" s="381">
        <f>ABC!T22</f>
        <v>-20.100135309724177</v>
      </c>
      <c r="G101" s="382" t="str">
        <f ca="1">IFERROR(C101*Changes!$B$1,"-")</f>
        <v>-</v>
      </c>
      <c r="H101" s="382" t="str">
        <f ca="1">IFERROR(D101*Changes!$B$1,"-")</f>
        <v>-</v>
      </c>
      <c r="I101" s="382" t="str">
        <f ca="1">IFERROR(E101*Changes!$B$1,"-")</f>
        <v>-</v>
      </c>
      <c r="J101" s="382" t="str">
        <f ca="1">IFERROR(F101*Changes!$B$1,"-")</f>
        <v>-</v>
      </c>
      <c r="K101" s="383" t="str">
        <f t="shared" ca="1" si="68"/>
        <v>-</v>
      </c>
      <c r="L101" s="383" t="str">
        <f t="shared" ca="1" si="69"/>
        <v>-</v>
      </c>
      <c r="M101" s="383" t="str">
        <f t="shared" ca="1" si="70"/>
        <v>-</v>
      </c>
      <c r="N101" s="383" t="str">
        <f t="shared" ca="1" si="71"/>
        <v>-</v>
      </c>
      <c r="O101" s="384">
        <f>[1]Particles!$B$13</f>
        <v>512373.33725154324</v>
      </c>
      <c r="P101" s="384">
        <f>[1]Particles!$B$5</f>
        <v>3152.8432598003224</v>
      </c>
      <c r="Q101" s="383">
        <f>IFERROR(VLOOKUP("s",[1]md!$A:$E,5,0)*14.3998434/U101*100,"-")</f>
        <v>1334.4562154181212</v>
      </c>
      <c r="R101" s="383">
        <f>IFERROR(VLOOKUP("s",[1]md!$A:$E,5,0)*14.3998434/V101*100,"-")</f>
        <v>1334.4700462565556</v>
      </c>
      <c r="S101" s="383">
        <f>IFERROR(VLOOKUP("s",[1]md!$A:$E,5,0)*14.3998434/W101*100,"-")</f>
        <v>1334.4650982250716</v>
      </c>
      <c r="T101" s="383">
        <f>IFERROR(VLOOKUP("s",[1]md!$A:$E,5,0)*14.3998434/X101*100,"-")</f>
        <v>1334.4749945991693</v>
      </c>
      <c r="U101" s="386">
        <v>2.4279288653804434</v>
      </c>
      <c r="V101" s="386">
        <v>2.4279037016145266</v>
      </c>
      <c r="W101" s="386">
        <v>2.4279127039810717</v>
      </c>
      <c r="X101" s="386">
        <v>2.4278946987486822</v>
      </c>
      <c r="Y101" s="382" t="str">
        <f t="shared" ca="1" si="72"/>
        <v>-</v>
      </c>
      <c r="Z101" s="382" t="str">
        <f t="shared" ca="1" si="73"/>
        <v>-</v>
      </c>
      <c r="AA101" s="382" t="str">
        <f t="shared" ca="1" si="74"/>
        <v>-</v>
      </c>
      <c r="AB101" s="382" t="str">
        <f t="shared" ca="1" si="75"/>
        <v>-</v>
      </c>
      <c r="AC101" s="382" t="str">
        <f ca="1">IFERROR(Changes!$B$2*Rotation!C101,"-")</f>
        <v>-</v>
      </c>
      <c r="AD101" s="382" t="str">
        <f ca="1">IFERROR(Changes!$B$2*Rotation!D101,"-")</f>
        <v>-</v>
      </c>
      <c r="AE101" s="382" t="str">
        <f ca="1">IFERROR(Changes!$B$2*Rotation!E101,"-")</f>
        <v>-</v>
      </c>
      <c r="AF101" s="382" t="str">
        <f ca="1">IFERROR(Changes!$B$2*Rotation!F101,"-")</f>
        <v>-</v>
      </c>
      <c r="AG101" s="382" t="e">
        <f ca="1">(AC101+AD101)*ABC!CV22</f>
        <v>#VALUE!</v>
      </c>
      <c r="AH101" s="382" t="e">
        <f t="shared" ca="1" si="76"/>
        <v>#VALUE!</v>
      </c>
      <c r="AI101" s="382" t="e">
        <f ca="1">(AE101+AF101)*ABC!CZ22</f>
        <v>#VALUE!</v>
      </c>
      <c r="AJ101" s="382" t="e">
        <f t="shared" ca="1" si="67"/>
        <v>#VALUE!</v>
      </c>
      <c r="AK101" s="382">
        <f t="shared" si="77"/>
        <v>0.47769964588898334</v>
      </c>
      <c r="AL101" s="382">
        <f t="shared" si="78"/>
        <v>0.47770459695934903</v>
      </c>
      <c r="AM101" s="382">
        <f t="shared" si="79"/>
        <v>0.47770282569637273</v>
      </c>
      <c r="AN101" s="382">
        <f t="shared" si="80"/>
        <v>0.47770636833370134</v>
      </c>
      <c r="AO101" s="382">
        <f t="shared" si="59"/>
        <v>39.970512278834669</v>
      </c>
      <c r="AP101" s="382">
        <f t="shared" si="60"/>
        <v>39.971340823909337</v>
      </c>
      <c r="AQ101" s="382">
        <f t="shared" si="61"/>
        <v>39.971044407984913</v>
      </c>
      <c r="AR101" s="382">
        <f t="shared" si="62"/>
        <v>39.971637259571409</v>
      </c>
      <c r="AS101" s="388" t="str">
        <f t="shared" ca="1" si="81"/>
        <v>-</v>
      </c>
      <c r="AT101" s="388" t="str">
        <f t="shared" ca="1" si="82"/>
        <v>-</v>
      </c>
      <c r="AU101" s="388" t="str">
        <f t="shared" ca="1" si="83"/>
        <v>-</v>
      </c>
      <c r="AV101" s="388" t="str">
        <f t="shared" ca="1" si="84"/>
        <v>-</v>
      </c>
      <c r="AW101" s="382">
        <f>ABC!AS22*SIN(ABC!AU22)</f>
        <v>0.96257130531529389</v>
      </c>
      <c r="AX101" s="382">
        <f>ABC!AT22*SIN(ABC!AV22)</f>
        <v>0.73955395620292619</v>
      </c>
      <c r="AY101" s="382">
        <f>ABC!AX22*SIN(ABC!AZ22)</f>
        <v>0.81904042005579702</v>
      </c>
      <c r="AZ101" s="382">
        <f>ABC!AY22*SIN(ABC!BA22)</f>
        <v>0.66814102157636068</v>
      </c>
      <c r="BA101" s="388" t="str">
        <f t="shared" ca="1" si="63"/>
        <v>-</v>
      </c>
      <c r="BB101" s="388" t="str">
        <f t="shared" ca="1" si="64"/>
        <v>-</v>
      </c>
      <c r="BC101" s="388" t="str">
        <f t="shared" ca="1" si="65"/>
        <v>-</v>
      </c>
      <c r="BD101" s="388" t="str">
        <f t="shared" ca="1" si="66"/>
        <v>-</v>
      </c>
    </row>
    <row r="102" spans="1:56">
      <c r="A102" t="str">
        <f>IF(ABC!A23=0,A101,ABC!A23)</f>
        <v>NNO</v>
      </c>
      <c r="C102" s="381">
        <f>ABC!Q23</f>
        <v>-12.889000000071448</v>
      </c>
      <c r="D102" s="381">
        <f>ABC!R23</f>
        <v>-16.299994883108766</v>
      </c>
      <c r="E102" s="381">
        <f>ABC!S23</f>
        <v>-20.099993782514506</v>
      </c>
      <c r="F102" s="381">
        <f>ABC!T23</f>
        <v>-18.20000941594299</v>
      </c>
      <c r="G102" s="382" t="str">
        <f ca="1">IFERROR(C102*Changes!$B$1,"-")</f>
        <v>-</v>
      </c>
      <c r="H102" s="382" t="str">
        <f ca="1">IFERROR(D102*Changes!$B$1,"-")</f>
        <v>-</v>
      </c>
      <c r="I102" s="382" t="str">
        <f ca="1">IFERROR(E102*Changes!$B$1,"-")</f>
        <v>-</v>
      </c>
      <c r="J102" s="382" t="str">
        <f ca="1">IFERROR(F102*Changes!$B$1,"-")</f>
        <v>-</v>
      </c>
      <c r="K102" s="383" t="str">
        <f t="shared" ca="1" si="68"/>
        <v>-</v>
      </c>
      <c r="L102" s="383" t="str">
        <f t="shared" ca="1" si="69"/>
        <v>-</v>
      </c>
      <c r="M102" s="383" t="str">
        <f t="shared" ca="1" si="70"/>
        <v>-</v>
      </c>
      <c r="N102" s="383" t="str">
        <f t="shared" ca="1" si="71"/>
        <v>-</v>
      </c>
      <c r="O102" s="384">
        <f>[1]Particles!$B$13</f>
        <v>512373.33725154324</v>
      </c>
      <c r="P102" s="384">
        <f>[1]Particles!$B$5</f>
        <v>3152.8432598003224</v>
      </c>
      <c r="Q102" s="383">
        <f>IFERROR(VLOOKUP("s",[1]md!$A:$E,5,0)*14.3998434/U102*100,"-")</f>
        <v>1334.4562154181165</v>
      </c>
      <c r="R102" s="383">
        <f>IFERROR(VLOOKUP("s",[1]md!$A:$E,5,0)*14.3998434/V102*100,"-")</f>
        <v>1334.4650983037343</v>
      </c>
      <c r="S102" s="383">
        <f>IFERROR(VLOOKUP("s",[1]md!$A:$E,5,0)*14.3998434/W102*100,"-")</f>
        <v>1334.4749942305539</v>
      </c>
      <c r="T102" s="383">
        <f>IFERROR(VLOOKUP("s",[1]md!$A:$E,5,0)*14.3998434/X102*100,"-")</f>
        <v>1334.4700463064487</v>
      </c>
      <c r="U102" s="386">
        <v>2.4279288653804523</v>
      </c>
      <c r="V102" s="386">
        <v>2.4279127038379533</v>
      </c>
      <c r="W102" s="386">
        <v>2.427894699419328</v>
      </c>
      <c r="X102" s="386">
        <v>2.4279037015237526</v>
      </c>
      <c r="Y102" s="382" t="str">
        <f t="shared" ca="1" si="72"/>
        <v>-</v>
      </c>
      <c r="Z102" s="382" t="str">
        <f t="shared" ca="1" si="73"/>
        <v>-</v>
      </c>
      <c r="AA102" s="382" t="str">
        <f t="shared" ca="1" si="74"/>
        <v>-</v>
      </c>
      <c r="AB102" s="382" t="str">
        <f t="shared" ca="1" si="75"/>
        <v>-</v>
      </c>
      <c r="AC102" s="382" t="str">
        <f ca="1">IFERROR(Changes!$B$2*Rotation!C102,"-")</f>
        <v>-</v>
      </c>
      <c r="AD102" s="382" t="str">
        <f ca="1">IFERROR(Changes!$B$2*Rotation!D102,"-")</f>
        <v>-</v>
      </c>
      <c r="AE102" s="382" t="str">
        <f ca="1">IFERROR(Changes!$B$2*Rotation!E102,"-")</f>
        <v>-</v>
      </c>
      <c r="AF102" s="382" t="str">
        <f ca="1">IFERROR(Changes!$B$2*Rotation!F102,"-")</f>
        <v>-</v>
      </c>
      <c r="AG102" s="382" t="e">
        <f ca="1">(AC102+AD102)*ABC!CV23</f>
        <v>#VALUE!</v>
      </c>
      <c r="AH102" s="382" t="e">
        <f t="shared" ca="1" si="76"/>
        <v>#VALUE!</v>
      </c>
      <c r="AI102" s="382" t="e">
        <f ca="1">(AE102+AF102)*ABC!CZ23</f>
        <v>#VALUE!</v>
      </c>
      <c r="AJ102" s="382" t="e">
        <f t="shared" ca="1" si="67"/>
        <v>#VALUE!</v>
      </c>
      <c r="AK102" s="382">
        <f t="shared" si="77"/>
        <v>0.47769964588898162</v>
      </c>
      <c r="AL102" s="382">
        <f t="shared" si="78"/>
        <v>0.47770282572453199</v>
      </c>
      <c r="AM102" s="382">
        <f t="shared" si="79"/>
        <v>0.47770636820174683</v>
      </c>
      <c r="AN102" s="382">
        <f t="shared" si="80"/>
        <v>0.47770459697720929</v>
      </c>
      <c r="AO102" s="382">
        <f t="shared" si="59"/>
        <v>39.970512278834377</v>
      </c>
      <c r="AP102" s="382">
        <f t="shared" si="60"/>
        <v>39.971044412697275</v>
      </c>
      <c r="AQ102" s="382">
        <f t="shared" si="61"/>
        <v>39.97163723748907</v>
      </c>
      <c r="AR102" s="382">
        <f t="shared" si="62"/>
        <v>39.971340826898214</v>
      </c>
      <c r="AS102" s="388" t="str">
        <f t="shared" ca="1" si="81"/>
        <v>-</v>
      </c>
      <c r="AT102" s="388" t="str">
        <f t="shared" ca="1" si="82"/>
        <v>-</v>
      </c>
      <c r="AU102" s="388" t="str">
        <f t="shared" ca="1" si="83"/>
        <v>-</v>
      </c>
      <c r="AV102" s="388" t="str">
        <f t="shared" ca="1" si="84"/>
        <v>-</v>
      </c>
      <c r="AW102" s="382">
        <f>ABC!AS23*SIN(ABC!AU23)</f>
        <v>0.88264613357527788</v>
      </c>
      <c r="AX102" s="382">
        <f>ABC!AT23*SIN(ABC!AV23)</f>
        <v>0.80084983039894786</v>
      </c>
      <c r="AY102" s="382">
        <f>ABC!AX23*SIN(ABC!AZ23)</f>
        <v>0.68155775208331104</v>
      </c>
      <c r="AZ102" s="382">
        <f>ABC!AY23*SIN(ABC!BA23)</f>
        <v>0.74115923519347404</v>
      </c>
      <c r="BA102" s="388" t="str">
        <f t="shared" ca="1" si="63"/>
        <v>-</v>
      </c>
      <c r="BB102" s="388" t="str">
        <f t="shared" ca="1" si="64"/>
        <v>-</v>
      </c>
      <c r="BC102" s="388" t="str">
        <f t="shared" ca="1" si="65"/>
        <v>-</v>
      </c>
      <c r="BD102" s="388" t="str">
        <f t="shared" ca="1" si="66"/>
        <v>-</v>
      </c>
    </row>
    <row r="103" spans="1:56">
      <c r="A103" t="str">
        <f>IF(ABC!A24=0,A102,ABC!A24)</f>
        <v>OCS</v>
      </c>
      <c r="C103" s="381">
        <f>ABC!Q24</f>
        <v>-16.100003484718968</v>
      </c>
      <c r="D103" s="381">
        <f>ABC!R24</f>
        <v>-15.449999928562811</v>
      </c>
      <c r="E103" s="381">
        <f>ABC!S24</f>
        <v>-17.999995987298824</v>
      </c>
      <c r="F103" s="381">
        <f>ABC!T24</f>
        <v>-11.180000000029294</v>
      </c>
      <c r="G103" s="382" t="str">
        <f ca="1">IFERROR(C103*Changes!$B$1,"-")</f>
        <v>-</v>
      </c>
      <c r="H103" s="382" t="str">
        <f ca="1">IFERROR(D103*Changes!$B$1,"-")</f>
        <v>-</v>
      </c>
      <c r="I103" s="382" t="str">
        <f ca="1">IFERROR(E103*Changes!$B$1,"-")</f>
        <v>-</v>
      </c>
      <c r="J103" s="382" t="str">
        <f ca="1">IFERROR(F103*Changes!$B$1,"-")</f>
        <v>-</v>
      </c>
      <c r="K103" s="383" t="str">
        <f t="shared" ca="1" si="68"/>
        <v>-</v>
      </c>
      <c r="L103" s="383" t="str">
        <f t="shared" ca="1" si="69"/>
        <v>-</v>
      </c>
      <c r="M103" s="383" t="str">
        <f t="shared" ca="1" si="70"/>
        <v>-</v>
      </c>
      <c r="N103" s="383" t="str">
        <f t="shared" ca="1" si="71"/>
        <v>-</v>
      </c>
      <c r="O103" s="384">
        <f>[1]Particles!$B$13</f>
        <v>512373.33725154324</v>
      </c>
      <c r="P103" s="384">
        <f>[1]Particles!$B$5</f>
        <v>3152.8432598003224</v>
      </c>
      <c r="Q103" s="383">
        <f>IFERROR(VLOOKUP("s",[1]md!$A:$E,5,0)*14.3998434/U103*100,"-")</f>
        <v>1334.4645774878149</v>
      </c>
      <c r="R103" s="383">
        <f>IFERROR(VLOOKUP("s",[1]md!$A:$E,5,0)*14.3998434/V103*100,"-")</f>
        <v>1334.4628847537228</v>
      </c>
      <c r="S103" s="383">
        <f>IFERROR(VLOOKUP("s",[1]md!$A:$E,5,0)*14.3998434/W103*100,"-")</f>
        <v>1334.4695254330359</v>
      </c>
      <c r="T103" s="383">
        <f>IFERROR(VLOOKUP("s",[1]md!$A:$E,5,0)*14.3998434/X103*100,"-")</f>
        <v>1334.451764853992</v>
      </c>
      <c r="U103" s="386">
        <v>2.4279136514056958</v>
      </c>
      <c r="V103" s="386">
        <v>2.4279167311558014</v>
      </c>
      <c r="W103" s="386">
        <v>2.4279046491890699</v>
      </c>
      <c r="X103" s="386">
        <v>2.4279369628279506</v>
      </c>
      <c r="Y103" s="382" t="str">
        <f t="shared" ca="1" si="72"/>
        <v>-</v>
      </c>
      <c r="Z103" s="382" t="str">
        <f t="shared" ca="1" si="73"/>
        <v>-</v>
      </c>
      <c r="AA103" s="382" t="str">
        <f t="shared" ca="1" si="74"/>
        <v>-</v>
      </c>
      <c r="AB103" s="382" t="str">
        <f t="shared" ca="1" si="75"/>
        <v>-</v>
      </c>
      <c r="AC103" s="382" t="str">
        <f ca="1">IFERROR(Changes!$B$2*Rotation!C103,"-")</f>
        <v>-</v>
      </c>
      <c r="AD103" s="382" t="str">
        <f ca="1">IFERROR(Changes!$B$2*Rotation!D103,"-")</f>
        <v>-</v>
      </c>
      <c r="AE103" s="382" t="str">
        <f ca="1">IFERROR(Changes!$B$2*Rotation!E103,"-")</f>
        <v>-</v>
      </c>
      <c r="AF103" s="382" t="str">
        <f ca="1">IFERROR(Changes!$B$2*Rotation!F103,"-")</f>
        <v>-</v>
      </c>
      <c r="AG103" s="382" t="e">
        <f ca="1">(AC103+AD103)*ABC!CV24</f>
        <v>#VALUE!</v>
      </c>
      <c r="AH103" s="382" t="e">
        <f t="shared" ca="1" si="76"/>
        <v>#VALUE!</v>
      </c>
      <c r="AI103" s="382" t="e">
        <f ca="1">(AE103+AF103)*ABC!CZ24</f>
        <v>#VALUE!</v>
      </c>
      <c r="AJ103" s="382" t="e">
        <f t="shared" ca="1" si="67"/>
        <v>#VALUE!</v>
      </c>
      <c r="AK103" s="382">
        <f t="shared" si="77"/>
        <v>0.47770263928635787</v>
      </c>
      <c r="AL103" s="382">
        <f t="shared" si="78"/>
        <v>0.47770203333281142</v>
      </c>
      <c r="AM103" s="382">
        <f t="shared" si="79"/>
        <v>0.47770441051845419</v>
      </c>
      <c r="AN103" s="382">
        <f t="shared" si="80"/>
        <v>0.47769805270601939</v>
      </c>
      <c r="AO103" s="382">
        <f t="shared" si="59"/>
        <v>39.971013212852171</v>
      </c>
      <c r="AP103" s="382">
        <f t="shared" si="60"/>
        <v>39.970911808506209</v>
      </c>
      <c r="AQ103" s="382">
        <f t="shared" si="61"/>
        <v>39.971309623493248</v>
      </c>
      <c r="AR103" s="382">
        <f t="shared" si="62"/>
        <v>39.970245666817767</v>
      </c>
      <c r="AS103" s="388" t="str">
        <f t="shared" ca="1" si="81"/>
        <v>-</v>
      </c>
      <c r="AT103" s="388" t="str">
        <f t="shared" ca="1" si="82"/>
        <v>-</v>
      </c>
      <c r="AU103" s="388" t="str">
        <f t="shared" ca="1" si="83"/>
        <v>-</v>
      </c>
      <c r="AV103" s="388" t="str">
        <f t="shared" ca="1" si="84"/>
        <v>-</v>
      </c>
      <c r="AW103" s="382">
        <f>ABC!AS24*SIN(ABC!AU24)</f>
        <v>0.82598018529164219</v>
      </c>
      <c r="AX103" s="382">
        <f>ABC!AT24*SIN(ABC!AV24)</f>
        <v>0.82914589541473749</v>
      </c>
      <c r="AY103" s="382">
        <f>ABC!AX24*SIN(ABC!AZ24)</f>
        <v>0.72049742801458816</v>
      </c>
      <c r="AZ103" s="382">
        <f>ABC!AY24*SIN(ABC!BA24)</f>
        <v>1.1519065098600358</v>
      </c>
      <c r="BA103" s="388" t="str">
        <f t="shared" ca="1" si="63"/>
        <v>-</v>
      </c>
      <c r="BB103" s="388" t="str">
        <f t="shared" ca="1" si="64"/>
        <v>-</v>
      </c>
      <c r="BC103" s="388" t="str">
        <f t="shared" ca="1" si="65"/>
        <v>-</v>
      </c>
      <c r="BD103" s="388" t="str">
        <f t="shared" ca="1" si="66"/>
        <v>-</v>
      </c>
    </row>
    <row r="104" spans="1:56">
      <c r="A104" t="str">
        <f>IF(ABC!A25=0,A103,ABC!A25)</f>
        <v>OCS</v>
      </c>
      <c r="C104" s="381">
        <f>ABC!Q25</f>
        <v>-18.000003694123219</v>
      </c>
      <c r="D104" s="381">
        <f>ABC!R25</f>
        <v>-15.450007080722106</v>
      </c>
      <c r="E104" s="381">
        <f>ABC!S25</f>
        <v>-16.099997127285967</v>
      </c>
      <c r="F104" s="381">
        <f>ABC!T25</f>
        <v>-11.180000000008215</v>
      </c>
      <c r="G104" s="382" t="str">
        <f ca="1">IFERROR(C104*Changes!$B$1,"-")</f>
        <v>-</v>
      </c>
      <c r="H104" s="382" t="str">
        <f ca="1">IFERROR(D104*Changes!$B$1,"-")</f>
        <v>-</v>
      </c>
      <c r="I104" s="382" t="str">
        <f ca="1">IFERROR(E104*Changes!$B$1,"-")</f>
        <v>-</v>
      </c>
      <c r="J104" s="382" t="str">
        <f ca="1">IFERROR(F104*Changes!$B$1,"-")</f>
        <v>-</v>
      </c>
      <c r="K104" s="383" t="str">
        <f t="shared" ca="1" si="68"/>
        <v>-</v>
      </c>
      <c r="L104" s="383" t="str">
        <f t="shared" ca="1" si="69"/>
        <v>-</v>
      </c>
      <c r="M104" s="383" t="str">
        <f t="shared" ca="1" si="70"/>
        <v>-</v>
      </c>
      <c r="N104" s="383" t="str">
        <f t="shared" ca="1" si="71"/>
        <v>-</v>
      </c>
      <c r="O104" s="384">
        <f>[1]Particles!$B$13</f>
        <v>512373.33725154324</v>
      </c>
      <c r="P104" s="384">
        <f>[1]Particles!$B$5</f>
        <v>3152.8432598003224</v>
      </c>
      <c r="Q104" s="383">
        <f>IFERROR(VLOOKUP("s",[1]md!$A:$E,5,0)*14.3998434/U104*100,"-")</f>
        <v>1334.4695254531709</v>
      </c>
      <c r="R104" s="383">
        <f>IFERROR(VLOOKUP("s",[1]md!$A:$E,5,0)*14.3998434/V104*100,"-")</f>
        <v>1334.4628847723661</v>
      </c>
      <c r="S104" s="383">
        <f>IFERROR(VLOOKUP("s",[1]md!$A:$E,5,0)*14.3998434/W104*100,"-")</f>
        <v>1334.4645774712226</v>
      </c>
      <c r="T104" s="383">
        <f>IFERROR(VLOOKUP("s",[1]md!$A:$E,5,0)*14.3998434/X104*100,"-")</f>
        <v>1334.451764853992</v>
      </c>
      <c r="U104" s="386">
        <v>2.427904649152437</v>
      </c>
      <c r="V104" s="386">
        <v>2.4279167311218819</v>
      </c>
      <c r="W104" s="386">
        <v>2.4279136514358841</v>
      </c>
      <c r="X104" s="386">
        <v>2.4279369628279506</v>
      </c>
      <c r="Y104" s="382" t="str">
        <f t="shared" ca="1" si="72"/>
        <v>-</v>
      </c>
      <c r="Z104" s="382" t="str">
        <f t="shared" ca="1" si="73"/>
        <v>-</v>
      </c>
      <c r="AA104" s="382" t="str">
        <f t="shared" ca="1" si="74"/>
        <v>-</v>
      </c>
      <c r="AB104" s="382" t="str">
        <f t="shared" ca="1" si="75"/>
        <v>-</v>
      </c>
      <c r="AC104" s="382" t="str">
        <f ca="1">IFERROR(Changes!$B$2*Rotation!C104,"-")</f>
        <v>-</v>
      </c>
      <c r="AD104" s="382" t="str">
        <f ca="1">IFERROR(Changes!$B$2*Rotation!D104,"-")</f>
        <v>-</v>
      </c>
      <c r="AE104" s="382" t="str">
        <f ca="1">IFERROR(Changes!$B$2*Rotation!E104,"-")</f>
        <v>-</v>
      </c>
      <c r="AF104" s="382" t="str">
        <f ca="1">IFERROR(Changes!$B$2*Rotation!F104,"-")</f>
        <v>-</v>
      </c>
      <c r="AG104" s="382" t="e">
        <f ca="1">(AC104+AD104)*ABC!CV25</f>
        <v>#VALUE!</v>
      </c>
      <c r="AH104" s="382" t="e">
        <f t="shared" ca="1" si="76"/>
        <v>#VALUE!</v>
      </c>
      <c r="AI104" s="382" t="e">
        <f ca="1">(AE104+AF104)*ABC!CZ25</f>
        <v>#VALUE!</v>
      </c>
      <c r="AJ104" s="382" t="e">
        <f t="shared" ca="1" si="67"/>
        <v>#VALUE!</v>
      </c>
      <c r="AK104" s="382">
        <f t="shared" si="77"/>
        <v>0.47770441052566198</v>
      </c>
      <c r="AL104" s="382">
        <f t="shared" si="78"/>
        <v>0.47770203333948513</v>
      </c>
      <c r="AM104" s="382">
        <f t="shared" si="79"/>
        <v>0.47770263928041806</v>
      </c>
      <c r="AN104" s="382">
        <f t="shared" si="80"/>
        <v>0.47769805270601939</v>
      </c>
      <c r="AO104" s="382">
        <f t="shared" si="59"/>
        <v>39.971309624699451</v>
      </c>
      <c r="AP104" s="382">
        <f t="shared" si="60"/>
        <v>39.97091180962304</v>
      </c>
      <c r="AQ104" s="382">
        <f t="shared" si="61"/>
        <v>39.971013211858164</v>
      </c>
      <c r="AR104" s="382">
        <f t="shared" si="62"/>
        <v>39.970245666817767</v>
      </c>
      <c r="AS104" s="388" t="str">
        <f t="shared" ca="1" si="81"/>
        <v>-</v>
      </c>
      <c r="AT104" s="388" t="str">
        <f t="shared" ca="1" si="82"/>
        <v>-</v>
      </c>
      <c r="AU104" s="388" t="str">
        <f t="shared" ca="1" si="83"/>
        <v>-</v>
      </c>
      <c r="AV104" s="388" t="str">
        <f t="shared" ca="1" si="84"/>
        <v>-</v>
      </c>
      <c r="AW104" s="382">
        <f>ABC!AS25*SIN(ABC!AU25)</f>
        <v>0.75085713264158294</v>
      </c>
      <c r="AX104" s="382">
        <f>ABC!AT25*SIN(ABC!AV25)</f>
        <v>0.81892009441129998</v>
      </c>
      <c r="AY104" s="382">
        <f>ABC!AX25*SIN(ABC!AZ25)</f>
        <v>0.82749125502113852</v>
      </c>
      <c r="AZ104" s="382">
        <f>ABC!AY25*SIN(ABC!BA25)</f>
        <v>1.1636107352888847</v>
      </c>
      <c r="BA104" s="388" t="str">
        <f t="shared" ca="1" si="63"/>
        <v>-</v>
      </c>
      <c r="BB104" s="388" t="str">
        <f t="shared" ca="1" si="64"/>
        <v>-</v>
      </c>
      <c r="BC104" s="388" t="str">
        <f t="shared" ca="1" si="65"/>
        <v>-</v>
      </c>
      <c r="BD104" s="388" t="str">
        <f t="shared" ca="1" si="66"/>
        <v>-</v>
      </c>
    </row>
    <row r="105" spans="1:56">
      <c r="A105" t="str">
        <f>IF(ABC!A26=0,A104,ABC!A26)</f>
        <v>OCS</v>
      </c>
      <c r="C105" s="381">
        <f>ABC!Q26</f>
        <v>-16.100001877371621</v>
      </c>
      <c r="D105" s="381">
        <f>ABC!R26</f>
        <v>-15.450001939462311</v>
      </c>
      <c r="E105" s="381">
        <f>ABC!S26</f>
        <v>-18.000000376702175</v>
      </c>
      <c r="F105" s="381">
        <f>ABC!T26</f>
        <v>-11.180000000012592</v>
      </c>
      <c r="G105" s="382" t="str">
        <f ca="1">IFERROR(C105*Changes!$B$1,"-")</f>
        <v>-</v>
      </c>
      <c r="H105" s="382" t="str">
        <f ca="1">IFERROR(D105*Changes!$B$1,"-")</f>
        <v>-</v>
      </c>
      <c r="I105" s="382" t="str">
        <f ca="1">IFERROR(E105*Changes!$B$1,"-")</f>
        <v>-</v>
      </c>
      <c r="J105" s="382" t="str">
        <f ca="1">IFERROR(F105*Changes!$B$1,"-")</f>
        <v>-</v>
      </c>
      <c r="K105" s="383" t="str">
        <f t="shared" ca="1" si="68"/>
        <v>-</v>
      </c>
      <c r="L105" s="383" t="str">
        <f t="shared" ca="1" si="69"/>
        <v>-</v>
      </c>
      <c r="M105" s="383" t="str">
        <f t="shared" ca="1" si="70"/>
        <v>-</v>
      </c>
      <c r="N105" s="383" t="str">
        <f t="shared" ca="1" si="71"/>
        <v>-</v>
      </c>
      <c r="O105" s="384">
        <f>[1]Particles!$B$13</f>
        <v>512373.33725154324</v>
      </c>
      <c r="P105" s="384">
        <f>[1]Particles!$B$5</f>
        <v>3152.8432598003224</v>
      </c>
      <c r="Q105" s="383">
        <f>IFERROR(VLOOKUP("s",[1]md!$A:$E,5,0)*14.3998434/U105*100,"-")</f>
        <v>1334.4645774835892</v>
      </c>
      <c r="R105" s="383">
        <f>IFERROR(VLOOKUP("s",[1]md!$A:$E,5,0)*14.3998434/V105*100,"-")</f>
        <v>1334.4628847589429</v>
      </c>
      <c r="S105" s="383">
        <f>IFERROR(VLOOKUP("s",[1]md!$A:$E,5,0)*14.3998434/W105*100,"-")</f>
        <v>1334.4695254445328</v>
      </c>
      <c r="T105" s="383">
        <f>IFERROR(VLOOKUP("s",[1]md!$A:$E,5,0)*14.3998434/X105*100,"-")</f>
        <v>1334.451764853992</v>
      </c>
      <c r="U105" s="386">
        <v>2.4279136514133843</v>
      </c>
      <c r="V105" s="386">
        <v>2.4279167311463041</v>
      </c>
      <c r="W105" s="386">
        <v>2.4279046491681529</v>
      </c>
      <c r="X105" s="386">
        <v>2.4279369628279506</v>
      </c>
      <c r="Y105" s="382" t="str">
        <f t="shared" ca="1" si="72"/>
        <v>-</v>
      </c>
      <c r="Z105" s="382" t="str">
        <f t="shared" ca="1" si="73"/>
        <v>-</v>
      </c>
      <c r="AA105" s="382" t="str">
        <f t="shared" ca="1" si="74"/>
        <v>-</v>
      </c>
      <c r="AB105" s="382" t="str">
        <f t="shared" ca="1" si="75"/>
        <v>-</v>
      </c>
      <c r="AC105" s="382" t="str">
        <f ca="1">IFERROR(Changes!$B$2*Rotation!C105,"-")</f>
        <v>-</v>
      </c>
      <c r="AD105" s="382" t="str">
        <f ca="1">IFERROR(Changes!$B$2*Rotation!D105,"-")</f>
        <v>-</v>
      </c>
      <c r="AE105" s="382" t="str">
        <f ca="1">IFERROR(Changes!$B$2*Rotation!E105,"-")</f>
        <v>-</v>
      </c>
      <c r="AF105" s="382" t="str">
        <f ca="1">IFERROR(Changes!$B$2*Rotation!F105,"-")</f>
        <v>-</v>
      </c>
      <c r="AG105" s="382" t="e">
        <f ca="1">(AC105+AD105)*ABC!CV26</f>
        <v>#VALUE!</v>
      </c>
      <c r="AH105" s="382" t="e">
        <f t="shared" ca="1" si="76"/>
        <v>#VALUE!</v>
      </c>
      <c r="AI105" s="382" t="e">
        <f ca="1">(AE105+AF105)*ABC!CZ26</f>
        <v>#VALUE!</v>
      </c>
      <c r="AJ105" s="382" t="e">
        <f t="shared" ca="1" si="67"/>
        <v>#VALUE!</v>
      </c>
      <c r="AK105" s="382">
        <f t="shared" si="77"/>
        <v>0.47770263928484508</v>
      </c>
      <c r="AL105" s="382">
        <f t="shared" si="78"/>
        <v>0.47770203333467987</v>
      </c>
      <c r="AM105" s="382">
        <f t="shared" si="79"/>
        <v>0.47770441052256984</v>
      </c>
      <c r="AN105" s="382">
        <f t="shared" si="80"/>
        <v>0.47769805270601939</v>
      </c>
      <c r="AO105" s="382">
        <f t="shared" si="59"/>
        <v>39.971013212599011</v>
      </c>
      <c r="AP105" s="382">
        <f t="shared" si="60"/>
        <v>39.97091180881889</v>
      </c>
      <c r="AQ105" s="382">
        <f t="shared" si="61"/>
        <v>39.971309624181998</v>
      </c>
      <c r="AR105" s="382">
        <f t="shared" si="62"/>
        <v>39.970245666817767</v>
      </c>
      <c r="AS105" s="388" t="str">
        <f t="shared" ca="1" si="81"/>
        <v>-</v>
      </c>
      <c r="AT105" s="388" t="str">
        <f t="shared" ca="1" si="82"/>
        <v>-</v>
      </c>
      <c r="AU105" s="388" t="str">
        <f t="shared" ca="1" si="83"/>
        <v>-</v>
      </c>
      <c r="AV105" s="388" t="str">
        <f t="shared" ca="1" si="84"/>
        <v>-</v>
      </c>
      <c r="AW105" s="382">
        <f>ABC!AS26*SIN(ABC!AU26)</f>
        <v>0.8117465818791717</v>
      </c>
      <c r="AX105" s="382">
        <f>ABC!AT26*SIN(ABC!AV26)</f>
        <v>0.59864337736994033</v>
      </c>
      <c r="AY105" s="382">
        <f>ABC!AX26*SIN(ABC!AZ26)</f>
        <v>0.71572474941073072</v>
      </c>
      <c r="AZ105" s="382">
        <f>ABC!AY26*SIN(ABC!BA26)</f>
        <v>1.13993354489147</v>
      </c>
      <c r="BA105" s="388" t="str">
        <f t="shared" ca="1" si="63"/>
        <v>-</v>
      </c>
      <c r="BB105" s="388" t="str">
        <f t="shared" ca="1" si="64"/>
        <v>-</v>
      </c>
      <c r="BC105" s="388" t="str">
        <f t="shared" ca="1" si="65"/>
        <v>-</v>
      </c>
      <c r="BD105" s="388" t="str">
        <f t="shared" ca="1" si="66"/>
        <v>-</v>
      </c>
    </row>
    <row r="106" spans="1:56">
      <c r="A106" t="str">
        <f>IF(ABC!A27=0,A105,ABC!A27)</f>
        <v>OCS</v>
      </c>
      <c r="C106" s="381">
        <f>ABC!Q27</f>
        <v>-16.099999851476017</v>
      </c>
      <c r="D106" s="381">
        <f>ABC!R27</f>
        <v>-15.450001406196005</v>
      </c>
      <c r="E106" s="381">
        <f>ABC!S27</f>
        <v>-18.000002589808375</v>
      </c>
      <c r="F106" s="381">
        <f>ABC!T27</f>
        <v>-11.180000000021026</v>
      </c>
      <c r="G106" s="382" t="str">
        <f ca="1">IFERROR(C106*Changes!$B$1,"-")</f>
        <v>-</v>
      </c>
      <c r="H106" s="382" t="str">
        <f ca="1">IFERROR(D106*Changes!$B$1,"-")</f>
        <v>-</v>
      </c>
      <c r="I106" s="382" t="str">
        <f ca="1">IFERROR(E106*Changes!$B$1,"-")</f>
        <v>-</v>
      </c>
      <c r="J106" s="382" t="str">
        <f ca="1">IFERROR(F106*Changes!$B$1,"-")</f>
        <v>-</v>
      </c>
      <c r="K106" s="383" t="str">
        <f t="shared" ca="1" si="68"/>
        <v>-</v>
      </c>
      <c r="L106" s="383" t="str">
        <f t="shared" ca="1" si="69"/>
        <v>-</v>
      </c>
      <c r="M106" s="383" t="str">
        <f t="shared" ca="1" si="70"/>
        <v>-</v>
      </c>
      <c r="N106" s="383" t="str">
        <f t="shared" ca="1" si="71"/>
        <v>-</v>
      </c>
      <c r="O106" s="384">
        <f>[1]Particles!$B$13</f>
        <v>512373.33725154324</v>
      </c>
      <c r="P106" s="384">
        <f>[1]Particles!$B$5</f>
        <v>3152.8432598003224</v>
      </c>
      <c r="Q106" s="383">
        <f>IFERROR(VLOOKUP("s",[1]md!$A:$E,5,0)*14.3998434/U106*100,"-")</f>
        <v>1334.4645774783069</v>
      </c>
      <c r="R106" s="383">
        <f>IFERROR(VLOOKUP("s",[1]md!$A:$E,5,0)*14.3998434/V106*100,"-")</f>
        <v>1334.4628847575757</v>
      </c>
      <c r="S106" s="383">
        <f>IFERROR(VLOOKUP("s",[1]md!$A:$E,5,0)*14.3998434/W106*100,"-")</f>
        <v>1334.4695254502501</v>
      </c>
      <c r="T106" s="383">
        <f>IFERROR(VLOOKUP("s",[1]md!$A:$E,5,0)*14.3998434/X106*100,"-")</f>
        <v>1334.451764853992</v>
      </c>
      <c r="U106" s="386">
        <v>2.4279136514229949</v>
      </c>
      <c r="V106" s="386">
        <v>2.4279167311487915</v>
      </c>
      <c r="W106" s="386">
        <v>2.4279046491577509</v>
      </c>
      <c r="X106" s="386">
        <v>2.4279369628279506</v>
      </c>
      <c r="Y106" s="382" t="str">
        <f t="shared" ca="1" si="72"/>
        <v>-</v>
      </c>
      <c r="Z106" s="382" t="str">
        <f t="shared" ca="1" si="73"/>
        <v>-</v>
      </c>
      <c r="AA106" s="382" t="str">
        <f t="shared" ca="1" si="74"/>
        <v>-</v>
      </c>
      <c r="AB106" s="382" t="str">
        <f t="shared" ca="1" si="75"/>
        <v>-</v>
      </c>
      <c r="AC106" s="382" t="str">
        <f ca="1">IFERROR(Changes!$B$2*Rotation!C106,"-")</f>
        <v>-</v>
      </c>
      <c r="AD106" s="382" t="str">
        <f ca="1">IFERROR(Changes!$B$2*Rotation!D106,"-")</f>
        <v>-</v>
      </c>
      <c r="AE106" s="382" t="str">
        <f ca="1">IFERROR(Changes!$B$2*Rotation!E106,"-")</f>
        <v>-</v>
      </c>
      <c r="AF106" s="382" t="str">
        <f ca="1">IFERROR(Changes!$B$2*Rotation!F106,"-")</f>
        <v>-</v>
      </c>
      <c r="AG106" s="382" t="e">
        <f ca="1">(AC106+AD106)*ABC!CV27</f>
        <v>#VALUE!</v>
      </c>
      <c r="AH106" s="382" t="e">
        <f t="shared" ca="1" si="76"/>
        <v>#VALUE!</v>
      </c>
      <c r="AI106" s="382" t="e">
        <f ca="1">(AE106+AF106)*ABC!CZ27</f>
        <v>#VALUE!</v>
      </c>
      <c r="AJ106" s="382" t="e">
        <f t="shared" ca="1" si="67"/>
        <v>#VALUE!</v>
      </c>
      <c r="AK106" s="382">
        <f t="shared" si="77"/>
        <v>0.47770263928295409</v>
      </c>
      <c r="AL106" s="382">
        <f t="shared" si="78"/>
        <v>0.47770203333419059</v>
      </c>
      <c r="AM106" s="382">
        <f t="shared" si="79"/>
        <v>0.47770441052461637</v>
      </c>
      <c r="AN106" s="382">
        <f t="shared" si="80"/>
        <v>0.47769805270601939</v>
      </c>
      <c r="AO106" s="382">
        <f t="shared" si="59"/>
        <v>39.971013212282557</v>
      </c>
      <c r="AP106" s="382">
        <f t="shared" si="60"/>
        <v>39.970911808737014</v>
      </c>
      <c r="AQ106" s="382">
        <f t="shared" si="61"/>
        <v>39.97130962452448</v>
      </c>
      <c r="AR106" s="382">
        <f t="shared" si="62"/>
        <v>39.970245666817767</v>
      </c>
      <c r="AS106" s="388" t="str">
        <f t="shared" ca="1" si="81"/>
        <v>-</v>
      </c>
      <c r="AT106" s="388" t="str">
        <f t="shared" ca="1" si="82"/>
        <v>-</v>
      </c>
      <c r="AU106" s="388" t="str">
        <f t="shared" ca="1" si="83"/>
        <v>-</v>
      </c>
      <c r="AV106" s="388" t="str">
        <f t="shared" ca="1" si="84"/>
        <v>-</v>
      </c>
      <c r="AW106" s="382">
        <f>ABC!AS27*SIN(ABC!AU27)</f>
        <v>0.80746950605531143</v>
      </c>
      <c r="AX106" s="382">
        <f>ABC!AT27*SIN(ABC!AV27)</f>
        <v>0.60689269940816759</v>
      </c>
      <c r="AY106" s="382">
        <f>ABC!AX27*SIN(ABC!AZ27)</f>
        <v>0.72217132961707897</v>
      </c>
      <c r="AZ106" s="382">
        <f>ABC!AY27*SIN(ABC!BA27)</f>
        <v>1.1351012037488035</v>
      </c>
      <c r="BA106" s="388" t="str">
        <f t="shared" ca="1" si="63"/>
        <v>-</v>
      </c>
      <c r="BB106" s="388" t="str">
        <f t="shared" ca="1" si="64"/>
        <v>-</v>
      </c>
      <c r="BC106" s="388" t="str">
        <f t="shared" ca="1" si="65"/>
        <v>-</v>
      </c>
      <c r="BD106" s="388" t="str">
        <f t="shared" ca="1" si="66"/>
        <v>-</v>
      </c>
    </row>
    <row r="107" spans="1:56">
      <c r="A107" t="str">
        <f>IF(ABC!A28=0,A106,ABC!A28)</f>
        <v>OCSe</v>
      </c>
      <c r="C107" s="381">
        <f>ABC!Q28</f>
        <v>-17.583525943402726</v>
      </c>
      <c r="D107" s="381">
        <f>ABC!R28</f>
        <v>-9.5857656564150506</v>
      </c>
      <c r="E107" s="381">
        <f>ABC!S28</f>
        <v>-18.866297145572034</v>
      </c>
      <c r="F107" s="381">
        <f>ABC!T28</f>
        <v>-9.5800000000174297</v>
      </c>
      <c r="G107" s="382" t="str">
        <f ca="1">IFERROR(C107*Changes!$B$1,"-")</f>
        <v>-</v>
      </c>
      <c r="H107" s="382" t="str">
        <f ca="1">IFERROR(D107*Changes!$B$1,"-")</f>
        <v>-</v>
      </c>
      <c r="I107" s="382" t="str">
        <f ca="1">IFERROR(E107*Changes!$B$1,"-")</f>
        <v>-</v>
      </c>
      <c r="J107" s="382" t="str">
        <f ca="1">IFERROR(F107*Changes!$B$1,"-")</f>
        <v>-</v>
      </c>
      <c r="K107" s="383" t="str">
        <f t="shared" ca="1" si="68"/>
        <v>-</v>
      </c>
      <c r="L107" s="383" t="str">
        <f t="shared" ca="1" si="69"/>
        <v>-</v>
      </c>
      <c r="M107" s="383" t="str">
        <f t="shared" ca="1" si="70"/>
        <v>-</v>
      </c>
      <c r="N107" s="383" t="str">
        <f t="shared" ca="1" si="71"/>
        <v>-</v>
      </c>
      <c r="O107" s="384">
        <f>[1]Particles!$B$13</f>
        <v>512373.33725154324</v>
      </c>
      <c r="P107" s="384">
        <f>[1]Particles!$B$5</f>
        <v>3152.8432598003224</v>
      </c>
      <c r="Q107" s="383">
        <f>IFERROR(VLOOKUP("s",[1]md!$A:$E,5,0)*14.3998434/U107*100,"-")</f>
        <v>1334.4684408650967</v>
      </c>
      <c r="R107" s="383">
        <f>IFERROR(VLOOKUP("s",[1]md!$A:$E,5,0)*14.3998434/V107*100,"-")</f>
        <v>1334.4476131616407</v>
      </c>
      <c r="S107" s="383">
        <f>IFERROR(VLOOKUP("s",[1]md!$A:$E,5,0)*14.3998434/W107*100,"-")</f>
        <v>1334.4717814476478</v>
      </c>
      <c r="T107" s="383">
        <f>IFERROR(VLOOKUP("s",[1]md!$A:$E,5,0)*14.3998434/X107*100,"-")</f>
        <v>1334.4475981467388</v>
      </c>
      <c r="U107" s="386">
        <v>2.4279066224298465</v>
      </c>
      <c r="V107" s="386">
        <v>2.4279445165507183</v>
      </c>
      <c r="W107" s="386">
        <v>2.427900544652398</v>
      </c>
      <c r="X107" s="386">
        <v>2.4279445438693998</v>
      </c>
      <c r="Y107" s="382" t="str">
        <f t="shared" ca="1" si="72"/>
        <v>-</v>
      </c>
      <c r="Z107" s="382" t="str">
        <f t="shared" ca="1" si="73"/>
        <v>-</v>
      </c>
      <c r="AA107" s="382" t="str">
        <f t="shared" ca="1" si="74"/>
        <v>-</v>
      </c>
      <c r="AB107" s="382" t="str">
        <f t="shared" ca="1" si="75"/>
        <v>-</v>
      </c>
      <c r="AC107" s="382" t="str">
        <f ca="1">IFERROR(Changes!$B$2*Rotation!C107,"-")</f>
        <v>-</v>
      </c>
      <c r="AD107" s="382" t="str">
        <f ca="1">IFERROR(Changes!$B$2*Rotation!D107,"-")</f>
        <v>-</v>
      </c>
      <c r="AE107" s="382" t="str">
        <f ca="1">IFERROR(Changes!$B$2*Rotation!E107,"-")</f>
        <v>-</v>
      </c>
      <c r="AF107" s="382" t="str">
        <f ca="1">IFERROR(Changes!$B$2*Rotation!F107,"-")</f>
        <v>-</v>
      </c>
      <c r="AG107" s="382" t="e">
        <f ca="1">(AC107+AD107)*ABC!CV28</f>
        <v>#VALUE!</v>
      </c>
      <c r="AH107" s="382" t="e">
        <f t="shared" ca="1" si="76"/>
        <v>#VALUE!</v>
      </c>
      <c r="AI107" s="382" t="e">
        <f ca="1">(AE107+AF107)*ABC!CZ28</f>
        <v>#VALUE!</v>
      </c>
      <c r="AJ107" s="382" t="e">
        <f t="shared" ca="1" si="67"/>
        <v>#VALUE!</v>
      </c>
      <c r="AK107" s="382">
        <f t="shared" si="77"/>
        <v>0.47770402227212988</v>
      </c>
      <c r="AL107" s="382">
        <f t="shared" si="78"/>
        <v>0.47769656651116099</v>
      </c>
      <c r="AM107" s="382">
        <f t="shared" si="79"/>
        <v>0.47770521811136646</v>
      </c>
      <c r="AN107" s="382">
        <f t="shared" si="80"/>
        <v>0.47769656113622755</v>
      </c>
      <c r="AO107" s="382">
        <f t="shared" si="59"/>
        <v>39.971244651483822</v>
      </c>
      <c r="AP107" s="382">
        <f t="shared" si="60"/>
        <v>39.969996959581664</v>
      </c>
      <c r="AQ107" s="382">
        <f t="shared" si="61"/>
        <v>39.971444772229255</v>
      </c>
      <c r="AR107" s="382">
        <f t="shared" si="62"/>
        <v>39.96999606011498</v>
      </c>
      <c r="AS107" s="388" t="str">
        <f t="shared" ca="1" si="81"/>
        <v>-</v>
      </c>
      <c r="AT107" s="388" t="str">
        <f t="shared" ca="1" si="82"/>
        <v>-</v>
      </c>
      <c r="AU107" s="388" t="str">
        <f t="shared" ca="1" si="83"/>
        <v>-</v>
      </c>
      <c r="AV107" s="388" t="str">
        <f t="shared" ca="1" si="84"/>
        <v>-</v>
      </c>
      <c r="AW107" s="382">
        <f>ABC!AS28*SIN(ABC!AU28)</f>
        <v>0.76479552733752787</v>
      </c>
      <c r="AX107" s="382">
        <f>ABC!AT28*SIN(ABC!AV28)</f>
        <v>1.1626990529713577</v>
      </c>
      <c r="AY107" s="382">
        <f>ABC!AX28*SIN(ABC!AZ28)</f>
        <v>0.69595246995053217</v>
      </c>
      <c r="AZ107" s="382">
        <f>ABC!AY28*SIN(ABC!BA28)</f>
        <v>1.3364132726693969</v>
      </c>
      <c r="BA107" s="388" t="str">
        <f t="shared" ca="1" si="63"/>
        <v>-</v>
      </c>
      <c r="BB107" s="388" t="str">
        <f t="shared" ca="1" si="64"/>
        <v>-</v>
      </c>
      <c r="BC107" s="388" t="str">
        <f t="shared" ca="1" si="65"/>
        <v>-</v>
      </c>
      <c r="BD107" s="388" t="str">
        <f t="shared" ca="1" si="66"/>
        <v>-</v>
      </c>
    </row>
    <row r="108" spans="1:56">
      <c r="A108" t="str">
        <f>IF(ABC!A29=0,A107,ABC!A29)</f>
        <v>OCSe</v>
      </c>
      <c r="C108" s="381">
        <f>ABC!Q29</f>
        <v>-20.01877456303847</v>
      </c>
      <c r="D108" s="381">
        <f>ABC!R29</f>
        <v>-10.380246680040964</v>
      </c>
      <c r="E108" s="381">
        <f>ABC!S29</f>
        <v>-14.444552310682086</v>
      </c>
      <c r="F108" s="381">
        <f>ABC!T29</f>
        <v>-10.370000000003357</v>
      </c>
      <c r="G108" s="382" t="str">
        <f ca="1">IFERROR(C108*Changes!$B$1,"-")</f>
        <v>-</v>
      </c>
      <c r="H108" s="382" t="str">
        <f ca="1">IFERROR(D108*Changes!$B$1,"-")</f>
        <v>-</v>
      </c>
      <c r="I108" s="382" t="str">
        <f ca="1">IFERROR(E108*Changes!$B$1,"-")</f>
        <v>-</v>
      </c>
      <c r="J108" s="382" t="str">
        <f ca="1">IFERROR(F108*Changes!$B$1,"-")</f>
        <v>-</v>
      </c>
      <c r="K108" s="383" t="str">
        <f t="shared" ca="1" si="68"/>
        <v>-</v>
      </c>
      <c r="L108" s="383" t="str">
        <f t="shared" ca="1" si="69"/>
        <v>-</v>
      </c>
      <c r="M108" s="383" t="str">
        <f t="shared" ca="1" si="70"/>
        <v>-</v>
      </c>
      <c r="N108" s="383" t="str">
        <f t="shared" ca="1" si="71"/>
        <v>-</v>
      </c>
      <c r="O108" s="384">
        <f>[1]Particles!$B$13</f>
        <v>512373.33725154324</v>
      </c>
      <c r="P108" s="384">
        <f>[1]Particles!$B$5</f>
        <v>3152.8432598003224</v>
      </c>
      <c r="Q108" s="383">
        <f>IFERROR(VLOOKUP("s",[1]md!$A:$E,5,0)*14.3998434/U108*100,"-")</f>
        <v>1334.4747827201261</v>
      </c>
      <c r="R108" s="383">
        <f>IFERROR(VLOOKUP("s",[1]md!$A:$E,5,0)*14.3998434/V108*100,"-")</f>
        <v>1334.449682142757</v>
      </c>
      <c r="S108" s="383">
        <f>IFERROR(VLOOKUP("s",[1]md!$A:$E,5,0)*14.3998434/W108*100,"-")</f>
        <v>1334.4602663750313</v>
      </c>
      <c r="T108" s="383">
        <f>IFERROR(VLOOKUP("s",[1]md!$A:$E,5,0)*14.3998434/X108*100,"-")</f>
        <v>1334.4496554584241</v>
      </c>
      <c r="U108" s="386">
        <v>2.4278950842336782</v>
      </c>
      <c r="V108" s="386">
        <v>2.4279407521739698</v>
      </c>
      <c r="W108" s="386">
        <v>2.4279214950334485</v>
      </c>
      <c r="X108" s="386">
        <v>2.4279408007243055</v>
      </c>
      <c r="Y108" s="382" t="str">
        <f t="shared" ca="1" si="72"/>
        <v>-</v>
      </c>
      <c r="Z108" s="382" t="str">
        <f t="shared" ca="1" si="73"/>
        <v>-</v>
      </c>
      <c r="AA108" s="382" t="str">
        <f t="shared" ca="1" si="74"/>
        <v>-</v>
      </c>
      <c r="AB108" s="382" t="str">
        <f t="shared" ca="1" si="75"/>
        <v>-</v>
      </c>
      <c r="AC108" s="382" t="str">
        <f ca="1">IFERROR(Changes!$B$2*Rotation!C108,"-")</f>
        <v>-</v>
      </c>
      <c r="AD108" s="382" t="str">
        <f ca="1">IFERROR(Changes!$B$2*Rotation!D108,"-")</f>
        <v>-</v>
      </c>
      <c r="AE108" s="382" t="str">
        <f ca="1">IFERROR(Changes!$B$2*Rotation!E108,"-")</f>
        <v>-</v>
      </c>
      <c r="AF108" s="382" t="str">
        <f ca="1">IFERROR(Changes!$B$2*Rotation!F108,"-")</f>
        <v>-</v>
      </c>
      <c r="AG108" s="382" t="e">
        <f ca="1">(AC108+AD108)*ABC!CV29</f>
        <v>#VALUE!</v>
      </c>
      <c r="AH108" s="382" t="e">
        <f t="shared" ca="1" si="76"/>
        <v>#VALUE!</v>
      </c>
      <c r="AI108" s="382" t="e">
        <f ca="1">(AE108+AF108)*ABC!CZ29</f>
        <v>#VALUE!</v>
      </c>
      <c r="AJ108" s="382" t="e">
        <f t="shared" ca="1" si="67"/>
        <v>#VALUE!</v>
      </c>
      <c r="AK108" s="382">
        <f t="shared" si="77"/>
        <v>0.47770629248666885</v>
      </c>
      <c r="AL108" s="382">
        <f t="shared" si="78"/>
        <v>0.47769730715108244</v>
      </c>
      <c r="AM108" s="382">
        <f t="shared" si="79"/>
        <v>0.47770109602324717</v>
      </c>
      <c r="AN108" s="382">
        <f t="shared" si="80"/>
        <v>0.4776972975988048</v>
      </c>
      <c r="AO108" s="382">
        <f t="shared" si="59"/>
        <v>39.971624566712244</v>
      </c>
      <c r="AP108" s="382">
        <f t="shared" si="60"/>
        <v>39.970120901851431</v>
      </c>
      <c r="AQ108" s="382">
        <f t="shared" si="61"/>
        <v>39.970754953066802</v>
      </c>
      <c r="AR108" s="382">
        <f t="shared" si="62"/>
        <v>39.970119303325824</v>
      </c>
      <c r="AS108" s="388" t="str">
        <f t="shared" ca="1" si="81"/>
        <v>-</v>
      </c>
      <c r="AT108" s="388" t="str">
        <f t="shared" ca="1" si="82"/>
        <v>-</v>
      </c>
      <c r="AU108" s="388" t="str">
        <f t="shared" ca="1" si="83"/>
        <v>-</v>
      </c>
      <c r="AV108" s="388" t="str">
        <f t="shared" ca="1" si="84"/>
        <v>-</v>
      </c>
      <c r="AW108" s="382">
        <f>ABC!AS29*SIN(ABC!AU29)</f>
        <v>0.67460353795494787</v>
      </c>
      <c r="AX108" s="382">
        <f>ABC!AT29*SIN(ABC!AV29)</f>
        <v>1.1011908854083843</v>
      </c>
      <c r="AY108" s="382">
        <f>ABC!AX29*SIN(ABC!AZ29)</f>
        <v>0.93771315737842487</v>
      </c>
      <c r="AZ108" s="382">
        <f>ABC!AY29*SIN(ABC!BA29)</f>
        <v>1.2684925915448391</v>
      </c>
      <c r="BA108" s="388" t="str">
        <f t="shared" ca="1" si="63"/>
        <v>-</v>
      </c>
      <c r="BB108" s="388" t="str">
        <f t="shared" ca="1" si="64"/>
        <v>-</v>
      </c>
      <c r="BC108" s="388" t="str">
        <f t="shared" ca="1" si="65"/>
        <v>-</v>
      </c>
      <c r="BD108" s="388" t="str">
        <f t="shared" ca="1" si="66"/>
        <v>-</v>
      </c>
    </row>
    <row r="109" spans="1:56">
      <c r="A109" t="str">
        <f>IF(ABC!A30=0,A108,ABC!A30)</f>
        <v>HNO</v>
      </c>
      <c r="C109" s="381">
        <f>ABC!Q30</f>
        <v>-10.100000000781485</v>
      </c>
      <c r="D109" s="381">
        <f>ABC!R30</f>
        <v>-16.214337318939986</v>
      </c>
      <c r="E109" s="381">
        <f>ABC!S30</f>
        <v>-17.266104776594844</v>
      </c>
      <c r="F109" s="381">
        <f>ABC!T30</f>
        <v>-17.881745215574988</v>
      </c>
      <c r="G109" s="382" t="str">
        <f ca="1">IFERROR(C109*Changes!$B$1,"-")</f>
        <v>-</v>
      </c>
      <c r="H109" s="382" t="str">
        <f ca="1">IFERROR(D109*Changes!$B$1,"-")</f>
        <v>-</v>
      </c>
      <c r="I109" s="382" t="str">
        <f ca="1">IFERROR(E109*Changes!$B$1,"-")</f>
        <v>-</v>
      </c>
      <c r="J109" s="382" t="str">
        <f ca="1">IFERROR(F109*Changes!$B$1,"-")</f>
        <v>-</v>
      </c>
      <c r="K109" s="383" t="str">
        <f t="shared" ca="1" si="68"/>
        <v>-</v>
      </c>
      <c r="L109" s="383" t="str">
        <f t="shared" ca="1" si="69"/>
        <v>-</v>
      </c>
      <c r="M109" s="383" t="str">
        <f t="shared" ca="1" si="70"/>
        <v>-</v>
      </c>
      <c r="N109" s="383" t="str">
        <f t="shared" ca="1" si="71"/>
        <v>-</v>
      </c>
      <c r="O109" s="384">
        <f>[1]Particles!$B$13</f>
        <v>512373.33725154324</v>
      </c>
      <c r="P109" s="384">
        <f>[1]Particles!$B$5</f>
        <v>3152.8432598003224</v>
      </c>
      <c r="Q109" s="383">
        <f>IFERROR(VLOOKUP("s",[1]md!$A:$E,5,0)*14.3998434/U109*100,"-")</f>
        <v>1334.4489523266343</v>
      </c>
      <c r="R109" s="383">
        <f>IFERROR(VLOOKUP("s",[1]md!$A:$E,5,0)*14.3998434/V109*100,"-")</f>
        <v>1334.4648752350097</v>
      </c>
      <c r="S109" s="383">
        <f>IFERROR(VLOOKUP("s",[1]md!$A:$E,5,0)*14.3998434/W109*100,"-")</f>
        <v>1334.467614239459</v>
      </c>
      <c r="T109" s="383">
        <f>IFERROR(VLOOKUP("s",[1]md!$A:$E,5,0)*14.3998434/X109*100,"-")</f>
        <v>1334.4692174853596</v>
      </c>
      <c r="U109" s="386">
        <v>2.4279420800256664</v>
      </c>
      <c r="V109" s="386">
        <v>2.4279131096870699</v>
      </c>
      <c r="W109" s="386">
        <v>2.4279081263778166</v>
      </c>
      <c r="X109" s="386">
        <v>2.427905209462462</v>
      </c>
      <c r="Y109" s="382" t="str">
        <f t="shared" ca="1" si="72"/>
        <v>-</v>
      </c>
      <c r="Z109" s="382" t="str">
        <f t="shared" ca="1" si="73"/>
        <v>-</v>
      </c>
      <c r="AA109" s="382" t="str">
        <f t="shared" ca="1" si="74"/>
        <v>-</v>
      </c>
      <c r="AB109" s="382" t="str">
        <f t="shared" ca="1" si="75"/>
        <v>-</v>
      </c>
      <c r="AC109" s="382" t="str">
        <f ca="1">IFERROR(Changes!$B$2*Rotation!C109,"-")</f>
        <v>-</v>
      </c>
      <c r="AD109" s="382" t="str">
        <f ca="1">IFERROR(Changes!$B$2*Rotation!D109,"-")</f>
        <v>-</v>
      </c>
      <c r="AE109" s="382" t="str">
        <f ca="1">IFERROR(Changes!$B$2*Rotation!E109,"-")</f>
        <v>-</v>
      </c>
      <c r="AF109" s="382" t="str">
        <f ca="1">IFERROR(Changes!$B$2*Rotation!F109,"-")</f>
        <v>-</v>
      </c>
      <c r="AG109" s="382" t="e">
        <f ca="1">(AC109+AD109)*ABC!CV30</f>
        <v>#VALUE!</v>
      </c>
      <c r="AH109" s="382" t="e">
        <f t="shared" ca="1" si="76"/>
        <v>#VALUE!</v>
      </c>
      <c r="AI109" s="382" t="e">
        <f ca="1">(AE109+AF109)*ABC!CZ30</f>
        <v>#VALUE!</v>
      </c>
      <c r="AJ109" s="382" t="e">
        <f t="shared" ca="1" si="67"/>
        <v>#VALUE!</v>
      </c>
      <c r="AK109" s="382">
        <f t="shared" si="77"/>
        <v>0.47769704589642364</v>
      </c>
      <c r="AL109" s="382">
        <f t="shared" si="78"/>
        <v>0.47770274587189271</v>
      </c>
      <c r="AM109" s="382">
        <f t="shared" si="79"/>
        <v>0.47770372636225295</v>
      </c>
      <c r="AN109" s="382">
        <f t="shared" si="80"/>
        <v>0.47770430028141969</v>
      </c>
      <c r="AO109" s="382">
        <f t="shared" si="59"/>
        <v>39.97007718221019</v>
      </c>
      <c r="AP109" s="382">
        <f t="shared" si="60"/>
        <v>39.971031049606445</v>
      </c>
      <c r="AQ109" s="382">
        <f t="shared" si="61"/>
        <v>39.971195131773406</v>
      </c>
      <c r="AR109" s="382">
        <f t="shared" si="62"/>
        <v>39.971291175607767</v>
      </c>
      <c r="AS109" s="388" t="str">
        <f t="shared" ca="1" si="81"/>
        <v>-</v>
      </c>
      <c r="AT109" s="388" t="str">
        <f t="shared" ca="1" si="82"/>
        <v>-</v>
      </c>
      <c r="AU109" s="388" t="str">
        <f t="shared" ca="1" si="83"/>
        <v>-</v>
      </c>
      <c r="AV109" s="388" t="str">
        <f t="shared" ca="1" si="84"/>
        <v>-</v>
      </c>
      <c r="AW109" s="382">
        <f>ABC!AS30*SIN(ABC!AU30)</f>
        <v>1.0911443171422679</v>
      </c>
      <c r="AX109" s="382">
        <f>ABC!AT30*SIN(ABC!AV30)</f>
        <v>0.80843070106986548</v>
      </c>
      <c r="AY109" s="382">
        <f>ABC!AX30*SIN(ABC!AZ30)</f>
        <v>0.7824006967492817</v>
      </c>
      <c r="AZ109" s="382">
        <f>ABC!AY30*SIN(ABC!BA30)</f>
        <v>0.75688271763517589</v>
      </c>
      <c r="BA109" s="388" t="str">
        <f t="shared" ca="1" si="63"/>
        <v>-</v>
      </c>
      <c r="BB109" s="388" t="str">
        <f t="shared" ca="1" si="64"/>
        <v>-</v>
      </c>
      <c r="BC109" s="388" t="str">
        <f t="shared" ca="1" si="65"/>
        <v>-</v>
      </c>
      <c r="BD109" s="388" t="str">
        <f t="shared" ca="1" si="66"/>
        <v>-</v>
      </c>
    </row>
    <row r="110" spans="1:56">
      <c r="A110" t="str">
        <f>IF(ABC!A31=0,A109,ABC!A31)</f>
        <v>HNO</v>
      </c>
      <c r="C110" s="381">
        <f>ABC!Q31</f>
        <v>-10.100000000006162</v>
      </c>
      <c r="D110" s="381">
        <f>ABC!R31</f>
        <v>-16.680621013267825</v>
      </c>
      <c r="E110" s="381">
        <f>ABC!S31</f>
        <v>-16.915964127114382</v>
      </c>
      <c r="F110" s="381">
        <f>ABC!T31</f>
        <v>-17.194866375687489</v>
      </c>
      <c r="G110" s="382" t="str">
        <f ca="1">IFERROR(C110*Changes!$B$1,"-")</f>
        <v>-</v>
      </c>
      <c r="H110" s="382" t="str">
        <f ca="1">IFERROR(D110*Changes!$B$1,"-")</f>
        <v>-</v>
      </c>
      <c r="I110" s="382" t="str">
        <f ca="1">IFERROR(E110*Changes!$B$1,"-")</f>
        <v>-</v>
      </c>
      <c r="J110" s="382" t="str">
        <f ca="1">IFERROR(F110*Changes!$B$1,"-")</f>
        <v>-</v>
      </c>
      <c r="K110" s="383" t="str">
        <f t="shared" ca="1" si="68"/>
        <v>-</v>
      </c>
      <c r="L110" s="383" t="str">
        <f t="shared" ca="1" si="69"/>
        <v>-</v>
      </c>
      <c r="M110" s="383" t="str">
        <f t="shared" ca="1" si="70"/>
        <v>-</v>
      </c>
      <c r="N110" s="383" t="str">
        <f t="shared" ca="1" si="71"/>
        <v>-</v>
      </c>
      <c r="O110" s="384">
        <f>[1]Particles!$B$13</f>
        <v>512373.33725154324</v>
      </c>
      <c r="P110" s="384">
        <f>[1]Particles!$B$5</f>
        <v>3152.8432598003224</v>
      </c>
      <c r="Q110" s="383">
        <f>IFERROR(VLOOKUP("s",[1]md!$A:$E,5,0)*14.3998434/U110*100,"-")</f>
        <v>1334.4489523266343</v>
      </c>
      <c r="R110" s="383">
        <f>IFERROR(VLOOKUP("s",[1]md!$A:$E,5,0)*14.3998434/V110*100,"-")</f>
        <v>1334.4660895273289</v>
      </c>
      <c r="S110" s="383">
        <f>IFERROR(VLOOKUP("s",[1]md!$A:$E,5,0)*14.3998434/W110*100,"-")</f>
        <v>1334.4667024059279</v>
      </c>
      <c r="T110" s="383">
        <f>IFERROR(VLOOKUP("s",[1]md!$A:$E,5,0)*14.3998434/X110*100,"-")</f>
        <v>1334.4674287210162</v>
      </c>
      <c r="U110" s="386">
        <v>2.4279420800256664</v>
      </c>
      <c r="V110" s="386">
        <v>2.4279109004168125</v>
      </c>
      <c r="W110" s="386">
        <v>2.4279097853536729</v>
      </c>
      <c r="X110" s="386">
        <v>2.4279084639070247</v>
      </c>
      <c r="Y110" s="382" t="str">
        <f t="shared" ca="1" si="72"/>
        <v>-</v>
      </c>
      <c r="Z110" s="382" t="str">
        <f t="shared" ca="1" si="73"/>
        <v>-</v>
      </c>
      <c r="AA110" s="382" t="str">
        <f t="shared" ca="1" si="74"/>
        <v>-</v>
      </c>
      <c r="AB110" s="382" t="str">
        <f t="shared" ca="1" si="75"/>
        <v>-</v>
      </c>
      <c r="AC110" s="382" t="str">
        <f ca="1">IFERROR(Changes!$B$2*Rotation!C110,"-")</f>
        <v>-</v>
      </c>
      <c r="AD110" s="382" t="str">
        <f ca="1">IFERROR(Changes!$B$2*Rotation!D110,"-")</f>
        <v>-</v>
      </c>
      <c r="AE110" s="382" t="str">
        <f ca="1">IFERROR(Changes!$B$2*Rotation!E110,"-")</f>
        <v>-</v>
      </c>
      <c r="AF110" s="382" t="str">
        <f ca="1">IFERROR(Changes!$B$2*Rotation!F110,"-")</f>
        <v>-</v>
      </c>
      <c r="AG110" s="382" t="e">
        <f ca="1">(AC110+AD110)*ABC!CV31</f>
        <v>#VALUE!</v>
      </c>
      <c r="AH110" s="382" t="e">
        <f t="shared" ca="1" si="76"/>
        <v>#VALUE!</v>
      </c>
      <c r="AI110" s="382" t="e">
        <f ca="1">(AE110+AF110)*ABC!CZ31</f>
        <v>#VALUE!</v>
      </c>
      <c r="AJ110" s="382" t="e">
        <f t="shared" ca="1" si="67"/>
        <v>#VALUE!</v>
      </c>
      <c r="AK110" s="382">
        <f t="shared" si="77"/>
        <v>0.47769704589642364</v>
      </c>
      <c r="AL110" s="382">
        <f t="shared" si="78"/>
        <v>0.47770318055607658</v>
      </c>
      <c r="AM110" s="382">
        <f t="shared" si="79"/>
        <v>0.47770339995022848</v>
      </c>
      <c r="AN110" s="382">
        <f t="shared" si="80"/>
        <v>0.47770365995161079</v>
      </c>
      <c r="AO110" s="382">
        <f t="shared" si="59"/>
        <v>39.97007718221019</v>
      </c>
      <c r="AP110" s="382">
        <f t="shared" si="60"/>
        <v>39.971103792679685</v>
      </c>
      <c r="AQ110" s="382">
        <f t="shared" si="61"/>
        <v>39.971140507647419</v>
      </c>
      <c r="AR110" s="382">
        <f t="shared" si="62"/>
        <v>39.971184018137883</v>
      </c>
      <c r="AS110" s="388" t="str">
        <f t="shared" ca="1" si="81"/>
        <v>-</v>
      </c>
      <c r="AT110" s="388" t="str">
        <f t="shared" ca="1" si="82"/>
        <v>-</v>
      </c>
      <c r="AU110" s="388" t="str">
        <f t="shared" ca="1" si="83"/>
        <v>-</v>
      </c>
      <c r="AV110" s="388" t="str">
        <f t="shared" ca="1" si="84"/>
        <v>-</v>
      </c>
      <c r="AW110" s="382">
        <f>ABC!AS31*SIN(ABC!AU31)</f>
        <v>1.1029381657514383</v>
      </c>
      <c r="AX110" s="382">
        <f>ABC!AT31*SIN(ABC!AV31)</f>
        <v>0.79407988774991611</v>
      </c>
      <c r="AY110" s="382">
        <f>ABC!AX31*SIN(ABC!AZ31)</f>
        <v>0.7966306280089599</v>
      </c>
      <c r="AZ110" s="382">
        <f>ABC!AY31*SIN(ABC!BA31)</f>
        <v>0.78465677139851342</v>
      </c>
      <c r="BA110" s="388" t="str">
        <f t="shared" ca="1" si="63"/>
        <v>-</v>
      </c>
      <c r="BB110" s="388" t="str">
        <f t="shared" ca="1" si="64"/>
        <v>-</v>
      </c>
      <c r="BC110" s="388" t="str">
        <f t="shared" ca="1" si="65"/>
        <v>-</v>
      </c>
      <c r="BD110" s="388" t="str">
        <f t="shared" ca="1" si="66"/>
        <v>-</v>
      </c>
    </row>
    <row r="111" spans="1:56">
      <c r="A111" t="str">
        <f>IF(ABC!A32=0,A110,ABC!A32)</f>
        <v>HCN</v>
      </c>
      <c r="C111" s="381">
        <f>ABC!Q32</f>
        <v>-13.600000002491267</v>
      </c>
      <c r="D111" s="381">
        <f>ABC!R32</f>
        <v>-13.969613914255827</v>
      </c>
      <c r="E111" s="381">
        <f>ABC!S32</f>
        <v>-19.211502196855154</v>
      </c>
      <c r="F111" s="381">
        <f>ABC!T32</f>
        <v>-19.863225028288223</v>
      </c>
      <c r="G111" s="382" t="str">
        <f ca="1">IFERROR(C111*Changes!$B$1,"-")</f>
        <v>-</v>
      </c>
      <c r="H111" s="382" t="str">
        <f ca="1">IFERROR(D111*Changes!$B$1,"-")</f>
        <v>-</v>
      </c>
      <c r="I111" s="382" t="str">
        <f ca="1">IFERROR(E111*Changes!$B$1,"-")</f>
        <v>-</v>
      </c>
      <c r="J111" s="382" t="str">
        <f ca="1">IFERROR(F111*Changes!$B$1,"-")</f>
        <v>-</v>
      </c>
      <c r="K111" s="383" t="str">
        <f t="shared" ref="K111:N113" ca="1" si="85">IFERROR($O111-G111-Q111-AC111-AO111,"-")</f>
        <v>-</v>
      </c>
      <c r="L111" s="383" t="str">
        <f t="shared" ca="1" si="85"/>
        <v>-</v>
      </c>
      <c r="M111" s="383" t="str">
        <f t="shared" ca="1" si="85"/>
        <v>-</v>
      </c>
      <c r="N111" s="383" t="str">
        <f t="shared" ca="1" si="85"/>
        <v>-</v>
      </c>
      <c r="O111" s="384">
        <f>[1]Particles!$B$13</f>
        <v>512373.33725154324</v>
      </c>
      <c r="P111" s="384">
        <f>[1]Particles!$B$5</f>
        <v>3152.8432598003224</v>
      </c>
      <c r="Q111" s="383">
        <f>IFERROR(VLOOKUP("s",[1]md!$A:$E,5,0)*14.3998434/U111*100,"-")</f>
        <v>1334.4489523266343</v>
      </c>
      <c r="R111" s="383">
        <f>IFERROR(VLOOKUP("s",[1]md!$A:$E,5,0)*14.3998434/V111*100,"-")</f>
        <v>1334.4660895273289</v>
      </c>
      <c r="S111" s="383">
        <f>IFERROR(VLOOKUP("s",[1]md!$A:$E,5,0)*14.3998434/W111*100,"-")</f>
        <v>1334.4667024059279</v>
      </c>
      <c r="T111" s="383">
        <f>IFERROR(VLOOKUP("s",[1]md!$A:$E,5,0)*14.3998434/X111*100,"-")</f>
        <v>1334.4674287210162</v>
      </c>
      <c r="U111" s="386">
        <v>2.4279420800256664</v>
      </c>
      <c r="V111" s="386">
        <v>2.4279109004168125</v>
      </c>
      <c r="W111" s="386">
        <v>2.4279097853536729</v>
      </c>
      <c r="X111" s="386">
        <v>2.4279084639070247</v>
      </c>
      <c r="Y111" s="382" t="str">
        <f t="shared" ref="Y111:AB113" ca="1" si="86">IFERROR(6.582119514/K111*3*2*PI()*10^4,"-")</f>
        <v>-</v>
      </c>
      <c r="Z111" s="382" t="str">
        <f t="shared" ca="1" si="86"/>
        <v>-</v>
      </c>
      <c r="AA111" s="382" t="str">
        <f t="shared" ca="1" si="86"/>
        <v>-</v>
      </c>
      <c r="AB111" s="382" t="str">
        <f t="shared" ca="1" si="86"/>
        <v>-</v>
      </c>
      <c r="AC111" s="382" t="str">
        <f ca="1">IFERROR(Changes!$B$2*Rotation!C111,"-")</f>
        <v>-</v>
      </c>
      <c r="AD111" s="382" t="str">
        <f ca="1">IFERROR(Changes!$B$2*Rotation!D111,"-")</f>
        <v>-</v>
      </c>
      <c r="AE111" s="382" t="str">
        <f ca="1">IFERROR(Changes!$B$2*Rotation!E111,"-")</f>
        <v>-</v>
      </c>
      <c r="AF111" s="382" t="str">
        <f ca="1">IFERROR(Changes!$B$2*Rotation!F111,"-")</f>
        <v>-</v>
      </c>
      <c r="AG111" s="382" t="e">
        <f ca="1">(AC111+AD111)*ABC!CV32</f>
        <v>#VALUE!</v>
      </c>
      <c r="AH111" s="382" t="e">
        <f t="shared" ca="1" si="76"/>
        <v>#VALUE!</v>
      </c>
      <c r="AI111" s="382" t="e">
        <f ca="1">(AE111+AF111)*ABC!CZ32</f>
        <v>#VALUE!</v>
      </c>
      <c r="AJ111" s="382" t="e">
        <f t="shared" ca="1" si="67"/>
        <v>#VALUE!</v>
      </c>
      <c r="AK111" s="382">
        <f t="shared" ref="AK111:AN113" si="87">IFERROR((0.5*6.582119514/U111/$P111)*100/9*100,"-")</f>
        <v>0.47769704589642364</v>
      </c>
      <c r="AL111" s="382">
        <f t="shared" si="87"/>
        <v>0.47770318055607658</v>
      </c>
      <c r="AM111" s="382">
        <f t="shared" si="87"/>
        <v>0.47770339995022848</v>
      </c>
      <c r="AN111" s="382">
        <f t="shared" si="87"/>
        <v>0.47770365995161079</v>
      </c>
      <c r="AO111" s="382">
        <f t="shared" ref="AO111:AR113" si="88">IFERROR(0.5*$P111*AK111^2/9,"-")</f>
        <v>39.97007718221019</v>
      </c>
      <c r="AP111" s="382">
        <f t="shared" si="88"/>
        <v>39.971103792679685</v>
      </c>
      <c r="AQ111" s="382">
        <f t="shared" si="88"/>
        <v>39.971140507647419</v>
      </c>
      <c r="AR111" s="382">
        <f t="shared" si="88"/>
        <v>39.971184018137883</v>
      </c>
      <c r="AS111" s="388" t="str">
        <f t="shared" ca="1" si="81"/>
        <v>-</v>
      </c>
      <c r="AT111" s="388" t="str">
        <f t="shared" ca="1" si="82"/>
        <v>-</v>
      </c>
      <c r="AU111" s="388" t="str">
        <f t="shared" ca="1" si="83"/>
        <v>-</v>
      </c>
      <c r="AV111" s="388" t="str">
        <f t="shared" ca="1" si="84"/>
        <v>-</v>
      </c>
      <c r="AW111" s="382">
        <f>ABC!AS32*SIN(ABC!AU32)</f>
        <v>0.91843303724257175</v>
      </c>
      <c r="AX111" s="382">
        <f>ABC!AT32*SIN(ABC!AV32)</f>
        <v>0.89938322135758242</v>
      </c>
      <c r="AY111" s="382">
        <f>ABC!AX32*SIN(ABC!AZ32)</f>
        <v>0.69740267983734605</v>
      </c>
      <c r="AZ111" s="382">
        <f>ABC!AY32*SIN(ABC!BA32)</f>
        <v>0.68813396918116942</v>
      </c>
      <c r="BA111" s="388" t="str">
        <f t="shared" ref="BA111:BD114" ca="1" si="89">IFERROR(AS111/AW111,"-")</f>
        <v>-</v>
      </c>
      <c r="BB111" s="388" t="str">
        <f t="shared" ca="1" si="89"/>
        <v>-</v>
      </c>
      <c r="BC111" s="388" t="str">
        <f t="shared" ca="1" si="89"/>
        <v>-</v>
      </c>
      <c r="BD111" s="388" t="str">
        <f t="shared" ca="1" si="89"/>
        <v>-</v>
      </c>
    </row>
    <row r="112" spans="1:56">
      <c r="A112" t="e">
        <f>IF(ABC!#REF!=0,A111,ABC!#REF!)</f>
        <v>#REF!</v>
      </c>
      <c r="C112" s="381" t="e">
        <f>ABC!#REF!</f>
        <v>#REF!</v>
      </c>
      <c r="D112" s="381" t="e">
        <f>ABC!#REF!</f>
        <v>#REF!</v>
      </c>
      <c r="E112" s="381" t="e">
        <f>ABC!#REF!</f>
        <v>#REF!</v>
      </c>
      <c r="F112" s="381" t="e">
        <f>ABC!#REF!</f>
        <v>#REF!</v>
      </c>
      <c r="G112" s="382" t="str">
        <f ca="1">IFERROR(C112*Changes!$B$1,"-")</f>
        <v>-</v>
      </c>
      <c r="H112" s="382" t="str">
        <f ca="1">IFERROR(D112*Changes!$B$1,"-")</f>
        <v>-</v>
      </c>
      <c r="I112" s="382" t="str">
        <f ca="1">IFERROR(E112*Changes!$B$1,"-")</f>
        <v>-</v>
      </c>
      <c r="J112" s="382" t="str">
        <f ca="1">IFERROR(F112*Changes!$B$1,"-")</f>
        <v>-</v>
      </c>
      <c r="K112" s="383" t="str">
        <f t="shared" ca="1" si="85"/>
        <v>-</v>
      </c>
      <c r="L112" s="383" t="str">
        <f t="shared" ca="1" si="85"/>
        <v>-</v>
      </c>
      <c r="M112" s="383" t="str">
        <f t="shared" ca="1" si="85"/>
        <v>-</v>
      </c>
      <c r="N112" s="383" t="str">
        <f t="shared" ca="1" si="85"/>
        <v>-</v>
      </c>
      <c r="O112" s="384">
        <f>[1]Particles!$B$13</f>
        <v>512373.33725154324</v>
      </c>
      <c r="P112" s="384">
        <f>[1]Particles!$B$5</f>
        <v>3152.8432598003224</v>
      </c>
      <c r="Q112" s="383">
        <f>IFERROR(VLOOKUP("s",[1]md!$A:$E,5,0)*14.3998434/U112*100,"-")</f>
        <v>1334.4489523266343</v>
      </c>
      <c r="R112" s="383">
        <f>IFERROR(VLOOKUP("s",[1]md!$A:$E,5,0)*14.3998434/V112*100,"-")</f>
        <v>1334.4660895273289</v>
      </c>
      <c r="S112" s="383">
        <f>IFERROR(VLOOKUP("s",[1]md!$A:$E,5,0)*14.3998434/W112*100,"-")</f>
        <v>1334.4667024059279</v>
      </c>
      <c r="T112" s="383">
        <f>IFERROR(VLOOKUP("s",[1]md!$A:$E,5,0)*14.3998434/X112*100,"-")</f>
        <v>1334.4674287210162</v>
      </c>
      <c r="U112" s="386">
        <v>2.4279420800256664</v>
      </c>
      <c r="V112" s="386">
        <v>2.4279109004168125</v>
      </c>
      <c r="W112" s="386">
        <v>2.4279097853536729</v>
      </c>
      <c r="X112" s="386">
        <v>2.4279084639070247</v>
      </c>
      <c r="Y112" s="382" t="str">
        <f t="shared" ca="1" si="86"/>
        <v>-</v>
      </c>
      <c r="Z112" s="382" t="str">
        <f t="shared" ca="1" si="86"/>
        <v>-</v>
      </c>
      <c r="AA112" s="382" t="str">
        <f t="shared" ca="1" si="86"/>
        <v>-</v>
      </c>
      <c r="AB112" s="382" t="str">
        <f t="shared" ca="1" si="86"/>
        <v>-</v>
      </c>
      <c r="AC112" s="382" t="str">
        <f ca="1">IFERROR(Changes!$B$2*Rotation!C112,"-")</f>
        <v>-</v>
      </c>
      <c r="AD112" s="382" t="str">
        <f ca="1">IFERROR(Changes!$B$2*Rotation!D112,"-")</f>
        <v>-</v>
      </c>
      <c r="AE112" s="382" t="str">
        <f ca="1">IFERROR(Changes!$B$2*Rotation!E112,"-")</f>
        <v>-</v>
      </c>
      <c r="AF112" s="382" t="str">
        <f ca="1">IFERROR(Changes!$B$2*Rotation!F112,"-")</f>
        <v>-</v>
      </c>
      <c r="AG112" s="382" t="e">
        <f ca="1">(AC112+AD112)*ABC!#REF!</f>
        <v>#VALUE!</v>
      </c>
      <c r="AH112" s="382" t="e">
        <f t="shared" ca="1" si="76"/>
        <v>#VALUE!</v>
      </c>
      <c r="AI112" s="382" t="e">
        <f ca="1">(AE112+AF112)*ABC!#REF!</f>
        <v>#VALUE!</v>
      </c>
      <c r="AJ112" s="382" t="e">
        <f t="shared" ca="1" si="67"/>
        <v>#VALUE!</v>
      </c>
      <c r="AK112" s="382">
        <f t="shared" si="87"/>
        <v>0.47769704589642364</v>
      </c>
      <c r="AL112" s="382">
        <f t="shared" si="87"/>
        <v>0.47770318055607658</v>
      </c>
      <c r="AM112" s="382">
        <f t="shared" si="87"/>
        <v>0.47770339995022848</v>
      </c>
      <c r="AN112" s="382">
        <f t="shared" si="87"/>
        <v>0.47770365995161079</v>
      </c>
      <c r="AO112" s="382">
        <f t="shared" si="88"/>
        <v>39.97007718221019</v>
      </c>
      <c r="AP112" s="382">
        <f t="shared" si="88"/>
        <v>39.971103792679685</v>
      </c>
      <c r="AQ112" s="382">
        <f t="shared" si="88"/>
        <v>39.971140507647419</v>
      </c>
      <c r="AR112" s="382">
        <f t="shared" si="88"/>
        <v>39.971184018137883</v>
      </c>
      <c r="AS112" s="388" t="str">
        <f t="shared" ca="1" si="81"/>
        <v>-</v>
      </c>
      <c r="AT112" s="388" t="str">
        <f t="shared" ca="1" si="82"/>
        <v>-</v>
      </c>
      <c r="AU112" s="388" t="str">
        <f t="shared" ca="1" si="83"/>
        <v>-</v>
      </c>
      <c r="AV112" s="388" t="str">
        <f t="shared" ca="1" si="84"/>
        <v>-</v>
      </c>
      <c r="AW112" s="382" t="e">
        <f>ABC!#REF!*SIN(ABC!#REF!)</f>
        <v>#REF!</v>
      </c>
      <c r="AX112" s="382" t="e">
        <f>ABC!#REF!*SIN(ABC!#REF!)</f>
        <v>#REF!</v>
      </c>
      <c r="AY112" s="382" t="e">
        <f>ABC!#REF!*SIN(ABC!#REF!)</f>
        <v>#REF!</v>
      </c>
      <c r="AZ112" s="382" t="e">
        <f>ABC!#REF!*SIN(ABC!#REF!)</f>
        <v>#REF!</v>
      </c>
      <c r="BA112" s="388" t="str">
        <f t="shared" ca="1" si="89"/>
        <v>-</v>
      </c>
      <c r="BB112" s="388" t="str">
        <f t="shared" ca="1" si="89"/>
        <v>-</v>
      </c>
      <c r="BC112" s="388" t="str">
        <f t="shared" ca="1" si="89"/>
        <v>-</v>
      </c>
      <c r="BD112" s="388" t="str">
        <f t="shared" ca="1" si="89"/>
        <v>-</v>
      </c>
    </row>
    <row r="113" spans="1:59" ht="15.75" thickBot="1">
      <c r="A113" s="380" t="e">
        <f>IF(ABC!A33=0,A112,ABC!A33)</f>
        <v>#REF!</v>
      </c>
      <c r="C113" s="381">
        <f>ABC!Q33</f>
        <v>-12.500000000044803</v>
      </c>
      <c r="D113" s="381">
        <f>ABC!R33</f>
        <v>-13.134377132839631</v>
      </c>
      <c r="E113" s="381">
        <f>ABC!S33</f>
        <v>-17.729799324020348</v>
      </c>
      <c r="F113" s="381">
        <f>ABC!T33</f>
        <v>-18.537444813065832</v>
      </c>
      <c r="G113" s="382" t="str">
        <f ca="1">IFERROR(C113*Changes!$B$1,"-")</f>
        <v>-</v>
      </c>
      <c r="H113" s="382" t="str">
        <f ca="1">IFERROR(D113*Changes!$B$1,"-")</f>
        <v>-</v>
      </c>
      <c r="I113" s="382" t="str">
        <f ca="1">IFERROR(E113*Changes!$B$1,"-")</f>
        <v>-</v>
      </c>
      <c r="J113" s="382" t="str">
        <f ca="1">IFERROR(F113*Changes!$B$1,"-")</f>
        <v>-</v>
      </c>
      <c r="K113" s="383" t="str">
        <f t="shared" ca="1" si="85"/>
        <v>-</v>
      </c>
      <c r="L113" s="383" t="str">
        <f t="shared" ca="1" si="85"/>
        <v>-</v>
      </c>
      <c r="M113" s="383" t="str">
        <f t="shared" ca="1" si="85"/>
        <v>-</v>
      </c>
      <c r="N113" s="383" t="str">
        <f t="shared" ca="1" si="85"/>
        <v>-</v>
      </c>
      <c r="O113" s="384">
        <f>[1]Particles!$B$13</f>
        <v>512373.33725154324</v>
      </c>
      <c r="P113" s="384">
        <f>[1]Particles!$B$5</f>
        <v>3152.8432598003224</v>
      </c>
      <c r="Q113" s="383">
        <f>IFERROR(VLOOKUP("s",[1]md!$A:$E,5,0)*14.3998434/U113*100,"-")</f>
        <v>1334.4489523266343</v>
      </c>
      <c r="R113" s="383">
        <f>IFERROR(VLOOKUP("s",[1]md!$A:$E,5,0)*14.3998434/V113*100,"-")</f>
        <v>1334.4660895273289</v>
      </c>
      <c r="S113" s="383">
        <f>IFERROR(VLOOKUP("s",[1]md!$A:$E,5,0)*14.3998434/W113*100,"-")</f>
        <v>1334.4667024059279</v>
      </c>
      <c r="T113" s="383">
        <f>IFERROR(VLOOKUP("s",[1]md!$A:$E,5,0)*14.3998434/X113*100,"-")</f>
        <v>1334.4674287210162</v>
      </c>
      <c r="U113" s="386">
        <v>2.4279420800256664</v>
      </c>
      <c r="V113" s="386">
        <v>2.4279109004168125</v>
      </c>
      <c r="W113" s="386">
        <v>2.4279097853536729</v>
      </c>
      <c r="X113" s="386">
        <v>2.4279084639070247</v>
      </c>
      <c r="Y113" s="382" t="str">
        <f t="shared" ca="1" si="86"/>
        <v>-</v>
      </c>
      <c r="Z113" s="382" t="str">
        <f t="shared" ca="1" si="86"/>
        <v>-</v>
      </c>
      <c r="AA113" s="382" t="str">
        <f t="shared" ca="1" si="86"/>
        <v>-</v>
      </c>
      <c r="AB113" s="382" t="str">
        <f t="shared" ca="1" si="86"/>
        <v>-</v>
      </c>
      <c r="AC113" s="382" t="str">
        <f ca="1">IFERROR(Changes!$B$2*Rotation!C113,"-")</f>
        <v>-</v>
      </c>
      <c r="AD113" s="382" t="str">
        <f ca="1">IFERROR(Changes!$B$2*Rotation!D113,"-")</f>
        <v>-</v>
      </c>
      <c r="AE113" s="382" t="str">
        <f ca="1">IFERROR(Changes!$B$2*Rotation!E113,"-")</f>
        <v>-</v>
      </c>
      <c r="AF113" s="382" t="str">
        <f ca="1">IFERROR(Changes!$B$2*Rotation!F113,"-")</f>
        <v>-</v>
      </c>
      <c r="AG113" s="382" t="e">
        <f ca="1">(AC113+AD113)*ABC!CV33</f>
        <v>#VALUE!</v>
      </c>
      <c r="AH113" s="382" t="e">
        <f t="shared" ca="1" si="76"/>
        <v>#VALUE!</v>
      </c>
      <c r="AI113" s="382" t="e">
        <f ca="1">(AE113+AF113)*ABC!CZ33</f>
        <v>#VALUE!</v>
      </c>
      <c r="AJ113" s="382" t="e">
        <f t="shared" ca="1" si="67"/>
        <v>#VALUE!</v>
      </c>
      <c r="AK113" s="382">
        <f t="shared" si="87"/>
        <v>0.47769704589642364</v>
      </c>
      <c r="AL113" s="382">
        <f t="shared" si="87"/>
        <v>0.47770318055607658</v>
      </c>
      <c r="AM113" s="382">
        <f t="shared" si="87"/>
        <v>0.47770339995022848</v>
      </c>
      <c r="AN113" s="382">
        <f t="shared" si="87"/>
        <v>0.47770365995161079</v>
      </c>
      <c r="AO113" s="382">
        <f t="shared" si="88"/>
        <v>39.97007718221019</v>
      </c>
      <c r="AP113" s="382">
        <f t="shared" si="88"/>
        <v>39.971103792679685</v>
      </c>
      <c r="AQ113" s="382">
        <f t="shared" si="88"/>
        <v>39.971140507647419</v>
      </c>
      <c r="AR113" s="382">
        <f t="shared" si="88"/>
        <v>39.971184018137883</v>
      </c>
      <c r="AS113" s="388" t="str">
        <f t="shared" ca="1" si="81"/>
        <v>-</v>
      </c>
      <c r="AT113" s="388" t="str">
        <f t="shared" ca="1" si="82"/>
        <v>-</v>
      </c>
      <c r="AU113" s="388" t="str">
        <f t="shared" ca="1" si="83"/>
        <v>-</v>
      </c>
      <c r="AV113" s="388" t="str">
        <f t="shared" ca="1" si="84"/>
        <v>-</v>
      </c>
      <c r="AW113" s="382">
        <f>ABC!AS33*SIN(ABC!AU33)</f>
        <v>0.94112889029824232</v>
      </c>
      <c r="AX113" s="382">
        <f>ABC!AT33*SIN(ABC!AV33)</f>
        <v>0.91361691676948897</v>
      </c>
      <c r="AY113" s="382">
        <f>ABC!AX33*SIN(ABC!AZ33)</f>
        <v>0.75765509706829881</v>
      </c>
      <c r="AZ113" s="382">
        <f>ABC!AY33*SIN(ABC!BA33)</f>
        <v>0.73287680939567901</v>
      </c>
      <c r="BA113" s="388" t="str">
        <f t="shared" ca="1" si="89"/>
        <v>-</v>
      </c>
      <c r="BB113" s="388" t="str">
        <f t="shared" ca="1" si="89"/>
        <v>-</v>
      </c>
      <c r="BC113" s="388" t="str">
        <f t="shared" ca="1" si="89"/>
        <v>-</v>
      </c>
      <c r="BD113" s="388" t="str">
        <f t="shared" ca="1" si="89"/>
        <v>-</v>
      </c>
    </row>
    <row r="114" spans="1:59" ht="15.75" thickTop="1">
      <c r="A114" t="str">
        <f>IF(ABn!A4=0,A113,ABn!A4)</f>
        <v>PH3</v>
      </c>
      <c r="C114" s="381">
        <f>ABn!L4</f>
        <v>-9.8689999999999998</v>
      </c>
      <c r="D114" s="381">
        <f>ABn!M4</f>
        <v>-13.5</v>
      </c>
      <c r="E114" t="s">
        <v>133</v>
      </c>
      <c r="F114" t="s">
        <v>133</v>
      </c>
      <c r="G114" s="382" t="str">
        <f ca="1">IFERROR(C114*Changes!$B$1,"-")</f>
        <v>-</v>
      </c>
      <c r="H114" s="382" t="str">
        <f ca="1">IFERROR(D114*Changes!$B$1,"-")</f>
        <v>-</v>
      </c>
      <c r="I114" s="382" t="str">
        <f ca="1">IFERROR(E114*Changes!$B$1,"-")</f>
        <v>-</v>
      </c>
      <c r="J114" s="382" t="str">
        <f ca="1">IFERROR(F114*Changes!$B$1,"-")</f>
        <v>-</v>
      </c>
      <c r="K114" s="383" t="str">
        <f t="shared" ca="1" si="68"/>
        <v>-</v>
      </c>
      <c r="L114" s="383" t="str">
        <f t="shared" ca="1" si="69"/>
        <v>-</v>
      </c>
      <c r="M114" s="383" t="str">
        <f t="shared" ca="1" si="70"/>
        <v>-</v>
      </c>
      <c r="N114" s="383" t="str">
        <f t="shared" ca="1" si="71"/>
        <v>-</v>
      </c>
      <c r="O114" s="384">
        <f>[1]Particles!$B$13</f>
        <v>512373.33725154324</v>
      </c>
      <c r="P114" s="384">
        <f>[1]Particles!$B$5</f>
        <v>3152.8432598003224</v>
      </c>
      <c r="Q114" s="383">
        <f>IFERROR(VLOOKUP("s",[1]md!$A:$E,5,0)*14.3998434/U114*100,"-")</f>
        <v>1334.4483507582336</v>
      </c>
      <c r="R114" s="383">
        <f>IFERROR(VLOOKUP("s",[1]md!$A:$E,5,0)*14.3998434/V114*100,"-")</f>
        <v>1334.4578065795124</v>
      </c>
      <c r="S114" s="383">
        <f>IFERROR(VLOOKUP("s",[1]md!$A:$E,5,0)*14.3998434/W114*100,"-")</f>
        <v>1349.98531875</v>
      </c>
      <c r="T114" s="383">
        <f>IFERROR(VLOOKUP("s",[1]md!$A:$E,5,0)*14.3998434/X114*100,"-")</f>
        <v>1349.98531875</v>
      </c>
      <c r="U114" s="386">
        <v>2.4279431745402897</v>
      </c>
      <c r="V114" s="386">
        <v>2.4279259704019345</v>
      </c>
      <c r="W114" s="386">
        <v>2.4</v>
      </c>
      <c r="X114" s="386">
        <v>2.4</v>
      </c>
      <c r="Y114" s="382" t="str">
        <f t="shared" ca="1" si="72"/>
        <v>-</v>
      </c>
      <c r="Z114" s="382" t="str">
        <f t="shared" ca="1" si="73"/>
        <v>-</v>
      </c>
      <c r="AA114" s="382" t="str">
        <f t="shared" ca="1" si="74"/>
        <v>-</v>
      </c>
      <c r="AB114" s="382" t="str">
        <f t="shared" ca="1" si="75"/>
        <v>-</v>
      </c>
      <c r="AC114" s="382" t="str">
        <f ca="1">IFERROR(Changes!$B$2*Rotation!C114,"-")</f>
        <v>-</v>
      </c>
      <c r="AD114" s="382" t="str">
        <f ca="1">IFERROR(Changes!$B$2*Rotation!D114,"-")</f>
        <v>-</v>
      </c>
      <c r="AE114" s="382" t="str">
        <f ca="1">IFERROR(Changes!$B$2*Rotation!E114,"-")</f>
        <v>-</v>
      </c>
      <c r="AF114" s="382" t="str">
        <f ca="1">IFERROR(Changes!$B$2*Rotation!F114,"-")</f>
        <v>-</v>
      </c>
      <c r="AG114" s="382" t="e">
        <f ca="1">(AC114+AD114)*ABn!$BC4</f>
        <v>#VALUE!</v>
      </c>
      <c r="AH114" s="382" t="e">
        <f t="shared" ca="1" si="76"/>
        <v>#VALUE!</v>
      </c>
      <c r="AI114" s="382"/>
      <c r="AJ114" s="382"/>
      <c r="AK114" s="382">
        <f t="shared" si="77"/>
        <v>0.47769683055102025</v>
      </c>
      <c r="AL114" s="382">
        <f t="shared" si="78"/>
        <v>0.47770021548221869</v>
      </c>
      <c r="AM114" s="382">
        <f t="shared" si="79"/>
        <v>0.48325864968161619</v>
      </c>
      <c r="AN114" s="382">
        <f t="shared" si="80"/>
        <v>0.48325864968161619</v>
      </c>
      <c r="AO114" s="382">
        <f t="shared" ref="AO114:AO121" si="90">IFERROR(0.5*$P114*AK114^2/9,"-")</f>
        <v>39.970041145267835</v>
      </c>
      <c r="AP114" s="382">
        <f t="shared" ref="AP114:AP121" si="91">IFERROR(0.5*$P114*AL114^2/9,"-")</f>
        <v>39.970607597921372</v>
      </c>
      <c r="AQ114" s="382">
        <f t="shared" ref="AQ114:AQ122" si="92">IFERROR(0.5*$P114*AM114^2/9,"-")</f>
        <v>40.906200982235795</v>
      </c>
      <c r="AR114" s="382">
        <f t="shared" ref="AR114:AR122" si="93">IFERROR(0.5*$P114*AN114^2/9,"-")</f>
        <v>40.906200982235795</v>
      </c>
      <c r="AS114" s="388" t="str">
        <f t="shared" ca="1" si="81"/>
        <v>-</v>
      </c>
      <c r="AT114" s="388" t="str">
        <f t="shared" ca="1" si="82"/>
        <v>-</v>
      </c>
      <c r="AU114" s="388" t="str">
        <f t="shared" ca="1" si="83"/>
        <v>-</v>
      </c>
      <c r="AV114" s="388" t="str">
        <f t="shared" ca="1" si="84"/>
        <v>-</v>
      </c>
      <c r="AW114" s="382">
        <f>ABn!Z4*SIN(ABn!AB4)</f>
        <v>1.2204150141847165</v>
      </c>
      <c r="AX114" s="382">
        <f>ABn!AA4*SIN(ABn!AC4)</f>
        <v>0.98414121586295289</v>
      </c>
      <c r="AY114" s="382"/>
      <c r="AZ114" s="382"/>
      <c r="BA114" s="388" t="str">
        <f t="shared" ca="1" si="89"/>
        <v>-</v>
      </c>
      <c r="BB114" s="388" t="str">
        <f t="shared" ca="1" si="89"/>
        <v>-</v>
      </c>
      <c r="BC114" s="388" t="str">
        <f t="shared" ca="1" si="89"/>
        <v>-</v>
      </c>
      <c r="BD114" s="388" t="str">
        <f t="shared" ca="1" si="89"/>
        <v>-</v>
      </c>
    </row>
    <row r="115" spans="1:59">
      <c r="A115" t="str">
        <f>IF(ABn!A5=0,A114,ABn!A5)</f>
        <v>PF3</v>
      </c>
      <c r="C115" s="381">
        <f>ABn!L5</f>
        <v>-11.38</v>
      </c>
      <c r="D115" s="381">
        <f>ABn!M5</f>
        <v>-17.502729850000001</v>
      </c>
      <c r="E115" t="s">
        <v>133</v>
      </c>
      <c r="F115" t="s">
        <v>133</v>
      </c>
      <c r="G115" s="382" t="str">
        <f ca="1">IFERROR(C115*Changes!$B$1,"-")</f>
        <v>-</v>
      </c>
      <c r="H115" s="382" t="str">
        <f ca="1">IFERROR(D115*Changes!$B$1,"-")</f>
        <v>-</v>
      </c>
      <c r="I115" s="382" t="str">
        <f ca="1">IFERROR(E115*Changes!$B$1,"-")</f>
        <v>-</v>
      </c>
      <c r="J115" s="382" t="str">
        <f ca="1">IFERROR(F115*Changes!$B$1,"-")</f>
        <v>-</v>
      </c>
      <c r="K115" s="383" t="str">
        <f t="shared" ca="1" si="68"/>
        <v>-</v>
      </c>
      <c r="L115" s="383" t="str">
        <f t="shared" ca="1" si="69"/>
        <v>-</v>
      </c>
      <c r="M115" s="383" t="str">
        <f t="shared" ca="1" si="70"/>
        <v>-</v>
      </c>
      <c r="N115" s="383" t="str">
        <f t="shared" ca="1" si="71"/>
        <v>-</v>
      </c>
      <c r="O115" s="384">
        <f>[1]Particles!$B$13</f>
        <v>512373.33725154324</v>
      </c>
      <c r="P115" s="384">
        <f>[1]Particles!$B$5</f>
        <v>3152.8432598003224</v>
      </c>
      <c r="Q115" s="383">
        <f>IFERROR(VLOOKUP("s",[1]md!$A:$E,5,0)*14.3998434/U115*100,"-")</f>
        <v>1334.4522856924111</v>
      </c>
      <c r="R115" s="383">
        <f>IFERROR(VLOOKUP("s",[1]md!$A:$E,5,0)*14.3998434/V115*100,"-")</f>
        <v>1334.4682304565631</v>
      </c>
      <c r="S115" s="383">
        <f>IFERROR(VLOOKUP("s",[1]md!$A:$E,5,0)*14.3998434/W115*100,"-")</f>
        <v>1349.98531875</v>
      </c>
      <c r="T115" s="383">
        <f>IFERROR(VLOOKUP("s",[1]md!$A:$E,5,0)*14.3998434/X115*100,"-")</f>
        <v>1349.98531875</v>
      </c>
      <c r="U115" s="386">
        <v>2.4279360152010754</v>
      </c>
      <c r="V115" s="386">
        <v>2.4279070052432097</v>
      </c>
      <c r="W115" s="386">
        <v>2.4</v>
      </c>
      <c r="X115" s="386">
        <v>2.4</v>
      </c>
      <c r="Y115" s="382" t="str">
        <f t="shared" ca="1" si="72"/>
        <v>-</v>
      </c>
      <c r="Z115" s="382" t="str">
        <f t="shared" ca="1" si="73"/>
        <v>-</v>
      </c>
      <c r="AA115" s="382" t="str">
        <f t="shared" ca="1" si="74"/>
        <v>-</v>
      </c>
      <c r="AB115" s="382" t="str">
        <f t="shared" ca="1" si="75"/>
        <v>-</v>
      </c>
      <c r="AC115" s="382" t="str">
        <f ca="1">IFERROR(Changes!$B$2*Rotation!C115,"-")</f>
        <v>-</v>
      </c>
      <c r="AD115" s="382" t="str">
        <f ca="1">IFERROR(Changes!$B$2*Rotation!D115,"-")</f>
        <v>-</v>
      </c>
      <c r="AE115" s="382" t="str">
        <f ca="1">IFERROR(Changes!$B$2*Rotation!E115,"-")</f>
        <v>-</v>
      </c>
      <c r="AF115" s="382" t="str">
        <f ca="1">IFERROR(Changes!$B$2*Rotation!F115,"-")</f>
        <v>-</v>
      </c>
      <c r="AG115" s="382" t="e">
        <f ca="1">(AC115+AD115)*ABn!$BC5</f>
        <v>#VALUE!</v>
      </c>
      <c r="AH115" s="382" t="e">
        <f t="shared" ca="1" si="76"/>
        <v>#VALUE!</v>
      </c>
      <c r="AI115" s="382"/>
      <c r="AJ115" s="382"/>
      <c r="AK115" s="382">
        <f t="shared" si="77"/>
        <v>0.47769823915224785</v>
      </c>
      <c r="AL115" s="382">
        <f t="shared" si="78"/>
        <v>0.47770394695150059</v>
      </c>
      <c r="AM115" s="382">
        <f t="shared" si="79"/>
        <v>0.48325864968161619</v>
      </c>
      <c r="AN115" s="382">
        <f t="shared" si="80"/>
        <v>0.48325864968161619</v>
      </c>
      <c r="AO115" s="382">
        <f t="shared" si="90"/>
        <v>39.970276867711164</v>
      </c>
      <c r="AP115" s="382">
        <f t="shared" si="91"/>
        <v>39.971232046779136</v>
      </c>
      <c r="AQ115" s="382">
        <f t="shared" si="92"/>
        <v>40.906200982235795</v>
      </c>
      <c r="AR115" s="382">
        <f t="shared" si="93"/>
        <v>40.906200982235795</v>
      </c>
      <c r="AS115" s="388" t="str">
        <f t="shared" ca="1" si="81"/>
        <v>-</v>
      </c>
      <c r="AT115" s="388" t="str">
        <f t="shared" ca="1" si="82"/>
        <v>-</v>
      </c>
      <c r="AU115" s="388" t="str">
        <f t="shared" ca="1" si="83"/>
        <v>-</v>
      </c>
      <c r="AV115" s="388" t="str">
        <f t="shared" ca="1" si="84"/>
        <v>-</v>
      </c>
      <c r="AW115" s="382">
        <f>ABn!Z5*SIN(ABn!AB5)</f>
        <v>1.0147671705118684</v>
      </c>
      <c r="AX115" s="382">
        <f>ABn!AA5*SIN(ABn!AC5)</f>
        <v>0.60506819788236887</v>
      </c>
      <c r="AY115" s="382"/>
      <c r="AZ115" s="382"/>
      <c r="BA115" s="388" t="str">
        <f t="shared" ref="BA115:BA132" ca="1" si="94">IFERROR(AS115/AW115,"-")</f>
        <v>-</v>
      </c>
      <c r="BB115" s="388" t="str">
        <f t="shared" ref="BB115:BB132" ca="1" si="95">IFERROR(AT115/AX115,"-")</f>
        <v>-</v>
      </c>
      <c r="BC115" s="388" t="str">
        <f t="shared" ref="BC115:BC132" ca="1" si="96">IFERROR(AU115/AY115,"-")</f>
        <v>-</v>
      </c>
      <c r="BD115" s="388" t="str">
        <f t="shared" ref="BD115:BD132" ca="1" si="97">IFERROR(AV115/AZ115,"-")</f>
        <v>-</v>
      </c>
    </row>
    <row r="116" spans="1:59">
      <c r="A116" t="str">
        <f>IF(ABn!A6=0,A115,ABn!A6)</f>
        <v>PCl3</v>
      </c>
      <c r="C116" s="381">
        <f>ABn!L6</f>
        <v>-9.9</v>
      </c>
      <c r="D116" s="381">
        <f>ABn!M6</f>
        <v>-14.049546449999998</v>
      </c>
      <c r="E116" t="s">
        <v>133</v>
      </c>
      <c r="F116" t="s">
        <v>133</v>
      </c>
      <c r="G116" s="382" t="str">
        <f ca="1">IFERROR(C116*Changes!$B$1,"-")</f>
        <v>-</v>
      </c>
      <c r="H116" s="382" t="str">
        <f ca="1">IFERROR(D116*Changes!$B$1,"-")</f>
        <v>-</v>
      </c>
      <c r="I116" s="382" t="str">
        <f ca="1">IFERROR(E116*Changes!$B$1,"-")</f>
        <v>-</v>
      </c>
      <c r="J116" s="382" t="str">
        <f ca="1">IFERROR(F116*Changes!$B$1,"-")</f>
        <v>-</v>
      </c>
      <c r="K116" s="383" t="str">
        <f t="shared" ca="1" si="68"/>
        <v>-</v>
      </c>
      <c r="L116" s="383" t="str">
        <f t="shared" ca="1" si="69"/>
        <v>-</v>
      </c>
      <c r="M116" s="383" t="str">
        <f t="shared" ca="1" si="70"/>
        <v>-</v>
      </c>
      <c r="N116" s="383" t="str">
        <f t="shared" ca="1" si="71"/>
        <v>-</v>
      </c>
      <c r="O116" s="384">
        <f>[1]Particles!$B$13</f>
        <v>512373.33725154324</v>
      </c>
      <c r="P116" s="384">
        <f>[1]Particles!$B$5</f>
        <v>3152.8432598003224</v>
      </c>
      <c r="Q116" s="383">
        <f>IFERROR(VLOOKUP("s",[1]md!$A:$E,5,0)*14.3998434/U116*100,"-")</f>
        <v>1334.448431488207</v>
      </c>
      <c r="R116" s="383">
        <f>IFERROR(VLOOKUP("s",[1]md!$A:$E,5,0)*14.3998434/V116*100,"-")</f>
        <v>1334.4592377039207</v>
      </c>
      <c r="S116" s="383">
        <f>IFERROR(VLOOKUP("s",[1]md!$A:$E,5,0)*14.3998434/W116*100,"-")</f>
        <v>1349.98531875</v>
      </c>
      <c r="T116" s="383">
        <f>IFERROR(VLOOKUP("s",[1]md!$A:$E,5,0)*14.3998434/X116*100,"-")</f>
        <v>1349.98531875</v>
      </c>
      <c r="U116" s="386">
        <v>2.4279430276572906</v>
      </c>
      <c r="V116" s="386">
        <v>2.4279233666025681</v>
      </c>
      <c r="W116" s="386">
        <v>2.4</v>
      </c>
      <c r="X116" s="386">
        <v>2.4</v>
      </c>
      <c r="Y116" s="382" t="str">
        <f t="shared" ca="1" si="72"/>
        <v>-</v>
      </c>
      <c r="Z116" s="382" t="str">
        <f t="shared" ca="1" si="73"/>
        <v>-</v>
      </c>
      <c r="AA116" s="382" t="str">
        <f t="shared" ca="1" si="74"/>
        <v>-</v>
      </c>
      <c r="AB116" s="382" t="str">
        <f t="shared" ca="1" si="75"/>
        <v>-</v>
      </c>
      <c r="AC116" s="382" t="str">
        <f ca="1">IFERROR(Changes!$B$2*Rotation!C116,"-")</f>
        <v>-</v>
      </c>
      <c r="AD116" s="382" t="str">
        <f ca="1">IFERROR(Changes!$B$2*Rotation!D116,"-")</f>
        <v>-</v>
      </c>
      <c r="AE116" s="382" t="str">
        <f ca="1">IFERROR(Changes!$B$2*Rotation!E116,"-")</f>
        <v>-</v>
      </c>
      <c r="AF116" s="382" t="str">
        <f ca="1">IFERROR(Changes!$B$2*Rotation!F116,"-")</f>
        <v>-</v>
      </c>
      <c r="AG116" s="382" t="e">
        <f ca="1">(AC116+AD116)*ABn!$BC6</f>
        <v>#VALUE!</v>
      </c>
      <c r="AH116" s="382" t="e">
        <f t="shared" ca="1" si="76"/>
        <v>#VALUE!</v>
      </c>
      <c r="AI116" s="382"/>
      <c r="AJ116" s="382"/>
      <c r="AK116" s="382">
        <f t="shared" si="77"/>
        <v>0.4776968594501923</v>
      </c>
      <c r="AL116" s="382">
        <f t="shared" si="78"/>
        <v>0.47770072778649297</v>
      </c>
      <c r="AM116" s="382">
        <f t="shared" si="79"/>
        <v>0.48325864968161619</v>
      </c>
      <c r="AN116" s="382">
        <f t="shared" si="80"/>
        <v>0.48325864968161619</v>
      </c>
      <c r="AO116" s="382">
        <f t="shared" si="90"/>
        <v>39.970045981394257</v>
      </c>
      <c r="AP116" s="382">
        <f t="shared" si="91"/>
        <v>39.970693330032994</v>
      </c>
      <c r="AQ116" s="382">
        <f t="shared" si="92"/>
        <v>40.906200982235795</v>
      </c>
      <c r="AR116" s="382">
        <f t="shared" si="93"/>
        <v>40.906200982235795</v>
      </c>
      <c r="AS116" s="388" t="str">
        <f t="shared" ca="1" si="81"/>
        <v>-</v>
      </c>
      <c r="AT116" s="388" t="str">
        <f t="shared" ca="1" si="82"/>
        <v>-</v>
      </c>
      <c r="AU116" s="388" t="str">
        <f t="shared" ca="1" si="83"/>
        <v>-</v>
      </c>
      <c r="AV116" s="388" t="str">
        <f t="shared" ca="1" si="84"/>
        <v>-</v>
      </c>
      <c r="AW116" s="382">
        <f>ABn!Z6*SIN(ABn!AB6)</f>
        <v>1.2609315697256904</v>
      </c>
      <c r="AX116" s="382">
        <f>ABn!AA6*SIN(ABn!AC6)</f>
        <v>0.89158967859026095</v>
      </c>
      <c r="AY116" s="382"/>
      <c r="AZ116" s="382"/>
      <c r="BA116" s="388" t="str">
        <f t="shared" ca="1" si="94"/>
        <v>-</v>
      </c>
      <c r="BB116" s="388" t="str">
        <f t="shared" ca="1" si="95"/>
        <v>-</v>
      </c>
      <c r="BC116" s="388" t="str">
        <f t="shared" ca="1" si="96"/>
        <v>-</v>
      </c>
      <c r="BD116" s="388" t="str">
        <f t="shared" ca="1" si="97"/>
        <v>-</v>
      </c>
    </row>
    <row r="117" spans="1:59">
      <c r="A117" t="str">
        <f>IF(ABn!A7=0,A116,ABn!A7)</f>
        <v>PBr3</v>
      </c>
      <c r="C117" s="381">
        <f>ABn!L7</f>
        <v>-9.35</v>
      </c>
      <c r="D117" s="381">
        <f>ABn!M7</f>
        <v>-12.740282499999999</v>
      </c>
      <c r="E117" t="s">
        <v>133</v>
      </c>
      <c r="F117" t="s">
        <v>133</v>
      </c>
      <c r="G117" s="382" t="str">
        <f ca="1">IFERROR(C117*Changes!$B$1,"-")</f>
        <v>-</v>
      </c>
      <c r="H117" s="382" t="str">
        <f ca="1">IFERROR(D117*Changes!$B$1,"-")</f>
        <v>-</v>
      </c>
      <c r="I117" s="382" t="str">
        <f ca="1">IFERROR(E117*Changes!$B$1,"-")</f>
        <v>-</v>
      </c>
      <c r="J117" s="382" t="str">
        <f ca="1">IFERROR(F117*Changes!$B$1,"-")</f>
        <v>-</v>
      </c>
      <c r="K117" s="383" t="str">
        <f t="shared" ca="1" si="68"/>
        <v>-</v>
      </c>
      <c r="L117" s="383" t="str">
        <f t="shared" ca="1" si="69"/>
        <v>-</v>
      </c>
      <c r="M117" s="383" t="str">
        <f t="shared" ca="1" si="70"/>
        <v>-</v>
      </c>
      <c r="N117" s="383" t="str">
        <f t="shared" ca="1" si="71"/>
        <v>-</v>
      </c>
      <c r="O117" s="384">
        <f>[1]Particles!$B$13</f>
        <v>512373.33725154324</v>
      </c>
      <c r="P117" s="384">
        <f>[1]Particles!$B$5</f>
        <v>3152.8432598003224</v>
      </c>
      <c r="Q117" s="383">
        <f>IFERROR(VLOOKUP("s",[1]md!$A:$E,5,0)*14.3998434/U117*100,"-")</f>
        <v>1334.4469991826313</v>
      </c>
      <c r="R117" s="383">
        <f>IFERROR(VLOOKUP("s",[1]md!$A:$E,5,0)*14.3998434/V117*100,"-")</f>
        <v>1334.4558281291866</v>
      </c>
      <c r="S117" s="383">
        <f>IFERROR(VLOOKUP("s",[1]md!$A:$E,5,0)*14.3998434/W117*100,"-")</f>
        <v>1349.98531875</v>
      </c>
      <c r="T117" s="383">
        <f>IFERROR(VLOOKUP("s",[1]md!$A:$E,5,0)*14.3998434/X117*100,"-")</f>
        <v>1349.98531875</v>
      </c>
      <c r="U117" s="386">
        <v>2.4279456336478904</v>
      </c>
      <c r="V117" s="386">
        <v>2.4279295700197161</v>
      </c>
      <c r="W117" s="386">
        <v>2.4</v>
      </c>
      <c r="X117" s="386">
        <v>2.4</v>
      </c>
      <c r="Y117" s="382" t="str">
        <f t="shared" ca="1" si="72"/>
        <v>-</v>
      </c>
      <c r="Z117" s="382" t="str">
        <f t="shared" ca="1" si="73"/>
        <v>-</v>
      </c>
      <c r="AA117" s="382" t="str">
        <f t="shared" ca="1" si="74"/>
        <v>-</v>
      </c>
      <c r="AB117" s="382" t="str">
        <f t="shared" ca="1" si="75"/>
        <v>-</v>
      </c>
      <c r="AC117" s="382" t="str">
        <f ca="1">IFERROR(Changes!$B$2*Rotation!C117,"-")</f>
        <v>-</v>
      </c>
      <c r="AD117" s="382" t="str">
        <f ca="1">IFERROR(Changes!$B$2*Rotation!D117,"-")</f>
        <v>-</v>
      </c>
      <c r="AE117" s="382" t="str">
        <f ca="1">IFERROR(Changes!$B$2*Rotation!E117,"-")</f>
        <v>-</v>
      </c>
      <c r="AF117" s="382" t="str">
        <f ca="1">IFERROR(Changes!$B$2*Rotation!F117,"-")</f>
        <v>-</v>
      </c>
      <c r="AG117" s="382" t="e">
        <f ca="1">(AC117+AD117)*ABn!$BC7</f>
        <v>#VALUE!</v>
      </c>
      <c r="AH117" s="382" t="e">
        <f t="shared" ca="1" si="76"/>
        <v>#VALUE!</v>
      </c>
      <c r="AI117" s="382"/>
      <c r="AJ117" s="382"/>
      <c r="AK117" s="382">
        <f t="shared" si="77"/>
        <v>0.47769634672309158</v>
      </c>
      <c r="AL117" s="382">
        <f t="shared" si="78"/>
        <v>0.47769950724989957</v>
      </c>
      <c r="AM117" s="382">
        <f t="shared" si="79"/>
        <v>0.48325864968161619</v>
      </c>
      <c r="AN117" s="382">
        <f t="shared" si="80"/>
        <v>0.48325864968161619</v>
      </c>
      <c r="AO117" s="382">
        <f t="shared" si="90"/>
        <v>39.969960179219136</v>
      </c>
      <c r="AP117" s="382">
        <f t="shared" si="91"/>
        <v>39.970489078171063</v>
      </c>
      <c r="AQ117" s="382">
        <f t="shared" si="92"/>
        <v>40.906200982235795</v>
      </c>
      <c r="AR117" s="382">
        <f t="shared" si="93"/>
        <v>40.906200982235795</v>
      </c>
      <c r="AS117" s="388" t="str">
        <f t="shared" ca="1" si="81"/>
        <v>-</v>
      </c>
      <c r="AT117" s="388" t="str">
        <f t="shared" ca="1" si="82"/>
        <v>-</v>
      </c>
      <c r="AU117" s="388" t="str">
        <f t="shared" ca="1" si="83"/>
        <v>-</v>
      </c>
      <c r="AV117" s="388" t="str">
        <f t="shared" ca="1" si="84"/>
        <v>-</v>
      </c>
      <c r="AW117" s="382">
        <f>ABn!Z7*SIN(ABn!AB7)</f>
        <v>1.3240138900292644</v>
      </c>
      <c r="AX117" s="382">
        <f>ABn!AA7*SIN(ABn!AC7)</f>
        <v>1.0421245474168148</v>
      </c>
      <c r="AY117" s="382"/>
      <c r="AZ117" s="382"/>
      <c r="BA117" s="388" t="str">
        <f t="shared" ca="1" si="94"/>
        <v>-</v>
      </c>
      <c r="BB117" s="388" t="str">
        <f t="shared" ca="1" si="95"/>
        <v>-</v>
      </c>
      <c r="BC117" s="388" t="str">
        <f t="shared" ca="1" si="96"/>
        <v>-</v>
      </c>
      <c r="BD117" s="388" t="str">
        <f t="shared" ca="1" si="97"/>
        <v>-</v>
      </c>
    </row>
    <row r="118" spans="1:59">
      <c r="A118" t="str">
        <f>IF(ABn!A8=0,A117,ABn!A8)</f>
        <v>AsH3</v>
      </c>
      <c r="C118" s="381">
        <f>ABn!L8</f>
        <v>-9.89</v>
      </c>
      <c r="D118" s="381">
        <f>ABn!M8</f>
        <v>-13.796749</v>
      </c>
      <c r="E118" t="s">
        <v>133</v>
      </c>
      <c r="F118" t="s">
        <v>133</v>
      </c>
      <c r="G118" s="382" t="str">
        <f ca="1">IFERROR(C118*Changes!$B$1,"-")</f>
        <v>-</v>
      </c>
      <c r="H118" s="382" t="str">
        <f ca="1">IFERROR(D118*Changes!$B$1,"-")</f>
        <v>-</v>
      </c>
      <c r="I118" s="382" t="str">
        <f ca="1">IFERROR(E118*Changes!$B$1,"-")</f>
        <v>-</v>
      </c>
      <c r="J118" s="382" t="str">
        <f ca="1">IFERROR(F118*Changes!$B$1,"-")</f>
        <v>-</v>
      </c>
      <c r="K118" s="383" t="str">
        <f t="shared" ca="1" si="68"/>
        <v>-</v>
      </c>
      <c r="L118" s="383" t="str">
        <f t="shared" ca="1" si="69"/>
        <v>-</v>
      </c>
      <c r="M118" s="383" t="str">
        <f t="shared" ca="1" si="70"/>
        <v>-</v>
      </c>
      <c r="N118" s="383" t="str">
        <f t="shared" ca="1" si="71"/>
        <v>-</v>
      </c>
      <c r="O118" s="384">
        <f>[1]Particles!$B$13</f>
        <v>512373.33725154324</v>
      </c>
      <c r="P118" s="384">
        <f>[1]Particles!$B$5</f>
        <v>3152.8432598003224</v>
      </c>
      <c r="Q118" s="383">
        <f>IFERROR(VLOOKUP("s",[1]md!$A:$E,5,0)*14.3998434/U118*100,"-")</f>
        <v>1334.4484054462537</v>
      </c>
      <c r="R118" s="383">
        <f>IFERROR(VLOOKUP("s",[1]md!$A:$E,5,0)*14.3998434/V118*100,"-")</f>
        <v>1334.4585793708416</v>
      </c>
      <c r="S118" s="383">
        <f>IFERROR(VLOOKUP("s",[1]md!$A:$E,5,0)*14.3998434/W118*100,"-")</f>
        <v>1349.98531875</v>
      </c>
      <c r="T118" s="383">
        <f>IFERROR(VLOOKUP("s",[1]md!$A:$E,5,0)*14.3998434/X118*100,"-")</f>
        <v>1349.98531875</v>
      </c>
      <c r="U118" s="386">
        <v>2.4279430750389492</v>
      </c>
      <c r="V118" s="386">
        <v>2.4279245643784231</v>
      </c>
      <c r="W118" s="386">
        <v>2.4</v>
      </c>
      <c r="X118" s="386">
        <v>2.4</v>
      </c>
      <c r="Y118" s="382" t="str">
        <f t="shared" ca="1" si="72"/>
        <v>-</v>
      </c>
      <c r="Z118" s="382" t="str">
        <f t="shared" ca="1" si="73"/>
        <v>-</v>
      </c>
      <c r="AA118" s="382" t="str">
        <f t="shared" ca="1" si="74"/>
        <v>-</v>
      </c>
      <c r="AB118" s="382" t="str">
        <f t="shared" ca="1" si="75"/>
        <v>-</v>
      </c>
      <c r="AC118" s="382" t="str">
        <f ca="1">IFERROR(Changes!$B$2*Rotation!C118,"-")</f>
        <v>-</v>
      </c>
      <c r="AD118" s="382" t="str">
        <f ca="1">IFERROR(Changes!$B$2*Rotation!D118,"-")</f>
        <v>-</v>
      </c>
      <c r="AE118" s="382" t="str">
        <f ca="1">IFERROR(Changes!$B$2*Rotation!E118,"-")</f>
        <v>-</v>
      </c>
      <c r="AF118" s="382" t="str">
        <f ca="1">IFERROR(Changes!$B$2*Rotation!F118,"-")</f>
        <v>-</v>
      </c>
      <c r="AG118" s="382" t="e">
        <f ca="1">(AC118+AD118)*ABn!$BC8</f>
        <v>#VALUE!</v>
      </c>
      <c r="AH118" s="382" t="e">
        <f t="shared" ca="1" si="76"/>
        <v>#VALUE!</v>
      </c>
      <c r="AI118" s="382"/>
      <c r="AJ118" s="382"/>
      <c r="AK118" s="382">
        <f t="shared" si="77"/>
        <v>0.47769685012786933</v>
      </c>
      <c r="AL118" s="382">
        <f t="shared" si="78"/>
        <v>0.47770049212085242</v>
      </c>
      <c r="AM118" s="382">
        <f t="shared" si="79"/>
        <v>0.48325864968161619</v>
      </c>
      <c r="AN118" s="382">
        <f t="shared" si="80"/>
        <v>0.48325864968161619</v>
      </c>
      <c r="AO118" s="382">
        <f t="shared" si="90"/>
        <v>39.970044421351865</v>
      </c>
      <c r="AP118" s="382">
        <f t="shared" si="91"/>
        <v>39.970653892300646</v>
      </c>
      <c r="AQ118" s="382">
        <f t="shared" si="92"/>
        <v>40.906200982235795</v>
      </c>
      <c r="AR118" s="382">
        <f t="shared" si="93"/>
        <v>40.906200982235795</v>
      </c>
      <c r="AS118" s="388" t="str">
        <f t="shared" ca="1" si="81"/>
        <v>-</v>
      </c>
      <c r="AT118" s="388" t="str">
        <f t="shared" ca="1" si="82"/>
        <v>-</v>
      </c>
      <c r="AU118" s="388" t="str">
        <f t="shared" ca="1" si="83"/>
        <v>-</v>
      </c>
      <c r="AV118" s="388" t="str">
        <f t="shared" ca="1" si="84"/>
        <v>-</v>
      </c>
      <c r="AW118" s="382">
        <f>ABn!Z8*SIN(ABn!AB8)</f>
        <v>1.2325776525939516</v>
      </c>
      <c r="AX118" s="382">
        <f>ABn!AA8*SIN(ABn!AC8)</f>
        <v>0.96316452837006061</v>
      </c>
      <c r="AY118" s="382"/>
      <c r="AZ118" s="382"/>
      <c r="BA118" s="388" t="str">
        <f t="shared" ca="1" si="94"/>
        <v>-</v>
      </c>
      <c r="BB118" s="388" t="str">
        <f t="shared" ca="1" si="95"/>
        <v>-</v>
      </c>
      <c r="BC118" s="388" t="str">
        <f t="shared" ca="1" si="96"/>
        <v>-</v>
      </c>
      <c r="BD118" s="388" t="str">
        <f t="shared" ca="1" si="97"/>
        <v>-</v>
      </c>
    </row>
    <row r="119" spans="1:59">
      <c r="A119" t="str">
        <f>IF(ABn!A9=0,A118,ABn!A9)</f>
        <v>PI3</v>
      </c>
      <c r="C119" s="381">
        <f>ABn!L9</f>
        <v>-11.911126749999999</v>
      </c>
      <c r="D119" s="381">
        <f>ABn!M9</f>
        <v>-9.15</v>
      </c>
      <c r="E119" t="s">
        <v>133</v>
      </c>
      <c r="F119" t="s">
        <v>133</v>
      </c>
      <c r="G119" s="382" t="str">
        <f ca="1">IFERROR(C119*Changes!$B$1,"-")</f>
        <v>-</v>
      </c>
      <c r="H119" s="382" t="str">
        <f ca="1">IFERROR(D119*Changes!$B$1,"-")</f>
        <v>-</v>
      </c>
      <c r="I119" s="382" t="str">
        <f ca="1">IFERROR(E119*Changes!$B$1,"-")</f>
        <v>-</v>
      </c>
      <c r="J119" s="382" t="str">
        <f ca="1">IFERROR(F119*Changes!$B$1,"-")</f>
        <v>-</v>
      </c>
      <c r="K119" s="383" t="str">
        <f t="shared" ca="1" si="68"/>
        <v>-</v>
      </c>
      <c r="L119" s="383" t="str">
        <f t="shared" ca="1" si="69"/>
        <v>-</v>
      </c>
      <c r="M119" s="383" t="str">
        <f t="shared" ca="1" si="70"/>
        <v>-</v>
      </c>
      <c r="N119" s="383" t="str">
        <f t="shared" ca="1" si="71"/>
        <v>-</v>
      </c>
      <c r="O119" s="384">
        <f>[1]Particles!$B$13</f>
        <v>512373.33725154324</v>
      </c>
      <c r="P119" s="384">
        <f>[1]Particles!$B$5</f>
        <v>3152.8432598003224</v>
      </c>
      <c r="Q119" s="383">
        <f>IFERROR(VLOOKUP("s",[1]md!$A:$E,5,0)*14.3998434/U119*100,"-")</f>
        <v>1334.4536688484413</v>
      </c>
      <c r="R119" s="383">
        <f>IFERROR(VLOOKUP("s",[1]md!$A:$E,5,0)*14.3998434/V119*100,"-")</f>
        <v>1334.4464783442372</v>
      </c>
      <c r="S119" s="383">
        <f>IFERROR(VLOOKUP("s",[1]md!$A:$E,5,0)*14.3998434/W119*100,"-")</f>
        <v>1349.98531875</v>
      </c>
      <c r="T119" s="383">
        <f>IFERROR(VLOOKUP("s",[1]md!$A:$E,5,0)*14.3998434/X119*100,"-")</f>
        <v>1349.98531875</v>
      </c>
      <c r="U119" s="386">
        <v>2.4279334986548524</v>
      </c>
      <c r="V119" s="386">
        <v>2.4279465812822281</v>
      </c>
      <c r="W119" s="386">
        <v>2.4</v>
      </c>
      <c r="X119" s="386">
        <v>2.4</v>
      </c>
      <c r="Y119" s="382" t="str">
        <f t="shared" ca="1" si="72"/>
        <v>-</v>
      </c>
      <c r="Z119" s="382" t="str">
        <f t="shared" ca="1" si="73"/>
        <v>-</v>
      </c>
      <c r="AA119" s="382" t="str">
        <f t="shared" ca="1" si="74"/>
        <v>-</v>
      </c>
      <c r="AB119" s="382" t="str">
        <f t="shared" ca="1" si="75"/>
        <v>-</v>
      </c>
      <c r="AC119" s="382" t="str">
        <f ca="1">IFERROR(Changes!$B$2*Rotation!C119,"-")</f>
        <v>-</v>
      </c>
      <c r="AD119" s="382" t="str">
        <f ca="1">IFERROR(Changes!$B$2*Rotation!D119,"-")</f>
        <v>-</v>
      </c>
      <c r="AE119" s="382" t="str">
        <f ca="1">IFERROR(Changes!$B$2*Rotation!E119,"-")</f>
        <v>-</v>
      </c>
      <c r="AF119" s="382" t="str">
        <f ca="1">IFERROR(Changes!$B$2*Rotation!F119,"-")</f>
        <v>-</v>
      </c>
      <c r="AG119" s="382" t="e">
        <f ca="1">(AC119+AD119)*ABn!$BC9</f>
        <v>#VALUE!</v>
      </c>
      <c r="AH119" s="382" t="e">
        <f t="shared" ca="1" si="76"/>
        <v>#VALUE!</v>
      </c>
      <c r="AI119" s="382"/>
      <c r="AJ119" s="382"/>
      <c r="AK119" s="382">
        <f t="shared" si="77"/>
        <v>0.47769873428512533</v>
      </c>
      <c r="AL119" s="382">
        <f t="shared" si="78"/>
        <v>0.47769616027687212</v>
      </c>
      <c r="AM119" s="382">
        <f t="shared" si="79"/>
        <v>0.48325864968161619</v>
      </c>
      <c r="AN119" s="382">
        <f t="shared" si="80"/>
        <v>0.48325864968161619</v>
      </c>
      <c r="AO119" s="382">
        <f t="shared" si="90"/>
        <v>39.970359725912573</v>
      </c>
      <c r="AP119" s="382">
        <f t="shared" si="91"/>
        <v>39.969928978450845</v>
      </c>
      <c r="AQ119" s="382">
        <f t="shared" si="92"/>
        <v>40.906200982235795</v>
      </c>
      <c r="AR119" s="382">
        <f t="shared" si="93"/>
        <v>40.906200982235795</v>
      </c>
      <c r="AS119" s="388" t="str">
        <f t="shared" ca="1" si="81"/>
        <v>-</v>
      </c>
      <c r="AT119" s="388" t="str">
        <f t="shared" ca="1" si="82"/>
        <v>-</v>
      </c>
      <c r="AU119" s="388" t="str">
        <f t="shared" ca="1" si="83"/>
        <v>-</v>
      </c>
      <c r="AV119" s="388" t="str">
        <f t="shared" ca="1" si="84"/>
        <v>-</v>
      </c>
      <c r="AW119" s="382">
        <f>ABn!Z9*SIN(ABn!AB9)</f>
        <v>1.0986856671911485</v>
      </c>
      <c r="AX119" s="382">
        <f>ABn!AA9*SIN(ABn!AC9)</f>
        <v>1.3832028927623403</v>
      </c>
      <c r="AY119" s="382"/>
      <c r="AZ119" s="382"/>
      <c r="BA119" s="388" t="str">
        <f t="shared" ca="1" si="94"/>
        <v>-</v>
      </c>
      <c r="BB119" s="388" t="str">
        <f t="shared" ca="1" si="95"/>
        <v>-</v>
      </c>
      <c r="BC119" s="388" t="str">
        <f t="shared" ca="1" si="96"/>
        <v>-</v>
      </c>
      <c r="BD119" s="388" t="str">
        <f t="shared" ca="1" si="97"/>
        <v>-</v>
      </c>
    </row>
    <row r="120" spans="1:59">
      <c r="A120" t="str">
        <f>IF(ABn!A10=0,A119,ABn!A10)</f>
        <v>BF3</v>
      </c>
      <c r="C120" s="381">
        <f>ABn!L10</f>
        <v>-15.7</v>
      </c>
      <c r="D120" s="381">
        <f>ABn!M10</f>
        <v>-15.772336950000001</v>
      </c>
      <c r="E120" t="s">
        <v>133</v>
      </c>
      <c r="F120" t="s">
        <v>133</v>
      </c>
      <c r="G120" s="382" t="str">
        <f ca="1">IFERROR(C120*Changes!$B$1,"-")</f>
        <v>-</v>
      </c>
      <c r="H120" s="382" t="str">
        <f ca="1">IFERROR(D120*Changes!$B$1,"-")</f>
        <v>-</v>
      </c>
      <c r="I120" s="382" t="str">
        <f ca="1">IFERROR(E120*Changes!$B$1,"-")</f>
        <v>-</v>
      </c>
      <c r="J120" s="382" t="str">
        <f ca="1">IFERROR(F120*Changes!$B$1,"-")</f>
        <v>-</v>
      </c>
      <c r="K120" s="383" t="str">
        <f t="shared" ca="1" si="68"/>
        <v>-</v>
      </c>
      <c r="L120" s="383" t="str">
        <f t="shared" ca="1" si="69"/>
        <v>-</v>
      </c>
      <c r="M120" s="383" t="str">
        <f t="shared" ca="1" si="70"/>
        <v>-</v>
      </c>
      <c r="N120" s="383" t="str">
        <f t="shared" ca="1" si="71"/>
        <v>-</v>
      </c>
      <c r="O120" s="384">
        <f>[1]Particles!$B$13</f>
        <v>512373.33725154324</v>
      </c>
      <c r="P120" s="384">
        <f>[1]Particles!$B$5</f>
        <v>3152.8432598003224</v>
      </c>
      <c r="Q120" s="383">
        <f>IFERROR(VLOOKUP("s",[1]md!$A:$E,5,0)*14.3998434/U120*100,"-")</f>
        <v>1334.46353580191</v>
      </c>
      <c r="R120" s="383">
        <f>IFERROR(VLOOKUP("s",[1]md!$A:$E,5,0)*14.3998434/V120*100,"-")</f>
        <v>1334.4637241811984</v>
      </c>
      <c r="S120" s="383">
        <f>IFERROR(VLOOKUP("s",[1]md!$A:$E,5,0)*14.3998434/W120*100,"-")</f>
        <v>1349.98531875</v>
      </c>
      <c r="T120" s="383">
        <f>IFERROR(VLOOKUP("s",[1]md!$A:$E,5,0)*14.3998434/X120*100,"-")</f>
        <v>1349.98531875</v>
      </c>
      <c r="U120" s="386">
        <v>2.4279155466417675</v>
      </c>
      <c r="V120" s="386">
        <v>2.4279152039055845</v>
      </c>
      <c r="W120" s="386">
        <v>2.4</v>
      </c>
      <c r="X120" s="386">
        <v>2.4</v>
      </c>
      <c r="Y120" s="382" t="str">
        <f t="shared" ca="1" si="72"/>
        <v>-</v>
      </c>
      <c r="Z120" s="382" t="str">
        <f t="shared" ca="1" si="73"/>
        <v>-</v>
      </c>
      <c r="AA120" s="382" t="str">
        <f t="shared" ca="1" si="74"/>
        <v>-</v>
      </c>
      <c r="AB120" s="382" t="str">
        <f t="shared" ca="1" si="75"/>
        <v>-</v>
      </c>
      <c r="AC120" s="382" t="str">
        <f ca="1">IFERROR(Changes!$B$2*Rotation!C120,"-")</f>
        <v>-</v>
      </c>
      <c r="AD120" s="382" t="str">
        <f ca="1">IFERROR(Changes!$B$2*Rotation!D120,"-")</f>
        <v>-</v>
      </c>
      <c r="AE120" s="382" t="str">
        <f ca="1">IFERROR(Changes!$B$2*Rotation!E120,"-")</f>
        <v>-</v>
      </c>
      <c r="AF120" s="382" t="str">
        <f ca="1">IFERROR(Changes!$B$2*Rotation!F120,"-")</f>
        <v>-</v>
      </c>
      <c r="AG120" s="382" t="e">
        <f ca="1">(AC120+AD120)*ABn!$BC10</f>
        <v>#VALUE!</v>
      </c>
      <c r="AH120" s="382" t="e">
        <f t="shared" ca="1" si="76"/>
        <v>#VALUE!</v>
      </c>
      <c r="AI120" s="382"/>
      <c r="AJ120" s="382"/>
      <c r="AK120" s="382">
        <f t="shared" si="77"/>
        <v>0.47770226639065527</v>
      </c>
      <c r="AL120" s="382">
        <f t="shared" si="78"/>
        <v>0.47770233382540384</v>
      </c>
      <c r="AM120" s="382">
        <f t="shared" si="79"/>
        <v>0.48325864968161619</v>
      </c>
      <c r="AN120" s="382">
        <f t="shared" si="80"/>
        <v>0.48325864968161619</v>
      </c>
      <c r="AO120" s="382">
        <f t="shared" si="90"/>
        <v>39.970950809959604</v>
      </c>
      <c r="AP120" s="382">
        <f t="shared" si="91"/>
        <v>39.970962094943573</v>
      </c>
      <c r="AQ120" s="382">
        <f t="shared" si="92"/>
        <v>40.906200982235795</v>
      </c>
      <c r="AR120" s="382">
        <f t="shared" si="93"/>
        <v>40.906200982235795</v>
      </c>
      <c r="AS120" s="388" t="str">
        <f t="shared" ca="1" si="81"/>
        <v>-</v>
      </c>
      <c r="AT120" s="388" t="str">
        <f t="shared" ca="1" si="82"/>
        <v>-</v>
      </c>
      <c r="AU120" s="388" t="str">
        <f t="shared" ca="1" si="83"/>
        <v>-</v>
      </c>
      <c r="AV120" s="388" t="str">
        <f t="shared" ca="1" si="84"/>
        <v>-</v>
      </c>
      <c r="AW120" s="382">
        <f>ABn!Z10*SIN(ABn!AB10)</f>
        <v>0.71504972121234633</v>
      </c>
      <c r="AX120" s="382">
        <f>ABn!AA10*SIN(ABn!AC10)</f>
        <v>0.85457766981448002</v>
      </c>
      <c r="AY120" s="382"/>
      <c r="AZ120" s="382"/>
      <c r="BA120" s="388" t="str">
        <f t="shared" ca="1" si="94"/>
        <v>-</v>
      </c>
      <c r="BB120" s="388" t="str">
        <f t="shared" ca="1" si="95"/>
        <v>-</v>
      </c>
      <c r="BC120" s="388" t="str">
        <f t="shared" ca="1" si="96"/>
        <v>-</v>
      </c>
      <c r="BD120" s="388" t="str">
        <f t="shared" ca="1" si="97"/>
        <v>-</v>
      </c>
    </row>
    <row r="121" spans="1:59">
      <c r="A121" t="str">
        <f>IF(ABn!A11=0,A120,ABn!A11)</f>
        <v>NF3</v>
      </c>
      <c r="C121" s="381">
        <f>ABn!L11</f>
        <v>-12.94</v>
      </c>
      <c r="D121" s="381">
        <f>ABn!M11</f>
        <v>-17.857839100000003</v>
      </c>
      <c r="E121" t="s">
        <v>133</v>
      </c>
      <c r="F121" t="s">
        <v>133</v>
      </c>
      <c r="G121" s="382" t="str">
        <f ca="1">IFERROR(C121*Changes!$B$1,"-")</f>
        <v>-</v>
      </c>
      <c r="H121" s="382" t="str">
        <f ca="1">IFERROR(D121*Changes!$B$1,"-")</f>
        <v>-</v>
      </c>
      <c r="I121" s="382" t="str">
        <f ca="1">IFERROR(E121*Changes!$B$1,"-")</f>
        <v>-</v>
      </c>
      <c r="J121" s="382" t="str">
        <f ca="1">IFERROR(F121*Changes!$B$1,"-")</f>
        <v>-</v>
      </c>
      <c r="K121" s="383" t="str">
        <f t="shared" ca="1" si="68"/>
        <v>-</v>
      </c>
      <c r="L121" s="383" t="str">
        <f t="shared" ca="1" si="69"/>
        <v>-</v>
      </c>
      <c r="M121" s="383" t="str">
        <f t="shared" ca="1" si="70"/>
        <v>-</v>
      </c>
      <c r="N121" s="383" t="str">
        <f t="shared" ca="1" si="71"/>
        <v>-</v>
      </c>
      <c r="O121" s="384">
        <f>[1]Particles!$B$13</f>
        <v>512373.33725154324</v>
      </c>
      <c r="P121" s="384">
        <f>[1]Particles!$B$5</f>
        <v>3152.8432598003224</v>
      </c>
      <c r="Q121" s="383">
        <f>IFERROR(VLOOKUP("s",[1]md!$A:$E,5,0)*14.3998434/U121*100,"-")</f>
        <v>1334.4563482319315</v>
      </c>
      <c r="R121" s="383">
        <f>IFERROR(VLOOKUP("s",[1]md!$A:$E,5,0)*14.3998434/V121*100,"-")</f>
        <v>1334.4691552292447</v>
      </c>
      <c r="S121" s="383">
        <f>IFERROR(VLOOKUP("s",[1]md!$A:$E,5,0)*14.3998434/W121*100,"-")</f>
        <v>1349.98531875</v>
      </c>
      <c r="T121" s="383">
        <f>IFERROR(VLOOKUP("s",[1]md!$A:$E,5,0)*14.3998434/X121*100,"-")</f>
        <v>1349.98531875</v>
      </c>
      <c r="U121" s="386">
        <v>2.4279286237371074</v>
      </c>
      <c r="V121" s="386">
        <v>2.4279053227299325</v>
      </c>
      <c r="W121" s="386">
        <v>2.4</v>
      </c>
      <c r="X121" s="386">
        <v>2.4</v>
      </c>
      <c r="Y121" s="382" t="str">
        <f t="shared" ca="1" si="72"/>
        <v>-</v>
      </c>
      <c r="Z121" s="382" t="str">
        <f t="shared" ca="1" si="73"/>
        <v>-</v>
      </c>
      <c r="AA121" s="382" t="str">
        <f t="shared" ca="1" si="74"/>
        <v>-</v>
      </c>
      <c r="AB121" s="382" t="str">
        <f t="shared" ca="1" si="75"/>
        <v>-</v>
      </c>
      <c r="AC121" s="382" t="str">
        <f ca="1">IFERROR(Changes!$B$2*Rotation!C121,"-")</f>
        <v>-</v>
      </c>
      <c r="AD121" s="382" t="str">
        <f ca="1">IFERROR(Changes!$B$2*Rotation!D121,"-")</f>
        <v>-</v>
      </c>
      <c r="AE121" s="382" t="str">
        <f ca="1">IFERROR(Changes!$B$2*Rotation!E121,"-")</f>
        <v>-</v>
      </c>
      <c r="AF121" s="382" t="str">
        <f ca="1">IFERROR(Changes!$B$2*Rotation!F121,"-")</f>
        <v>-</v>
      </c>
      <c r="AG121" s="382" t="e">
        <f ca="1">(AC121+AD121)*ABn!$BC11</f>
        <v>#VALUE!</v>
      </c>
      <c r="AH121" s="382" t="e">
        <f t="shared" ca="1" si="76"/>
        <v>#VALUE!</v>
      </c>
      <c r="AI121" s="382"/>
      <c r="AJ121" s="382"/>
      <c r="AK121" s="382">
        <f t="shared" si="77"/>
        <v>0.47769969343277641</v>
      </c>
      <c r="AL121" s="382">
        <f t="shared" si="78"/>
        <v>0.47770427799539505</v>
      </c>
      <c r="AM121" s="382">
        <f t="shared" si="79"/>
        <v>0.48325864968161619</v>
      </c>
      <c r="AN121" s="382">
        <f t="shared" si="80"/>
        <v>0.48325864968161619</v>
      </c>
      <c r="AO121" s="382">
        <f t="shared" si="90"/>
        <v>39.970520235088678</v>
      </c>
      <c r="AP121" s="382">
        <f t="shared" si="91"/>
        <v>39.971287446099126</v>
      </c>
      <c r="AQ121" s="382">
        <f t="shared" si="92"/>
        <v>40.906200982235795</v>
      </c>
      <c r="AR121" s="382">
        <f t="shared" si="93"/>
        <v>40.906200982235795</v>
      </c>
      <c r="AS121" s="388" t="str">
        <f t="shared" ca="1" si="81"/>
        <v>-</v>
      </c>
      <c r="AT121" s="388" t="str">
        <f t="shared" ca="1" si="82"/>
        <v>-</v>
      </c>
      <c r="AU121" s="388" t="str">
        <f t="shared" ca="1" si="83"/>
        <v>-</v>
      </c>
      <c r="AV121" s="388" t="str">
        <f t="shared" ca="1" si="84"/>
        <v>-</v>
      </c>
      <c r="AW121" s="382">
        <f>ABn!Z11*SIN(ABn!AB11)</f>
        <v>0.99656457326671222</v>
      </c>
      <c r="AX121" s="382">
        <f>ABn!AA11*SIN(ABn!AC11)</f>
        <v>0.76708068290718578</v>
      </c>
      <c r="AY121" s="382"/>
      <c r="AZ121" s="382"/>
      <c r="BA121" s="388" t="str">
        <f t="shared" ca="1" si="94"/>
        <v>-</v>
      </c>
      <c r="BB121" s="388" t="str">
        <f t="shared" ca="1" si="95"/>
        <v>-</v>
      </c>
      <c r="BC121" s="388" t="str">
        <f t="shared" ca="1" si="96"/>
        <v>-</v>
      </c>
      <c r="BD121" s="388" t="str">
        <f t="shared" ca="1" si="97"/>
        <v>-</v>
      </c>
    </row>
    <row r="122" spans="1:59">
      <c r="A122" t="str">
        <f>IF(ABn!A12=0,A121,ABn!A12)</f>
        <v>NH3</v>
      </c>
      <c r="C122" s="381">
        <f>ABn!L12</f>
        <v>-15.8</v>
      </c>
      <c r="D122" s="381">
        <f>ABn!M12</f>
        <v>-10.7</v>
      </c>
      <c r="E122" t="s">
        <v>133</v>
      </c>
      <c r="F122" t="s">
        <v>133</v>
      </c>
      <c r="G122" s="382" t="str">
        <f ca="1">IFERROR(C122*Changes!$B$1,"-")</f>
        <v>-</v>
      </c>
      <c r="H122" s="382" t="str">
        <f ca="1">IFERROR(D122*Changes!$B$1,"-")</f>
        <v>-</v>
      </c>
      <c r="I122" s="382" t="str">
        <f ca="1">IFERROR(E122*Changes!$B$1,"-")</f>
        <v>-</v>
      </c>
      <c r="J122" s="382" t="str">
        <f ca="1">IFERROR(F122*Changes!$B$1,"-")</f>
        <v>-</v>
      </c>
      <c r="K122" s="383" t="str">
        <f t="shared" ca="1" si="68"/>
        <v>-</v>
      </c>
      <c r="L122" s="383" t="str">
        <f t="shared" ca="1" si="69"/>
        <v>-</v>
      </c>
      <c r="M122" s="383" t="str">
        <f t="shared" ca="1" si="70"/>
        <v>-</v>
      </c>
      <c r="N122" s="383" t="str">
        <f t="shared" ca="1" si="71"/>
        <v>-</v>
      </c>
      <c r="O122" s="384">
        <f>[1]Particles!$B$13</f>
        <v>512373.33725154324</v>
      </c>
      <c r="P122" s="384">
        <f>[1]Particles!$B$5</f>
        <v>3152.8432598003224</v>
      </c>
      <c r="Q122" s="383">
        <f>IFERROR(VLOOKUP("s",[1]md!$A:$E,5,0)*14.3998434/U122*100,"-")</f>
        <v>1334.4637962210645</v>
      </c>
      <c r="R122" s="383">
        <f>IFERROR(VLOOKUP("s",[1]md!$A:$E,5,0)*14.3998434/V122*100,"-")</f>
        <v>1334.4505148417848</v>
      </c>
      <c r="S122" s="383">
        <f>IFERROR(VLOOKUP("s",[1]md!$A:$E,5,0)*14.3998434/W122*100,"-")</f>
        <v>1349.98531875</v>
      </c>
      <c r="T122" s="383">
        <f>IFERROR(VLOOKUP("s",[1]md!$A:$E,5,0)*14.3998434/X122*100,"-")</f>
        <v>1349.98531875</v>
      </c>
      <c r="U122" s="386">
        <v>2.4279150728366963</v>
      </c>
      <c r="V122" s="386">
        <v>2.4279392371354716</v>
      </c>
      <c r="W122" s="386">
        <v>2.4</v>
      </c>
      <c r="X122" s="386">
        <v>2.4</v>
      </c>
      <c r="Y122" s="382" t="str">
        <f t="shared" ca="1" si="72"/>
        <v>-</v>
      </c>
      <c r="Z122" s="382" t="str">
        <f t="shared" ca="1" si="73"/>
        <v>-</v>
      </c>
      <c r="AA122" s="382" t="str">
        <f t="shared" ca="1" si="74"/>
        <v>-</v>
      </c>
      <c r="AB122" s="382" t="str">
        <f t="shared" ca="1" si="75"/>
        <v>-</v>
      </c>
      <c r="AC122" s="382" t="str">
        <f ca="1">IFERROR(Changes!$B$2*Rotation!C122,"-")</f>
        <v>-</v>
      </c>
      <c r="AD122" s="382" t="str">
        <f ca="1">IFERROR(Changes!$B$2*Rotation!D122,"-")</f>
        <v>-</v>
      </c>
      <c r="AE122" s="382" t="str">
        <f ca="1">IFERROR(Changes!$B$2*Rotation!E122,"-")</f>
        <v>-</v>
      </c>
      <c r="AF122" s="382" t="str">
        <f ca="1">IFERROR(Changes!$B$2*Rotation!F122,"-")</f>
        <v>-</v>
      </c>
      <c r="AG122" s="382" t="e">
        <f ca="1">(AC122+AD122)*ABn!$BC12</f>
        <v>#VALUE!</v>
      </c>
      <c r="AH122" s="382" t="e">
        <f t="shared" ca="1" si="76"/>
        <v>#VALUE!</v>
      </c>
      <c r="AI122" s="382"/>
      <c r="AJ122" s="382"/>
      <c r="AK122" s="382">
        <f t="shared" si="77"/>
        <v>0.47770235961374979</v>
      </c>
      <c r="AL122" s="382">
        <f t="shared" si="78"/>
        <v>0.4776976052350706</v>
      </c>
      <c r="AM122" s="382">
        <f t="shared" si="79"/>
        <v>0.48325864968161619</v>
      </c>
      <c r="AN122" s="382">
        <f t="shared" si="80"/>
        <v>0.48325864968161619</v>
      </c>
      <c r="AO122" s="382">
        <f t="shared" si="59"/>
        <v>39.970966410539091</v>
      </c>
      <c r="AP122" s="382">
        <f t="shared" si="60"/>
        <v>39.970170784723216</v>
      </c>
      <c r="AQ122" s="382">
        <f t="shared" si="92"/>
        <v>40.906200982235795</v>
      </c>
      <c r="AR122" s="382">
        <f t="shared" si="93"/>
        <v>40.906200982235795</v>
      </c>
      <c r="AS122" s="388" t="str">
        <f t="shared" ca="1" si="81"/>
        <v>-</v>
      </c>
      <c r="AT122" s="388" t="str">
        <f t="shared" ca="1" si="82"/>
        <v>-</v>
      </c>
      <c r="AU122" s="388" t="str">
        <f t="shared" ca="1" si="83"/>
        <v>-</v>
      </c>
      <c r="AV122" s="388" t="str">
        <f t="shared" ca="1" si="84"/>
        <v>-</v>
      </c>
      <c r="AW122" s="382">
        <f>ABn!Z12*SIN(ABn!AB12)</f>
        <v>0.81238969822526663</v>
      </c>
      <c r="AX122" s="382">
        <f>ABn!AA12*SIN(ABn!AC12)</f>
        <v>1.0379782928158476</v>
      </c>
      <c r="AY122" s="382"/>
      <c r="AZ122" s="382"/>
      <c r="BA122" s="388" t="str">
        <f t="shared" ca="1" si="94"/>
        <v>-</v>
      </c>
      <c r="BB122" s="388" t="str">
        <f t="shared" ca="1" si="95"/>
        <v>-</v>
      </c>
      <c r="BC122" s="388" t="str">
        <f t="shared" ca="1" si="96"/>
        <v>-</v>
      </c>
      <c r="BD122" s="388" t="str">
        <f t="shared" ca="1" si="97"/>
        <v>-</v>
      </c>
    </row>
    <row r="123" spans="1:59">
      <c r="A123" t="str">
        <f>IF(ABn!A13=0,A122,ABn!A13)</f>
        <v>NH3</v>
      </c>
      <c r="C123" s="381">
        <f>ABn!L13</f>
        <v>-15.8</v>
      </c>
      <c r="D123" s="381">
        <f>ABn!M13</f>
        <v>-10.7</v>
      </c>
      <c r="E123" t="s">
        <v>133</v>
      </c>
      <c r="F123" t="s">
        <v>133</v>
      </c>
      <c r="G123" s="382" t="str">
        <f ca="1">IFERROR(C123*Changes!$B$1,"-")</f>
        <v>-</v>
      </c>
      <c r="H123" s="382" t="str">
        <f ca="1">IFERROR(D123*Changes!$B$1,"-")</f>
        <v>-</v>
      </c>
      <c r="I123" s="382" t="str">
        <f ca="1">IFERROR(E123*Changes!$B$1,"-")</f>
        <v>-</v>
      </c>
      <c r="J123" s="382" t="str">
        <f ca="1">IFERROR(F123*Changes!$B$1,"-")</f>
        <v>-</v>
      </c>
      <c r="K123" s="383" t="str">
        <f t="shared" ca="1" si="68"/>
        <v>-</v>
      </c>
      <c r="L123" s="383" t="str">
        <f t="shared" ca="1" si="69"/>
        <v>-</v>
      </c>
      <c r="M123" s="383" t="str">
        <f t="shared" ca="1" si="70"/>
        <v>-</v>
      </c>
      <c r="N123" s="383" t="str">
        <f t="shared" ca="1" si="71"/>
        <v>-</v>
      </c>
      <c r="O123" s="384">
        <f>[1]Particles!$B$13</f>
        <v>512373.33725154324</v>
      </c>
      <c r="P123" s="384">
        <f>[1]Particles!$B$5</f>
        <v>3152.8432598003224</v>
      </c>
      <c r="Q123" s="383">
        <f>IFERROR(VLOOKUP("s",[1]md!$A:$E,5,0)*14.3998434/U123*100,"-")</f>
        <v>1334.4637962210645</v>
      </c>
      <c r="R123" s="383">
        <f>IFERROR(VLOOKUP("s",[1]md!$A:$E,5,0)*14.3998434/V123*100,"-")</f>
        <v>1334.4505148417848</v>
      </c>
      <c r="S123" s="383">
        <f>IFERROR(VLOOKUP("s",[1]md!$A:$E,5,0)*14.3998434/W123*100,"-")</f>
        <v>1349.98531875</v>
      </c>
      <c r="T123" s="383">
        <f>IFERROR(VLOOKUP("s",[1]md!$A:$E,5,0)*14.3998434/X123*100,"-")</f>
        <v>1349.98531875</v>
      </c>
      <c r="U123" s="386">
        <v>2.4279150728366963</v>
      </c>
      <c r="V123" s="386">
        <v>2.4279392371354716</v>
      </c>
      <c r="W123" s="386">
        <v>2.4</v>
      </c>
      <c r="X123" s="386">
        <v>2.4</v>
      </c>
      <c r="Y123" s="382" t="str">
        <f t="shared" ca="1" si="72"/>
        <v>-</v>
      </c>
      <c r="Z123" s="382" t="str">
        <f t="shared" ca="1" si="73"/>
        <v>-</v>
      </c>
      <c r="AA123" s="382" t="str">
        <f t="shared" ca="1" si="74"/>
        <v>-</v>
      </c>
      <c r="AB123" s="382" t="str">
        <f t="shared" ca="1" si="75"/>
        <v>-</v>
      </c>
      <c r="AC123" s="382" t="str">
        <f ca="1">IFERROR(Changes!$B$2*Rotation!C123,"-")</f>
        <v>-</v>
      </c>
      <c r="AD123" s="382" t="str">
        <f ca="1">IFERROR(Changes!$B$2*Rotation!D123,"-")</f>
        <v>-</v>
      </c>
      <c r="AE123" s="382" t="str">
        <f ca="1">IFERROR(Changes!$B$2*Rotation!E123,"-")</f>
        <v>-</v>
      </c>
      <c r="AF123" s="382" t="str">
        <f ca="1">IFERROR(Changes!$B$2*Rotation!F123,"-")</f>
        <v>-</v>
      </c>
      <c r="AG123" s="382" t="e">
        <f ca="1">(AC123+AD123)*ABn!$BC13</f>
        <v>#VALUE!</v>
      </c>
      <c r="AH123" s="382" t="e">
        <f t="shared" ca="1" si="76"/>
        <v>#VALUE!</v>
      </c>
      <c r="AI123" s="382"/>
      <c r="AJ123" s="382"/>
      <c r="AK123" s="382">
        <f t="shared" si="77"/>
        <v>0.47770235961374979</v>
      </c>
      <c r="AL123" s="382">
        <f t="shared" si="78"/>
        <v>0.4776976052350706</v>
      </c>
      <c r="AM123" s="382">
        <f t="shared" si="79"/>
        <v>0.48325864968161619</v>
      </c>
      <c r="AN123" s="382">
        <f t="shared" si="80"/>
        <v>0.48325864968161619</v>
      </c>
      <c r="AO123" s="382">
        <f t="shared" si="59"/>
        <v>39.970966410539091</v>
      </c>
      <c r="AP123" s="382">
        <f t="shared" si="60"/>
        <v>39.970170784723216</v>
      </c>
      <c r="AQ123" s="382">
        <f t="shared" si="61"/>
        <v>40.906200982235795</v>
      </c>
      <c r="AR123" s="382">
        <f t="shared" si="62"/>
        <v>40.906200982235795</v>
      </c>
      <c r="AS123" s="388" t="str">
        <f t="shared" ca="1" si="81"/>
        <v>-</v>
      </c>
      <c r="AT123" s="388" t="str">
        <f t="shared" ca="1" si="82"/>
        <v>-</v>
      </c>
      <c r="AU123" s="388" t="str">
        <f t="shared" ca="1" si="83"/>
        <v>-</v>
      </c>
      <c r="AV123" s="388" t="str">
        <f t="shared" ca="1" si="84"/>
        <v>-</v>
      </c>
      <c r="AW123" s="382">
        <f>ABn!Z13*SIN(ABn!AB13)</f>
        <v>0.80967151468778031</v>
      </c>
      <c r="AX123" s="382">
        <f>ABn!AA13*SIN(ABn!AC13)</f>
        <v>0.9861318893392782</v>
      </c>
      <c r="AY123" s="382"/>
      <c r="AZ123" s="382"/>
      <c r="BA123" s="388" t="str">
        <f t="shared" ca="1" si="94"/>
        <v>-</v>
      </c>
      <c r="BB123" s="388" t="str">
        <f t="shared" ca="1" si="95"/>
        <v>-</v>
      </c>
      <c r="BC123" s="388" t="str">
        <f t="shared" ca="1" si="96"/>
        <v>-</v>
      </c>
      <c r="BD123" s="388" t="str">
        <f t="shared" ca="1" si="97"/>
        <v>-</v>
      </c>
    </row>
    <row r="124" spans="1:59">
      <c r="A124" t="str">
        <f>IF(ABn!A14=0,A123,ABn!A14)</f>
        <v>NH3</v>
      </c>
      <c r="C124" s="381">
        <f>ABn!L14</f>
        <v>-15.8</v>
      </c>
      <c r="D124" s="381">
        <f>ABn!M14</f>
        <v>-10.7</v>
      </c>
      <c r="E124" t="s">
        <v>133</v>
      </c>
      <c r="F124" t="s">
        <v>133</v>
      </c>
      <c r="G124" s="382" t="str">
        <f ca="1">IFERROR(C124*Changes!$B$1,"-")</f>
        <v>-</v>
      </c>
      <c r="H124" s="382" t="str">
        <f ca="1">IFERROR(D124*Changes!$B$1,"-")</f>
        <v>-</v>
      </c>
      <c r="I124" s="382" t="str">
        <f ca="1">IFERROR(E124*Changes!$B$1,"-")</f>
        <v>-</v>
      </c>
      <c r="J124" s="382" t="str">
        <f ca="1">IFERROR(F124*Changes!$B$1,"-")</f>
        <v>-</v>
      </c>
      <c r="K124" s="383" t="str">
        <f t="shared" ca="1" si="68"/>
        <v>-</v>
      </c>
      <c r="L124" s="383" t="str">
        <f t="shared" ca="1" si="69"/>
        <v>-</v>
      </c>
      <c r="M124" s="383" t="str">
        <f t="shared" ca="1" si="70"/>
        <v>-</v>
      </c>
      <c r="N124" s="383" t="str">
        <f t="shared" ca="1" si="71"/>
        <v>-</v>
      </c>
      <c r="O124" s="384">
        <f>[1]Particles!$B$13</f>
        <v>512373.33725154324</v>
      </c>
      <c r="P124" s="384">
        <f>[1]Particles!$B$5</f>
        <v>3152.8432598003224</v>
      </c>
      <c r="Q124" s="383">
        <f>IFERROR(VLOOKUP("s",[1]md!$A:$E,5,0)*14.3998434/U124*100,"-")</f>
        <v>1334.4637962210645</v>
      </c>
      <c r="R124" s="383">
        <f>IFERROR(VLOOKUP("s",[1]md!$A:$E,5,0)*14.3998434/V124*100,"-")</f>
        <v>1334.4505148417848</v>
      </c>
      <c r="S124" s="383">
        <f>IFERROR(VLOOKUP("s",[1]md!$A:$E,5,0)*14.3998434/W124*100,"-")</f>
        <v>1349.98531875</v>
      </c>
      <c r="T124" s="383">
        <f>IFERROR(VLOOKUP("s",[1]md!$A:$E,5,0)*14.3998434/X124*100,"-")</f>
        <v>1349.98531875</v>
      </c>
      <c r="U124" s="386">
        <v>2.4279150728366963</v>
      </c>
      <c r="V124" s="386">
        <v>2.4279392371354716</v>
      </c>
      <c r="W124" s="386">
        <v>2.4</v>
      </c>
      <c r="X124" s="386">
        <v>2.4</v>
      </c>
      <c r="Y124" s="382" t="str">
        <f t="shared" ca="1" si="72"/>
        <v>-</v>
      </c>
      <c r="Z124" s="382" t="str">
        <f t="shared" ca="1" si="73"/>
        <v>-</v>
      </c>
      <c r="AA124" s="382" t="str">
        <f t="shared" ca="1" si="74"/>
        <v>-</v>
      </c>
      <c r="AB124" s="382" t="str">
        <f t="shared" ca="1" si="75"/>
        <v>-</v>
      </c>
      <c r="AC124" s="382" t="str">
        <f ca="1">IFERROR(Changes!$B$2*Rotation!C124,"-")</f>
        <v>-</v>
      </c>
      <c r="AD124" s="382" t="str">
        <f ca="1">IFERROR(Changes!$B$2*Rotation!D124,"-")</f>
        <v>-</v>
      </c>
      <c r="AE124" s="382" t="str">
        <f ca="1">IFERROR(Changes!$B$2*Rotation!E124,"-")</f>
        <v>-</v>
      </c>
      <c r="AF124" s="382" t="str">
        <f ca="1">IFERROR(Changes!$B$2*Rotation!F124,"-")</f>
        <v>-</v>
      </c>
      <c r="AG124" s="382" t="e">
        <f ca="1">(AC124+AD124)*ABn!$BC14</f>
        <v>#VALUE!</v>
      </c>
      <c r="AH124" s="382" t="e">
        <f t="shared" ca="1" si="76"/>
        <v>#VALUE!</v>
      </c>
      <c r="AI124" s="382"/>
      <c r="AJ124" s="382"/>
      <c r="AK124" s="382">
        <f t="shared" si="77"/>
        <v>0.47770235961374979</v>
      </c>
      <c r="AL124" s="382">
        <f t="shared" si="78"/>
        <v>0.4776976052350706</v>
      </c>
      <c r="AM124" s="382">
        <f t="shared" si="79"/>
        <v>0.48325864968161619</v>
      </c>
      <c r="AN124" s="382">
        <f t="shared" si="80"/>
        <v>0.48325864968161619</v>
      </c>
      <c r="AO124" s="382">
        <f t="shared" si="59"/>
        <v>39.970966410539091</v>
      </c>
      <c r="AP124" s="382">
        <f t="shared" si="60"/>
        <v>39.970170784723216</v>
      </c>
      <c r="AQ124" s="382">
        <f t="shared" si="61"/>
        <v>40.906200982235795</v>
      </c>
      <c r="AR124" s="382">
        <f t="shared" si="62"/>
        <v>40.906200982235795</v>
      </c>
      <c r="AS124" s="388" t="str">
        <f t="shared" ca="1" si="81"/>
        <v>-</v>
      </c>
      <c r="AT124" s="388" t="str">
        <f t="shared" ca="1" si="82"/>
        <v>-</v>
      </c>
      <c r="AU124" s="388" t="str">
        <f t="shared" ca="1" si="83"/>
        <v>-</v>
      </c>
      <c r="AV124" s="388" t="str">
        <f t="shared" ca="1" si="84"/>
        <v>-</v>
      </c>
      <c r="AW124" s="382">
        <f>ABn!Z14*SIN(ABn!AB14)</f>
        <v>0.81238970645665454</v>
      </c>
      <c r="AX124" s="382">
        <f>ABn!AA14*SIN(ABn!AC14)</f>
        <v>1.0379782879693147</v>
      </c>
      <c r="AY124" s="382"/>
      <c r="AZ124" s="382"/>
      <c r="BA124" s="388" t="str">
        <f t="shared" ca="1" si="94"/>
        <v>-</v>
      </c>
      <c r="BB124" s="388" t="str">
        <f t="shared" ca="1" si="95"/>
        <v>-</v>
      </c>
      <c r="BC124" s="388" t="str">
        <f t="shared" ca="1" si="96"/>
        <v>-</v>
      </c>
      <c r="BD124" s="388" t="str">
        <f t="shared" ca="1" si="97"/>
        <v>-</v>
      </c>
    </row>
    <row r="125" spans="1:59">
      <c r="A125" t="str">
        <f>IF(ABn!A15=0,A124,ABn!A15)</f>
        <v>CH4</v>
      </c>
      <c r="C125" s="381">
        <f>ABn!L15</f>
        <v>-12.61</v>
      </c>
      <c r="D125" s="381">
        <f>ABn!M15</f>
        <v>-22.9</v>
      </c>
      <c r="E125" t="s">
        <v>133</v>
      </c>
      <c r="F125" t="s">
        <v>133</v>
      </c>
      <c r="G125" s="382" t="str">
        <f ca="1">IFERROR(C125*Changes!$B$1,"-")</f>
        <v>-</v>
      </c>
      <c r="H125" s="382" t="str">
        <f ca="1">IFERROR(D125*Changes!$B$1,"-")</f>
        <v>-</v>
      </c>
      <c r="I125" s="382" t="str">
        <f ca="1">IFERROR(E125*Changes!$B$1,"-")</f>
        <v>-</v>
      </c>
      <c r="J125" s="382" t="str">
        <f ca="1">IFERROR(F125*Changes!$B$1,"-")</f>
        <v>-</v>
      </c>
      <c r="K125" s="383" t="str">
        <f t="shared" ca="1" si="68"/>
        <v>-</v>
      </c>
      <c r="L125" s="383" t="str">
        <f t="shared" ca="1" si="69"/>
        <v>-</v>
      </c>
      <c r="M125" s="383" t="str">
        <f t="shared" ca="1" si="70"/>
        <v>-</v>
      </c>
      <c r="N125" s="383" t="str">
        <f t="shared" ca="1" si="71"/>
        <v>-</v>
      </c>
      <c r="O125" s="384">
        <f>[1]Particles!$B$13</f>
        <v>512373.33725154324</v>
      </c>
      <c r="P125" s="384">
        <f>[1]Particles!$B$5</f>
        <v>3152.8432598003224</v>
      </c>
      <c r="Q125" s="383">
        <f>IFERROR(VLOOKUP("s",[1]md!$A:$E,5,0)*14.3998434/U125*100,"-")</f>
        <v>1334.4554888486166</v>
      </c>
      <c r="R125" s="383">
        <f>IFERROR(VLOOKUP("s",[1]md!$A:$E,5,0)*14.3998434/V125*100,"-")</f>
        <v>1334.4822859844267</v>
      </c>
      <c r="S125" s="383">
        <f>IFERROR(VLOOKUP("s",[1]md!$A:$E,5,0)*14.3998434/W125*100,"-")</f>
        <v>1349.98531875</v>
      </c>
      <c r="T125" s="383">
        <f>IFERROR(VLOOKUP("s",[1]md!$A:$E,5,0)*14.3998434/X125*100,"-")</f>
        <v>1349.98531875</v>
      </c>
      <c r="U125" s="386">
        <v>2.4279301873121883</v>
      </c>
      <c r="V125" s="386">
        <v>2.4278814331431375</v>
      </c>
      <c r="W125" s="386">
        <v>2.4</v>
      </c>
      <c r="X125" s="386">
        <v>2.4</v>
      </c>
      <c r="Y125" s="382" t="str">
        <f t="shared" ca="1" si="72"/>
        <v>-</v>
      </c>
      <c r="Z125" s="382" t="str">
        <f t="shared" ca="1" si="73"/>
        <v>-</v>
      </c>
      <c r="AA125" s="382" t="str">
        <f t="shared" ca="1" si="74"/>
        <v>-</v>
      </c>
      <c r="AB125" s="382" t="str">
        <f t="shared" ca="1" si="75"/>
        <v>-</v>
      </c>
      <c r="AC125" s="382" t="str">
        <f ca="1">IFERROR(Changes!$B$2*Rotation!C125,"-")</f>
        <v>-</v>
      </c>
      <c r="AD125" s="382" t="str">
        <f ca="1">IFERROR(Changes!$B$2*Rotation!D125,"-")</f>
        <v>-</v>
      </c>
      <c r="AE125" s="382" t="str">
        <f ca="1">IFERROR(Changes!$B$2*Rotation!E125,"-")</f>
        <v>-</v>
      </c>
      <c r="AF125" s="382" t="str">
        <f ca="1">IFERROR(Changes!$B$2*Rotation!F125,"-")</f>
        <v>-</v>
      </c>
      <c r="AG125" s="382" t="e">
        <f ca="1">(AC125+AD125)*ABn!$BC15</f>
        <v>#VALUE!</v>
      </c>
      <c r="AH125" s="382" t="e">
        <f t="shared" ca="1" si="76"/>
        <v>#VALUE!</v>
      </c>
      <c r="AI125" s="382"/>
      <c r="AJ125" s="382"/>
      <c r="AK125" s="382">
        <f t="shared" si="77"/>
        <v>0.47769938579652693</v>
      </c>
      <c r="AL125" s="382">
        <f t="shared" si="78"/>
        <v>0.47770897845467436</v>
      </c>
      <c r="AM125" s="382">
        <f t="shared" si="79"/>
        <v>0.48325864968161619</v>
      </c>
      <c r="AN125" s="382">
        <f t="shared" si="80"/>
        <v>0.48325864968161619</v>
      </c>
      <c r="AO125" s="382">
        <f t="shared" si="59"/>
        <v>39.970468753468964</v>
      </c>
      <c r="AP125" s="382">
        <f t="shared" si="60"/>
        <v>39.972074059667356</v>
      </c>
      <c r="AQ125" s="382">
        <f t="shared" si="61"/>
        <v>40.906200982235795</v>
      </c>
      <c r="AR125" s="382">
        <f t="shared" si="62"/>
        <v>40.906200982235795</v>
      </c>
      <c r="AS125" s="388" t="str">
        <f t="shared" ca="1" si="81"/>
        <v>-</v>
      </c>
      <c r="AT125" s="388" t="str">
        <f t="shared" ca="1" si="82"/>
        <v>-</v>
      </c>
      <c r="AU125" s="388" t="str">
        <f t="shared" ca="1" si="83"/>
        <v>-</v>
      </c>
      <c r="AV125" s="388" t="str">
        <f t="shared" ca="1" si="84"/>
        <v>-</v>
      </c>
      <c r="AW125" s="382">
        <f>ABn!Z15*SIN(ABn!AB15)</f>
        <v>0.97194448698490954</v>
      </c>
      <c r="AX125" s="382">
        <f>ABn!AA15*SIN(ABn!AC15)</f>
        <v>0.55429971015831481</v>
      </c>
      <c r="AY125" s="382"/>
      <c r="AZ125" s="382"/>
      <c r="BA125" s="388" t="str">
        <f t="shared" ca="1" si="94"/>
        <v>-</v>
      </c>
      <c r="BB125" s="388" t="str">
        <f t="shared" ca="1" si="95"/>
        <v>-</v>
      </c>
      <c r="BC125" s="388" t="str">
        <f t="shared" ca="1" si="96"/>
        <v>-</v>
      </c>
      <c r="BD125" s="388" t="str">
        <f t="shared" ca="1" si="97"/>
        <v>-</v>
      </c>
      <c r="BE125" s="392"/>
      <c r="BF125" s="388"/>
      <c r="BG125" s="388"/>
    </row>
    <row r="126" spans="1:59">
      <c r="A126" t="str">
        <f>IF(ABn!A16=0,A125,ABn!A16)</f>
        <v>CH4</v>
      </c>
      <c r="C126" s="381">
        <f>ABn!L16</f>
        <v>-12.61</v>
      </c>
      <c r="D126" s="381">
        <f>ABn!M16</f>
        <v>-22.9</v>
      </c>
      <c r="E126" t="s">
        <v>133</v>
      </c>
      <c r="F126" t="s">
        <v>133</v>
      </c>
      <c r="G126" s="382" t="str">
        <f ca="1">IFERROR(C126*Changes!$B$1,"-")</f>
        <v>-</v>
      </c>
      <c r="H126" s="382" t="str">
        <f ca="1">IFERROR(D126*Changes!$B$1,"-")</f>
        <v>-</v>
      </c>
      <c r="I126" s="382" t="str">
        <f ca="1">IFERROR(E126*Changes!$B$1,"-")</f>
        <v>-</v>
      </c>
      <c r="J126" s="382" t="str">
        <f ca="1">IFERROR(F126*Changes!$B$1,"-")</f>
        <v>-</v>
      </c>
      <c r="K126" s="383" t="str">
        <f t="shared" ca="1" si="68"/>
        <v>-</v>
      </c>
      <c r="L126" s="383" t="str">
        <f t="shared" ca="1" si="69"/>
        <v>-</v>
      </c>
      <c r="M126" s="383" t="str">
        <f t="shared" ca="1" si="70"/>
        <v>-</v>
      </c>
      <c r="N126" s="383" t="str">
        <f t="shared" ca="1" si="71"/>
        <v>-</v>
      </c>
      <c r="O126" s="384">
        <f>[1]Particles!$B$13</f>
        <v>512373.33725154324</v>
      </c>
      <c r="P126" s="384">
        <f>[1]Particles!$B$5</f>
        <v>3152.8432598003224</v>
      </c>
      <c r="Q126" s="383">
        <f>IFERROR(VLOOKUP("s",[1]md!$A:$E,5,0)*14.3998434/U126*100,"-")</f>
        <v>1334.4554888486166</v>
      </c>
      <c r="R126" s="383">
        <f>IFERROR(VLOOKUP("s",[1]md!$A:$E,5,0)*14.3998434/V126*100,"-")</f>
        <v>1334.4822859844267</v>
      </c>
      <c r="S126" s="383">
        <f>IFERROR(VLOOKUP("s",[1]md!$A:$E,5,0)*14.3998434/W126*100,"-")</f>
        <v>1349.98531875</v>
      </c>
      <c r="T126" s="383">
        <f>IFERROR(VLOOKUP("s",[1]md!$A:$E,5,0)*14.3998434/X126*100,"-")</f>
        <v>1349.98531875</v>
      </c>
      <c r="U126" s="386">
        <v>2.4279301873121883</v>
      </c>
      <c r="V126" s="386">
        <v>2.4278814331431375</v>
      </c>
      <c r="W126" s="386">
        <v>2.4</v>
      </c>
      <c r="X126" s="386">
        <v>2.4</v>
      </c>
      <c r="Y126" s="382" t="str">
        <f t="shared" ca="1" si="72"/>
        <v>-</v>
      </c>
      <c r="Z126" s="382" t="str">
        <f t="shared" ca="1" si="73"/>
        <v>-</v>
      </c>
      <c r="AA126" s="382" t="str">
        <f t="shared" ca="1" si="74"/>
        <v>-</v>
      </c>
      <c r="AB126" s="382" t="str">
        <f t="shared" ca="1" si="75"/>
        <v>-</v>
      </c>
      <c r="AC126" s="382" t="str">
        <f ca="1">IFERROR(Changes!$B$2*Rotation!C126,"-")</f>
        <v>-</v>
      </c>
      <c r="AD126" s="382" t="str">
        <f ca="1">IFERROR(Changes!$B$2*Rotation!D126,"-")</f>
        <v>-</v>
      </c>
      <c r="AE126" s="382" t="str">
        <f ca="1">IFERROR(Changes!$B$2*Rotation!E126,"-")</f>
        <v>-</v>
      </c>
      <c r="AF126" s="382" t="str">
        <f ca="1">IFERROR(Changes!$B$2*Rotation!F126,"-")</f>
        <v>-</v>
      </c>
      <c r="AG126" s="382" t="e">
        <f ca="1">(AC126+AD126)*ABn!$BC16</f>
        <v>#VALUE!</v>
      </c>
      <c r="AH126" s="382" t="e">
        <f t="shared" ca="1" si="76"/>
        <v>#VALUE!</v>
      </c>
      <c r="AI126" s="382"/>
      <c r="AJ126" s="382"/>
      <c r="AK126" s="382">
        <f t="shared" si="77"/>
        <v>0.47769938579652693</v>
      </c>
      <c r="AL126" s="382">
        <f t="shared" si="78"/>
        <v>0.47770897845467436</v>
      </c>
      <c r="AM126" s="382">
        <f t="shared" si="79"/>
        <v>0.48325864968161619</v>
      </c>
      <c r="AN126" s="382">
        <f t="shared" si="80"/>
        <v>0.48325864968161619</v>
      </c>
      <c r="AO126" s="382">
        <f t="shared" si="59"/>
        <v>39.970468753468964</v>
      </c>
      <c r="AP126" s="382">
        <f t="shared" si="60"/>
        <v>39.972074059667356</v>
      </c>
      <c r="AQ126" s="382">
        <f t="shared" si="61"/>
        <v>40.906200982235795</v>
      </c>
      <c r="AR126" s="382">
        <f t="shared" si="62"/>
        <v>40.906200982235795</v>
      </c>
      <c r="AS126" s="388" t="str">
        <f t="shared" ca="1" si="81"/>
        <v>-</v>
      </c>
      <c r="AT126" s="388" t="str">
        <f t="shared" ca="1" si="82"/>
        <v>-</v>
      </c>
      <c r="AU126" s="388" t="str">
        <f t="shared" ca="1" si="83"/>
        <v>-</v>
      </c>
      <c r="AV126" s="388" t="str">
        <f t="shared" ca="1" si="84"/>
        <v>-</v>
      </c>
      <c r="AW126" s="382">
        <f>ABn!Z16*SIN(ABn!AB16)</f>
        <v>0.69780809488801443</v>
      </c>
      <c r="AX126" s="382">
        <f>ABn!AA16*SIN(ABn!AC16)</f>
        <v>0.58776224106973785</v>
      </c>
      <c r="AY126" s="382"/>
      <c r="AZ126" s="382"/>
      <c r="BA126" s="388" t="str">
        <f t="shared" ca="1" si="94"/>
        <v>-</v>
      </c>
      <c r="BB126" s="388" t="str">
        <f t="shared" ca="1" si="95"/>
        <v>-</v>
      </c>
      <c r="BC126" s="388" t="str">
        <f t="shared" ca="1" si="96"/>
        <v>-</v>
      </c>
      <c r="BD126" s="388" t="str">
        <f t="shared" ca="1" si="97"/>
        <v>-</v>
      </c>
      <c r="BF126" s="388"/>
      <c r="BG126" s="388"/>
    </row>
    <row r="127" spans="1:59">
      <c r="A127" t="str">
        <f>IF(ABn!A17=0,A126,ABn!A17)</f>
        <v>SiH4</v>
      </c>
      <c r="C127" s="381">
        <f>ABn!L17</f>
        <v>-11</v>
      </c>
      <c r="D127" s="381">
        <f>ABn!M17</f>
        <v>-18.2</v>
      </c>
      <c r="E127" t="s">
        <v>133</v>
      </c>
      <c r="F127" t="s">
        <v>133</v>
      </c>
      <c r="G127" s="382" t="str">
        <f ca="1">IFERROR(C127*Changes!$B$1,"-")</f>
        <v>-</v>
      </c>
      <c r="H127" s="382" t="str">
        <f ca="1">IFERROR(D127*Changes!$B$1,"-")</f>
        <v>-</v>
      </c>
      <c r="I127" s="382" t="str">
        <f ca="1">IFERROR(E127*Changes!$B$1,"-")</f>
        <v>-</v>
      </c>
      <c r="J127" s="382" t="str">
        <f ca="1">IFERROR(F127*Changes!$B$1,"-")</f>
        <v>-</v>
      </c>
      <c r="K127" s="383" t="str">
        <f t="shared" ca="1" si="68"/>
        <v>-</v>
      </c>
      <c r="L127" s="383" t="str">
        <f t="shared" ca="1" si="69"/>
        <v>-</v>
      </c>
      <c r="M127" s="383" t="str">
        <f t="shared" ca="1" si="70"/>
        <v>-</v>
      </c>
      <c r="N127" s="383" t="str">
        <f t="shared" ca="1" si="71"/>
        <v>-</v>
      </c>
      <c r="O127" s="384">
        <f>[1]Particles!$B$13</f>
        <v>512373.33725154324</v>
      </c>
      <c r="P127" s="384">
        <f>[1]Particles!$B$5</f>
        <v>3152.8432598003224</v>
      </c>
      <c r="Q127" s="383">
        <f>IFERROR(VLOOKUP("s",[1]md!$A:$E,5,0)*14.3998434/U127*100,"-")</f>
        <v>1334.4512960994468</v>
      </c>
      <c r="R127" s="383">
        <f>IFERROR(VLOOKUP("s",[1]md!$A:$E,5,0)*14.3998434/V127*100,"-")</f>
        <v>1334.4700462819014</v>
      </c>
      <c r="S127" s="383">
        <f>IFERROR(VLOOKUP("s",[1]md!$A:$E,5,0)*14.3998434/W127*100,"-")</f>
        <v>1349.98531875</v>
      </c>
      <c r="T127" s="383">
        <f>IFERROR(VLOOKUP("s",[1]md!$A:$E,5,0)*14.3998434/X127*100,"-")</f>
        <v>1349.98531875</v>
      </c>
      <c r="U127" s="386">
        <v>2.4279378156927125</v>
      </c>
      <c r="V127" s="386">
        <v>2.4279037015684128</v>
      </c>
      <c r="W127" s="386">
        <v>2.4</v>
      </c>
      <c r="X127" s="386">
        <v>2.4</v>
      </c>
      <c r="Y127" s="382" t="str">
        <f t="shared" ca="1" si="72"/>
        <v>-</v>
      </c>
      <c r="Z127" s="382" t="str">
        <f t="shared" ca="1" si="73"/>
        <v>-</v>
      </c>
      <c r="AA127" s="382" t="str">
        <f t="shared" ca="1" si="74"/>
        <v>-</v>
      </c>
      <c r="AB127" s="382" t="str">
        <f t="shared" ca="1" si="75"/>
        <v>-</v>
      </c>
      <c r="AC127" s="382" t="str">
        <f ca="1">IFERROR(Changes!$B$2*Rotation!C127,"-")</f>
        <v>-</v>
      </c>
      <c r="AD127" s="382" t="str">
        <f ca="1">IFERROR(Changes!$B$2*Rotation!D127,"-")</f>
        <v>-</v>
      </c>
      <c r="AE127" s="382" t="str">
        <f ca="1">IFERROR(Changes!$B$2*Rotation!E127,"-")</f>
        <v>-</v>
      </c>
      <c r="AF127" s="382" t="str">
        <f ca="1">IFERROR(Changes!$B$2*Rotation!F127,"-")</f>
        <v>-</v>
      </c>
      <c r="AG127" s="382" t="e">
        <f ca="1">(AC127+AD127)*ABn!$BC17</f>
        <v>#VALUE!</v>
      </c>
      <c r="AH127" s="382" t="e">
        <f t="shared" ca="1" si="76"/>
        <v>#VALUE!</v>
      </c>
      <c r="AI127" s="382"/>
      <c r="AJ127" s="382"/>
      <c r="AK127" s="382">
        <f t="shared" si="77"/>
        <v>0.47769788490442527</v>
      </c>
      <c r="AL127" s="382">
        <f t="shared" si="78"/>
        <v>0.47770459696842216</v>
      </c>
      <c r="AM127" s="382">
        <f t="shared" si="79"/>
        <v>0.48325864968161619</v>
      </c>
      <c r="AN127" s="382">
        <f t="shared" si="80"/>
        <v>0.48325864968161619</v>
      </c>
      <c r="AO127" s="382">
        <f t="shared" si="59"/>
        <v>39.970217586026052</v>
      </c>
      <c r="AP127" s="382">
        <f t="shared" si="60"/>
        <v>39.971340825427703</v>
      </c>
      <c r="AQ127" s="382">
        <f t="shared" si="61"/>
        <v>40.906200982235795</v>
      </c>
      <c r="AR127" s="382">
        <f t="shared" si="62"/>
        <v>40.906200982235795</v>
      </c>
      <c r="AS127" s="388" t="str">
        <f t="shared" ca="1" si="81"/>
        <v>-</v>
      </c>
      <c r="AT127" s="388" t="str">
        <f t="shared" ca="1" si="82"/>
        <v>-</v>
      </c>
      <c r="AU127" s="388" t="str">
        <f t="shared" ca="1" si="83"/>
        <v>-</v>
      </c>
      <c r="AV127" s="388" t="str">
        <f t="shared" ca="1" si="84"/>
        <v>-</v>
      </c>
      <c r="AW127" s="382">
        <f>ABn!Z17*SIN(ABn!AB17)</f>
        <v>1.1730154939844391</v>
      </c>
      <c r="AX127" s="382">
        <f>ABn!AA17*SIN(ABn!AC17)</f>
        <v>0.71916844127189927</v>
      </c>
      <c r="AY127" s="382"/>
      <c r="AZ127" s="382"/>
      <c r="BA127" s="388" t="str">
        <f t="shared" ca="1" si="94"/>
        <v>-</v>
      </c>
      <c r="BB127" s="388" t="str">
        <f t="shared" ca="1" si="95"/>
        <v>-</v>
      </c>
      <c r="BC127" s="388" t="str">
        <f t="shared" ca="1" si="96"/>
        <v>-</v>
      </c>
      <c r="BD127" s="388" t="str">
        <f t="shared" ca="1" si="97"/>
        <v>-</v>
      </c>
    </row>
    <row r="128" spans="1:59">
      <c r="A128" t="str">
        <f>IF(ABn!A18=0,A127,ABn!A18)</f>
        <v>SiH4</v>
      </c>
      <c r="C128" s="381">
        <f>ABn!L18</f>
        <v>-11</v>
      </c>
      <c r="D128" s="381">
        <f>ABn!M18</f>
        <v>-18.2</v>
      </c>
      <c r="E128" t="s">
        <v>133</v>
      </c>
      <c r="F128" t="s">
        <v>133</v>
      </c>
      <c r="G128" s="382" t="str">
        <f ca="1">IFERROR(C128*Changes!$B$1,"-")</f>
        <v>-</v>
      </c>
      <c r="H128" s="382" t="str">
        <f ca="1">IFERROR(D128*Changes!$B$1,"-")</f>
        <v>-</v>
      </c>
      <c r="I128" s="382" t="str">
        <f ca="1">IFERROR(E128*Changes!$B$1,"-")</f>
        <v>-</v>
      </c>
      <c r="J128" s="382" t="str">
        <f ca="1">IFERROR(F128*Changes!$B$1,"-")</f>
        <v>-</v>
      </c>
      <c r="K128" s="383" t="str">
        <f t="shared" ca="1" si="68"/>
        <v>-</v>
      </c>
      <c r="L128" s="383" t="str">
        <f t="shared" ca="1" si="69"/>
        <v>-</v>
      </c>
      <c r="M128" s="383" t="str">
        <f t="shared" ca="1" si="70"/>
        <v>-</v>
      </c>
      <c r="N128" s="383" t="str">
        <f t="shared" ca="1" si="71"/>
        <v>-</v>
      </c>
      <c r="O128" s="384">
        <f>[1]Particles!$B$13</f>
        <v>512373.33725154324</v>
      </c>
      <c r="P128" s="384">
        <f>[1]Particles!$B$5</f>
        <v>3152.8432598003224</v>
      </c>
      <c r="Q128" s="383">
        <f>IFERROR(VLOOKUP("s",[1]md!$A:$E,5,0)*14.3998434/U128*100,"-")</f>
        <v>1334.4512960994468</v>
      </c>
      <c r="R128" s="383">
        <f>IFERROR(VLOOKUP("s",[1]md!$A:$E,5,0)*14.3998434/V128*100,"-")</f>
        <v>1334.4700462819014</v>
      </c>
      <c r="S128" s="383">
        <f>IFERROR(VLOOKUP("s",[1]md!$A:$E,5,0)*14.3998434/W128*100,"-")</f>
        <v>1349.98531875</v>
      </c>
      <c r="T128" s="383">
        <f>IFERROR(VLOOKUP("s",[1]md!$A:$E,5,0)*14.3998434/X128*100,"-")</f>
        <v>1349.98531875</v>
      </c>
      <c r="U128" s="386">
        <v>2.4279378156927125</v>
      </c>
      <c r="V128" s="386">
        <v>2.4279037015684128</v>
      </c>
      <c r="W128" s="386">
        <v>2.4</v>
      </c>
      <c r="X128" s="386">
        <v>2.4</v>
      </c>
      <c r="Y128" s="382" t="str">
        <f t="shared" ca="1" si="72"/>
        <v>-</v>
      </c>
      <c r="Z128" s="382" t="str">
        <f t="shared" ca="1" si="73"/>
        <v>-</v>
      </c>
      <c r="AA128" s="382" t="str">
        <f t="shared" ca="1" si="74"/>
        <v>-</v>
      </c>
      <c r="AB128" s="382" t="str">
        <f t="shared" ca="1" si="75"/>
        <v>-</v>
      </c>
      <c r="AC128" s="382" t="str">
        <f ca="1">IFERROR(Changes!$B$2*Rotation!C128,"-")</f>
        <v>-</v>
      </c>
      <c r="AD128" s="382" t="str">
        <f ca="1">IFERROR(Changes!$B$2*Rotation!D128,"-")</f>
        <v>-</v>
      </c>
      <c r="AE128" s="382" t="str">
        <f ca="1">IFERROR(Changes!$B$2*Rotation!E128,"-")</f>
        <v>-</v>
      </c>
      <c r="AF128" s="382" t="str">
        <f ca="1">IFERROR(Changes!$B$2*Rotation!F128,"-")</f>
        <v>-</v>
      </c>
      <c r="AG128" s="382" t="e">
        <f ca="1">(AC128+AD128)*ABn!$BC18</f>
        <v>#VALUE!</v>
      </c>
      <c r="AH128" s="382" t="e">
        <f t="shared" ca="1" si="76"/>
        <v>#VALUE!</v>
      </c>
      <c r="AI128" s="382"/>
      <c r="AJ128" s="382"/>
      <c r="AK128" s="382">
        <f t="shared" si="77"/>
        <v>0.47769788490442527</v>
      </c>
      <c r="AL128" s="382">
        <f t="shared" si="78"/>
        <v>0.47770459696842216</v>
      </c>
      <c r="AM128" s="382">
        <f t="shared" si="79"/>
        <v>0.48325864968161619</v>
      </c>
      <c r="AN128" s="382">
        <f t="shared" si="80"/>
        <v>0.48325864968161619</v>
      </c>
      <c r="AO128" s="382">
        <f t="shared" si="59"/>
        <v>39.970217586026052</v>
      </c>
      <c r="AP128" s="382">
        <f t="shared" si="60"/>
        <v>39.971340825427703</v>
      </c>
      <c r="AQ128" s="382">
        <f t="shared" si="61"/>
        <v>40.906200982235795</v>
      </c>
      <c r="AR128" s="382">
        <f t="shared" si="62"/>
        <v>40.906200982235795</v>
      </c>
      <c r="AS128" s="388" t="str">
        <f t="shared" ca="1" si="81"/>
        <v>-</v>
      </c>
      <c r="AT128" s="388" t="str">
        <f t="shared" ca="1" si="82"/>
        <v>-</v>
      </c>
      <c r="AU128" s="388" t="str">
        <f t="shared" ca="1" si="83"/>
        <v>-</v>
      </c>
      <c r="AV128" s="388" t="str">
        <f t="shared" ca="1" si="84"/>
        <v>-</v>
      </c>
      <c r="AW128" s="382">
        <f>ABn!Z18*SIN(ABn!AB18)</f>
        <v>1.1756603501426126</v>
      </c>
      <c r="AX128" s="382">
        <f>ABn!AA18*SIN(ABn!AC18)</f>
        <v>0.73375068080134154</v>
      </c>
      <c r="AY128" s="382"/>
      <c r="AZ128" s="382"/>
      <c r="BA128" s="388" t="str">
        <f t="shared" ca="1" si="94"/>
        <v>-</v>
      </c>
      <c r="BB128" s="388" t="str">
        <f t="shared" ca="1" si="95"/>
        <v>-</v>
      </c>
      <c r="BC128" s="388" t="str">
        <f t="shared" ca="1" si="96"/>
        <v>-</v>
      </c>
      <c r="BD128" s="388" t="str">
        <f t="shared" ca="1" si="97"/>
        <v>-</v>
      </c>
    </row>
    <row r="129" spans="1:56">
      <c r="A129" t="str">
        <f>IF(ABn!A19=0,A128,ABn!A19)</f>
        <v>CF4</v>
      </c>
      <c r="C129" s="381">
        <f>ABn!L19</f>
        <v>-16.100000000000001</v>
      </c>
      <c r="D129" s="381">
        <f>ABn!M19</f>
        <v>-17.399999999999999</v>
      </c>
      <c r="E129" t="s">
        <v>133</v>
      </c>
      <c r="F129" t="s">
        <v>133</v>
      </c>
      <c r="G129" s="382" t="str">
        <f ca="1">IFERROR(C129*Changes!$B$1,"-")</f>
        <v>-</v>
      </c>
      <c r="H129" s="382" t="str">
        <f ca="1">IFERROR(D129*Changes!$B$1,"-")</f>
        <v>-</v>
      </c>
      <c r="I129" s="382" t="str">
        <f ca="1">IFERROR(E129*Changes!$B$1,"-")</f>
        <v>-</v>
      </c>
      <c r="J129" s="382" t="str">
        <f ca="1">IFERROR(F129*Changes!$B$1,"-")</f>
        <v>-</v>
      </c>
      <c r="K129" s="383" t="str">
        <f t="shared" ca="1" si="68"/>
        <v>-</v>
      </c>
      <c r="L129" s="383" t="str">
        <f t="shared" ca="1" si="69"/>
        <v>-</v>
      </c>
      <c r="M129" s="383" t="str">
        <f t="shared" ca="1" si="70"/>
        <v>-</v>
      </c>
      <c r="N129" s="383" t="str">
        <f t="shared" ca="1" si="71"/>
        <v>-</v>
      </c>
      <c r="O129" s="384">
        <f>[1]Particles!$B$13</f>
        <v>512373.33725154324</v>
      </c>
      <c r="P129" s="384">
        <f>[1]Particles!$B$5</f>
        <v>3152.8432598003224</v>
      </c>
      <c r="Q129" s="383">
        <f>IFERROR(VLOOKUP("s",[1]md!$A:$E,5,0)*14.3998434/U129*100,"-")</f>
        <v>1334.4645774786798</v>
      </c>
      <c r="R129" s="383">
        <f>IFERROR(VLOOKUP("s",[1]md!$A:$E,5,0)*14.3998434/V129*100,"-")</f>
        <v>1334.4679629283016</v>
      </c>
      <c r="S129" s="383">
        <f>IFERROR(VLOOKUP("s",[1]md!$A:$E,5,0)*14.3998434/W129*100,"-")</f>
        <v>1349.98531875</v>
      </c>
      <c r="T129" s="383">
        <f>IFERROR(VLOOKUP("s",[1]md!$A:$E,5,0)*14.3998434/X129*100,"-")</f>
        <v>1349.98531875</v>
      </c>
      <c r="U129" s="386">
        <v>2.4279136514223163</v>
      </c>
      <c r="V129" s="386">
        <v>2.4279074919793162</v>
      </c>
      <c r="W129" s="386">
        <v>2.4</v>
      </c>
      <c r="X129" s="386">
        <v>2.4</v>
      </c>
      <c r="Y129" s="382" t="str">
        <f t="shared" ca="1" si="72"/>
        <v>-</v>
      </c>
      <c r="Z129" s="382" t="str">
        <f t="shared" ca="1" si="73"/>
        <v>-</v>
      </c>
      <c r="AA129" s="382" t="str">
        <f t="shared" ca="1" si="74"/>
        <v>-</v>
      </c>
      <c r="AB129" s="382" t="str">
        <f t="shared" ca="1" si="75"/>
        <v>-</v>
      </c>
      <c r="AC129" s="382" t="str">
        <f ca="1">IFERROR(Changes!$B$2*Rotation!C129,"-")</f>
        <v>-</v>
      </c>
      <c r="AD129" s="382" t="str">
        <f ca="1">IFERROR(Changes!$B$2*Rotation!D129,"-")</f>
        <v>-</v>
      </c>
      <c r="AE129" s="382" t="str">
        <f ca="1">IFERROR(Changes!$B$2*Rotation!E129,"-")</f>
        <v>-</v>
      </c>
      <c r="AF129" s="382" t="str">
        <f ca="1">IFERROR(Changes!$B$2*Rotation!F129,"-")</f>
        <v>-</v>
      </c>
      <c r="AG129" s="382" t="e">
        <f ca="1">(AC129+AD129)*ABn!$BC19</f>
        <v>#VALUE!</v>
      </c>
      <c r="AH129" s="382" t="e">
        <f t="shared" ca="1" si="76"/>
        <v>#VALUE!</v>
      </c>
      <c r="AI129" s="382"/>
      <c r="AJ129" s="382"/>
      <c r="AK129" s="382">
        <f t="shared" si="77"/>
        <v>0.47770263928308765</v>
      </c>
      <c r="AL129" s="382">
        <f t="shared" si="78"/>
        <v>0.47770385118353587</v>
      </c>
      <c r="AM129" s="382">
        <f t="shared" si="79"/>
        <v>0.48325864968161619</v>
      </c>
      <c r="AN129" s="382">
        <f t="shared" si="80"/>
        <v>0.48325864968161619</v>
      </c>
      <c r="AO129" s="382">
        <f t="shared" si="59"/>
        <v>39.971013212304911</v>
      </c>
      <c r="AP129" s="382">
        <f t="shared" si="60"/>
        <v>39.971216020270745</v>
      </c>
      <c r="AQ129" s="382">
        <f t="shared" si="61"/>
        <v>40.906200982235795</v>
      </c>
      <c r="AR129" s="382">
        <f t="shared" si="62"/>
        <v>40.906200982235795</v>
      </c>
      <c r="AS129" s="388" t="str">
        <f t="shared" ca="1" si="81"/>
        <v>-</v>
      </c>
      <c r="AT129" s="388" t="str">
        <f t="shared" ca="1" si="82"/>
        <v>-</v>
      </c>
      <c r="AU129" s="388" t="str">
        <f t="shared" ca="1" si="83"/>
        <v>-</v>
      </c>
      <c r="AV129" s="388" t="str">
        <f t="shared" ca="1" si="84"/>
        <v>-</v>
      </c>
      <c r="AW129" s="382">
        <f>ABn!Z19*SIN(ABn!AB19)</f>
        <v>0.73687254374089928</v>
      </c>
      <c r="AX129" s="382">
        <f>ABn!AA19*SIN(ABn!AC19)</f>
        <v>0.7746576374804226</v>
      </c>
      <c r="AY129" s="382"/>
      <c r="AZ129" s="382"/>
      <c r="BA129" s="388" t="str">
        <f t="shared" ca="1" si="94"/>
        <v>-</v>
      </c>
      <c r="BB129" s="388" t="str">
        <f t="shared" ca="1" si="95"/>
        <v>-</v>
      </c>
      <c r="BC129" s="388" t="str">
        <f t="shared" ca="1" si="96"/>
        <v>-</v>
      </c>
      <c r="BD129" s="388" t="str">
        <f t="shared" ca="1" si="97"/>
        <v>-</v>
      </c>
    </row>
    <row r="130" spans="1:56">
      <c r="A130" t="str">
        <f>IF(ABn!A20=0,A129,ABn!A20)</f>
        <v>CF4</v>
      </c>
      <c r="C130" s="381">
        <f>ABn!L20</f>
        <v>-14.7</v>
      </c>
      <c r="D130" s="381">
        <f>ABn!M20</f>
        <v>-17.399999999999999</v>
      </c>
      <c r="E130" t="s">
        <v>133</v>
      </c>
      <c r="F130" t="s">
        <v>133</v>
      </c>
      <c r="G130" s="382" t="str">
        <f ca="1">IFERROR(C130*Changes!$B$1,"-")</f>
        <v>-</v>
      </c>
      <c r="H130" s="382" t="str">
        <f ca="1">IFERROR(D130*Changes!$B$1,"-")</f>
        <v>-</v>
      </c>
      <c r="I130" s="382" t="str">
        <f ca="1">IFERROR(E130*Changes!$B$1,"-")</f>
        <v>-</v>
      </c>
      <c r="J130" s="382" t="str">
        <f ca="1">IFERROR(F130*Changes!$B$1,"-")</f>
        <v>-</v>
      </c>
      <c r="K130" s="383" t="str">
        <f t="shared" ca="1" si="68"/>
        <v>-</v>
      </c>
      <c r="L130" s="383" t="str">
        <f t="shared" ca="1" si="69"/>
        <v>-</v>
      </c>
      <c r="M130" s="383" t="str">
        <f t="shared" ca="1" si="70"/>
        <v>-</v>
      </c>
      <c r="N130" s="383" t="str">
        <f t="shared" ca="1" si="71"/>
        <v>-</v>
      </c>
      <c r="O130" s="384">
        <f>[1]Particles!$B$13</f>
        <v>512373.33725154324</v>
      </c>
      <c r="P130" s="384">
        <f>[1]Particles!$B$5</f>
        <v>3152.8432598003224</v>
      </c>
      <c r="Q130" s="383">
        <f>IFERROR(VLOOKUP("s",[1]md!$A:$E,5,0)*14.3998434/U130*100,"-")</f>
        <v>1334.460931609889</v>
      </c>
      <c r="R130" s="383">
        <f>IFERROR(VLOOKUP("s",[1]md!$A:$E,5,0)*14.3998434/V130*100,"-")</f>
        <v>1334.4679629283016</v>
      </c>
      <c r="S130" s="383">
        <f>IFERROR(VLOOKUP("s",[1]md!$A:$E,5,0)*14.3998434/W130*100,"-")</f>
        <v>1349.98531875</v>
      </c>
      <c r="T130" s="383">
        <f>IFERROR(VLOOKUP("s",[1]md!$A:$E,5,0)*14.3998434/X130*100,"-")</f>
        <v>1349.98531875</v>
      </c>
      <c r="U130" s="386">
        <v>2.4279202847035153</v>
      </c>
      <c r="V130" s="386">
        <v>2.4279074919793162</v>
      </c>
      <c r="W130" s="386">
        <v>2.4</v>
      </c>
      <c r="X130" s="386">
        <v>2.4</v>
      </c>
      <c r="Y130" s="382" t="str">
        <f t="shared" ca="1" si="72"/>
        <v>-</v>
      </c>
      <c r="Z130" s="382" t="str">
        <f t="shared" ca="1" si="73"/>
        <v>-</v>
      </c>
      <c r="AA130" s="382" t="str">
        <f t="shared" ca="1" si="74"/>
        <v>-</v>
      </c>
      <c r="AB130" s="382" t="str">
        <f t="shared" ca="1" si="75"/>
        <v>-</v>
      </c>
      <c r="AC130" s="382" t="str">
        <f ca="1">IFERROR(Changes!$B$2*Rotation!C130,"-")</f>
        <v>-</v>
      </c>
      <c r="AD130" s="382" t="str">
        <f ca="1">IFERROR(Changes!$B$2*Rotation!D130,"-")</f>
        <v>-</v>
      </c>
      <c r="AE130" s="382" t="str">
        <f ca="1">IFERROR(Changes!$B$2*Rotation!E130,"-")</f>
        <v>-</v>
      </c>
      <c r="AF130" s="382" t="str">
        <f ca="1">IFERROR(Changes!$B$2*Rotation!F130,"-")</f>
        <v>-</v>
      </c>
      <c r="AG130" s="382" t="e">
        <f ca="1">(AC130+AD130)*ABn!$BC20</f>
        <v>#VALUE!</v>
      </c>
      <c r="AH130" s="382" t="e">
        <f t="shared" ref="AH130:AH157" ca="1" si="98">AC130+AD130-AG130</f>
        <v>#VALUE!</v>
      </c>
      <c r="AI130" s="382"/>
      <c r="AJ130" s="382"/>
      <c r="AK130" s="382">
        <f t="shared" si="77"/>
        <v>0.4777013341595398</v>
      </c>
      <c r="AL130" s="382">
        <f t="shared" si="78"/>
        <v>0.47770385118353587</v>
      </c>
      <c r="AM130" s="382">
        <f t="shared" si="79"/>
        <v>0.48325864968161619</v>
      </c>
      <c r="AN130" s="382">
        <f t="shared" si="80"/>
        <v>0.48325864968161619</v>
      </c>
      <c r="AO130" s="382">
        <f t="shared" si="59"/>
        <v>39.970794804303686</v>
      </c>
      <c r="AP130" s="382">
        <f t="shared" si="60"/>
        <v>39.971216020270745</v>
      </c>
      <c r="AQ130" s="382">
        <f t="shared" si="61"/>
        <v>40.906200982235795</v>
      </c>
      <c r="AR130" s="382">
        <f t="shared" si="62"/>
        <v>40.906200982235795</v>
      </c>
      <c r="AS130" s="388" t="str">
        <f t="shared" ref="AS130:AS157" ca="1" si="99">IFERROR((2*AG130/-K130)^0.5*3,"-")</f>
        <v>-</v>
      </c>
      <c r="AT130" s="388" t="str">
        <f t="shared" ref="AT130:AT157" ca="1" si="100">IFERROR((2*AH130/-L130)^0.5*3,"-")</f>
        <v>-</v>
      </c>
      <c r="AU130" s="388" t="str">
        <f t="shared" ref="AU130:AU157" ca="1" si="101">IFERROR((2*AI130/-M130)^0.5*3,"-")</f>
        <v>-</v>
      </c>
      <c r="AV130" s="388" t="str">
        <f t="shared" ref="AV130:AV157" ca="1" si="102">IFERROR((2*AJ130/-N130)^0.5*3,"-")</f>
        <v>-</v>
      </c>
      <c r="AW130" s="382">
        <f>ABn!Z20*SIN(ABn!AB20)</f>
        <v>0.9101831254003051</v>
      </c>
      <c r="AX130" s="382">
        <f>ABn!AA20*SIN(ABn!AC20)</f>
        <v>0.71491613743959026</v>
      </c>
      <c r="AY130" s="382"/>
      <c r="AZ130" s="382"/>
      <c r="BA130" s="388" t="str">
        <f t="shared" ca="1" si="94"/>
        <v>-</v>
      </c>
      <c r="BB130" s="388" t="str">
        <f t="shared" ca="1" si="95"/>
        <v>-</v>
      </c>
      <c r="BC130" s="388" t="str">
        <f t="shared" ca="1" si="96"/>
        <v>-</v>
      </c>
      <c r="BD130" s="388" t="str">
        <f t="shared" ca="1" si="97"/>
        <v>-</v>
      </c>
    </row>
    <row r="131" spans="1:56">
      <c r="A131" t="str">
        <f>IF(ABn!A21=0,A130,ABn!A21)</f>
        <v>GeH4</v>
      </c>
      <c r="C131" s="381">
        <f>ABn!L21</f>
        <v>-10.53</v>
      </c>
      <c r="D131" s="381">
        <f>ABn!M21</f>
        <v>-14.980166000000002</v>
      </c>
      <c r="E131" t="s">
        <v>133</v>
      </c>
      <c r="F131" t="s">
        <v>133</v>
      </c>
      <c r="G131" s="382" t="str">
        <f ca="1">IFERROR(C131*Changes!$B$1,"-")</f>
        <v>-</v>
      </c>
      <c r="H131" s="382" t="str">
        <f ca="1">IFERROR(D131*Changes!$B$1,"-")</f>
        <v>-</v>
      </c>
      <c r="I131" s="382" t="str">
        <f ca="1">IFERROR(E131*Changes!$B$1,"-")</f>
        <v>-</v>
      </c>
      <c r="J131" s="382" t="str">
        <f ca="1">IFERROR(F131*Changes!$B$1,"-")</f>
        <v>-</v>
      </c>
      <c r="K131" s="383" t="str">
        <f t="shared" ca="1" si="68"/>
        <v>-</v>
      </c>
      <c r="L131" s="383" t="str">
        <f t="shared" ca="1" si="69"/>
        <v>-</v>
      </c>
      <c r="M131" s="383" t="str">
        <f t="shared" ca="1" si="70"/>
        <v>-</v>
      </c>
      <c r="N131" s="383" t="str">
        <f t="shared" ca="1" si="71"/>
        <v>-</v>
      </c>
      <c r="O131" s="384">
        <f>[1]Particles!$B$13</f>
        <v>512373.33725154324</v>
      </c>
      <c r="P131" s="384">
        <f>[1]Particles!$B$5</f>
        <v>3152.8432598003224</v>
      </c>
      <c r="Q131" s="383">
        <f>IFERROR(VLOOKUP("s",[1]md!$A:$E,5,0)*14.3998434/U131*100,"-")</f>
        <v>1334.4500721291633</v>
      </c>
      <c r="R131" s="383">
        <f>IFERROR(VLOOKUP("s",[1]md!$A:$E,5,0)*14.3998434/V131*100,"-")</f>
        <v>1334.4616612159557</v>
      </c>
      <c r="S131" s="383">
        <f>IFERROR(VLOOKUP("s",[1]md!$A:$E,5,0)*14.3998434/W131*100,"-")</f>
        <v>1349.98531875</v>
      </c>
      <c r="T131" s="383">
        <f>IFERROR(VLOOKUP("s",[1]md!$A:$E,5,0)*14.3998434/X131*100,"-")</f>
        <v>1349.98531875</v>
      </c>
      <c r="U131" s="386">
        <v>2.4279400426203424</v>
      </c>
      <c r="V131" s="386">
        <v>2.4279189572578339</v>
      </c>
      <c r="W131" s="386">
        <v>2.4</v>
      </c>
      <c r="X131" s="386">
        <v>2.4</v>
      </c>
      <c r="Y131" s="382" t="str">
        <f t="shared" ca="1" si="72"/>
        <v>-</v>
      </c>
      <c r="Z131" s="382" t="str">
        <f t="shared" ca="1" si="73"/>
        <v>-</v>
      </c>
      <c r="AA131" s="382" t="str">
        <f t="shared" ca="1" si="74"/>
        <v>-</v>
      </c>
      <c r="AB131" s="382" t="str">
        <f t="shared" ca="1" si="75"/>
        <v>-</v>
      </c>
      <c r="AC131" s="382" t="str">
        <f ca="1">IFERROR(Changes!$B$2*Rotation!C131,"-")</f>
        <v>-</v>
      </c>
      <c r="AD131" s="382" t="str">
        <f ca="1">IFERROR(Changes!$B$2*Rotation!D131,"-")</f>
        <v>-</v>
      </c>
      <c r="AE131" s="382" t="str">
        <f ca="1">IFERROR(Changes!$B$2*Rotation!E131,"-")</f>
        <v>-</v>
      </c>
      <c r="AF131" s="382" t="str">
        <f ca="1">IFERROR(Changes!$B$2*Rotation!F131,"-")</f>
        <v>-</v>
      </c>
      <c r="AG131" s="382" t="e">
        <f ca="1">(AC131+AD131)*ABn!$BC21</f>
        <v>#VALUE!</v>
      </c>
      <c r="AH131" s="382" t="e">
        <f t="shared" ca="1" si="98"/>
        <v>#VALUE!</v>
      </c>
      <c r="AI131" s="382"/>
      <c r="AJ131" s="382"/>
      <c r="AK131" s="382">
        <f t="shared" si="77"/>
        <v>0.47769744675578896</v>
      </c>
      <c r="AL131" s="382">
        <f t="shared" si="78"/>
        <v>0.4777015953390043</v>
      </c>
      <c r="AM131" s="382">
        <f t="shared" si="79"/>
        <v>0.48325864968161619</v>
      </c>
      <c r="AN131" s="382">
        <f t="shared" si="80"/>
        <v>0.48325864968161619</v>
      </c>
      <c r="AO131" s="382">
        <f t="shared" si="59"/>
        <v>39.970144264000346</v>
      </c>
      <c r="AP131" s="382">
        <f t="shared" si="60"/>
        <v>39.97083851175389</v>
      </c>
      <c r="AQ131" s="382">
        <f t="shared" si="61"/>
        <v>40.906200982235795</v>
      </c>
      <c r="AR131" s="382">
        <f t="shared" si="62"/>
        <v>40.906200982235795</v>
      </c>
      <c r="AS131" s="388" t="str">
        <f t="shared" ca="1" si="99"/>
        <v>-</v>
      </c>
      <c r="AT131" s="388" t="str">
        <f t="shared" ca="1" si="100"/>
        <v>-</v>
      </c>
      <c r="AU131" s="388" t="str">
        <f t="shared" ca="1" si="101"/>
        <v>-</v>
      </c>
      <c r="AV131" s="388" t="str">
        <f t="shared" ca="1" si="102"/>
        <v>-</v>
      </c>
      <c r="AW131" s="382">
        <f>ABn!Z21*SIN(ABn!AB21)</f>
        <v>1.223630157084348</v>
      </c>
      <c r="AX131" s="382">
        <f>ABn!AA21*SIN(ABn!AC21)</f>
        <v>0.83243296612885009</v>
      </c>
      <c r="AY131" s="382"/>
      <c r="AZ131" s="382"/>
      <c r="BA131" s="388" t="str">
        <f t="shared" ca="1" si="94"/>
        <v>-</v>
      </c>
      <c r="BB131" s="388" t="str">
        <f t="shared" ca="1" si="95"/>
        <v>-</v>
      </c>
      <c r="BC131" s="388" t="str">
        <f t="shared" ca="1" si="96"/>
        <v>-</v>
      </c>
      <c r="BD131" s="388" t="str">
        <f t="shared" ca="1" si="97"/>
        <v>-</v>
      </c>
    </row>
    <row r="132" spans="1:56">
      <c r="A132" t="str">
        <f>IF(ABn!A22=0,A131,ABn!A22)</f>
        <v>CCl4</v>
      </c>
      <c r="C132" s="381">
        <f>ABn!L22</f>
        <v>-11.47</v>
      </c>
      <c r="D132" s="381">
        <f>ABn!M22</f>
        <v>-13.9344961</v>
      </c>
      <c r="E132" t="s">
        <v>133</v>
      </c>
      <c r="F132" t="s">
        <v>133</v>
      </c>
      <c r="G132" s="382" t="str">
        <f ca="1">IFERROR(C132*Changes!$B$1,"-")</f>
        <v>-</v>
      </c>
      <c r="H132" s="382" t="str">
        <f ca="1">IFERROR(D132*Changes!$B$1,"-")</f>
        <v>-</v>
      </c>
      <c r="I132" s="382" t="str">
        <f ca="1">IFERROR(E132*Changes!$B$1,"-")</f>
        <v>-</v>
      </c>
      <c r="J132" s="382" t="str">
        <f ca="1">IFERROR(F132*Changes!$B$1,"-")</f>
        <v>-</v>
      </c>
      <c r="K132" s="383" t="str">
        <f t="shared" ref="K132:K157" ca="1" si="103">IFERROR($O132-G132-Q132-AC132-AO132,"-")</f>
        <v>-</v>
      </c>
      <c r="L132" s="383" t="str">
        <f t="shared" ref="L132:L157" ca="1" si="104">IFERROR($O132-H132-R132-AD132-AP132,"-")</f>
        <v>-</v>
      </c>
      <c r="M132" s="383" t="str">
        <f t="shared" ref="M132:M157" ca="1" si="105">IFERROR($O132-I132-S132-AE132-AQ132,"-")</f>
        <v>-</v>
      </c>
      <c r="N132" s="383" t="str">
        <f t="shared" ref="N132:N157" ca="1" si="106">IFERROR($O132-J132-T132-AF132-AR132,"-")</f>
        <v>-</v>
      </c>
      <c r="O132" s="384">
        <f>[1]Particles!$B$13</f>
        <v>512373.33725154324</v>
      </c>
      <c r="P132" s="384">
        <f>[1]Particles!$B$5</f>
        <v>3152.8432598003224</v>
      </c>
      <c r="Q132" s="383">
        <f>IFERROR(VLOOKUP("s",[1]md!$A:$E,5,0)*14.3998434/U132*100,"-")</f>
        <v>1334.4525200696371</v>
      </c>
      <c r="R132" s="383">
        <f>IFERROR(VLOOKUP("s",[1]md!$A:$E,5,0)*14.3998434/V132*100,"-")</f>
        <v>1334.458938090746</v>
      </c>
      <c r="S132" s="383">
        <f>IFERROR(VLOOKUP("s",[1]md!$A:$E,5,0)*14.3998434/W132*100,"-")</f>
        <v>1349.98531875</v>
      </c>
      <c r="T132" s="383">
        <f>IFERROR(VLOOKUP("s",[1]md!$A:$E,5,0)*14.3998434/X132*100,"-")</f>
        <v>1349.98531875</v>
      </c>
      <c r="U132" s="386">
        <v>2.427935588769337</v>
      </c>
      <c r="V132" s="386">
        <v>2.4279239117207485</v>
      </c>
      <c r="W132" s="386">
        <v>2.4</v>
      </c>
      <c r="X132" s="386">
        <v>2.4</v>
      </c>
      <c r="Y132" s="382" t="str">
        <f t="shared" ref="Y132:Y157" ca="1" si="107">IFERROR(6.582119514/K132*3*2*PI()*10^4,"-")</f>
        <v>-</v>
      </c>
      <c r="Z132" s="382" t="str">
        <f t="shared" ref="Z132:Z157" ca="1" si="108">IFERROR(6.582119514/L132*3*2*PI()*10^4,"-")</f>
        <v>-</v>
      </c>
      <c r="AA132" s="382" t="str">
        <f t="shared" ref="AA132:AA157" ca="1" si="109">IFERROR(6.582119514/M132*3*2*PI()*10^4,"-")</f>
        <v>-</v>
      </c>
      <c r="AB132" s="382" t="str">
        <f t="shared" ref="AB132:AB157" ca="1" si="110">IFERROR(6.582119514/N132*3*2*PI()*10^4,"-")</f>
        <v>-</v>
      </c>
      <c r="AC132" s="382" t="str">
        <f ca="1">IFERROR(Changes!$B$2*Rotation!C132,"-")</f>
        <v>-</v>
      </c>
      <c r="AD132" s="382" t="str">
        <f ca="1">IFERROR(Changes!$B$2*Rotation!D132,"-")</f>
        <v>-</v>
      </c>
      <c r="AE132" s="382" t="str">
        <f ca="1">IFERROR(Changes!$B$2*Rotation!E132,"-")</f>
        <v>-</v>
      </c>
      <c r="AF132" s="382" t="str">
        <f ca="1">IFERROR(Changes!$B$2*Rotation!F132,"-")</f>
        <v>-</v>
      </c>
      <c r="AG132" s="382" t="e">
        <f ca="1">(AC132+AD132)*ABn!$BC22</f>
        <v>#VALUE!</v>
      </c>
      <c r="AH132" s="382" t="e">
        <f t="shared" ca="1" si="98"/>
        <v>#VALUE!</v>
      </c>
      <c r="AI132" s="382"/>
      <c r="AJ132" s="382"/>
      <c r="AK132" s="382">
        <f t="shared" ref="AK132:AK157" si="111">IFERROR((0.5*6.582119514/U132/$P132)*100/9*100,"-")</f>
        <v>0.47769832305302817</v>
      </c>
      <c r="AL132" s="382">
        <f t="shared" ref="AL132:AL157" si="112">IFERROR((0.5*6.582119514/V132/$P132)*100/9*100,"-")</f>
        <v>0.47770062053298706</v>
      </c>
      <c r="AM132" s="382">
        <f t="shared" ref="AM132:AM157" si="113">IFERROR((0.5*6.582119514/W132/$P132)*100/9*100,"-")</f>
        <v>0.48325864968161619</v>
      </c>
      <c r="AN132" s="382">
        <f t="shared" ref="AN132:AN157" si="114">IFERROR((0.5*6.582119514/X132/$P132)*100/9*100,"-")</f>
        <v>0.48325864968161619</v>
      </c>
      <c r="AO132" s="382">
        <f t="shared" si="59"/>
        <v>39.970290908113412</v>
      </c>
      <c r="AP132" s="382">
        <f t="shared" si="60"/>
        <v>39.970675381571695</v>
      </c>
      <c r="AQ132" s="382">
        <f t="shared" si="61"/>
        <v>40.906200982235795</v>
      </c>
      <c r="AR132" s="382">
        <f t="shared" si="62"/>
        <v>40.906200982235795</v>
      </c>
      <c r="AS132" s="388" t="str">
        <f t="shared" ca="1" si="99"/>
        <v>-</v>
      </c>
      <c r="AT132" s="388" t="str">
        <f t="shared" ca="1" si="100"/>
        <v>-</v>
      </c>
      <c r="AU132" s="388" t="str">
        <f t="shared" ca="1" si="101"/>
        <v>-</v>
      </c>
      <c r="AV132" s="388" t="str">
        <f t="shared" ca="1" si="102"/>
        <v>-</v>
      </c>
      <c r="AW132" s="382">
        <f>ABn!Z22*SIN(ABn!AB22)</f>
        <v>1.1734340045480902</v>
      </c>
      <c r="AX132" s="382">
        <f>ABn!AA22*SIN(ABn!AC22)</f>
        <v>0.90986037855547031</v>
      </c>
      <c r="AY132" s="382"/>
      <c r="AZ132" s="382"/>
      <c r="BA132" s="388" t="str">
        <f t="shared" ca="1" si="94"/>
        <v>-</v>
      </c>
      <c r="BB132" s="388" t="str">
        <f t="shared" ca="1" si="95"/>
        <v>-</v>
      </c>
      <c r="BC132" s="388" t="str">
        <f t="shared" ca="1" si="96"/>
        <v>-</v>
      </c>
      <c r="BD132" s="388" t="str">
        <f t="shared" ca="1" si="97"/>
        <v>-</v>
      </c>
    </row>
    <row r="133" spans="1:56">
      <c r="A133" t="str">
        <f>IF(ABn!A24=0,A132,ABn!A24)</f>
        <v>SF6</v>
      </c>
      <c r="C133" s="381">
        <f>ABn!L24</f>
        <v>-15.32</v>
      </c>
      <c r="D133" s="381">
        <f>ABn!M24</f>
        <v>-17.3</v>
      </c>
      <c r="E133" t="s">
        <v>133</v>
      </c>
      <c r="F133" t="s">
        <v>133</v>
      </c>
      <c r="G133" s="382" t="str">
        <f ca="1">IFERROR(C133*Changes!$B$1,"-")</f>
        <v>-</v>
      </c>
      <c r="H133" s="382" t="str">
        <f ca="1">IFERROR(D133*Changes!$B$1,"-")</f>
        <v>-</v>
      </c>
      <c r="I133" s="382" t="str">
        <f ca="1">IFERROR(E133*Changes!$B$1,"-")</f>
        <v>-</v>
      </c>
      <c r="J133" s="382" t="str">
        <f ca="1">IFERROR(F133*Changes!$B$1,"-")</f>
        <v>-</v>
      </c>
      <c r="K133" s="383" t="str">
        <f t="shared" ref="K133:N136" ca="1" si="115">IFERROR($O133-G133-Q133-AC133-AO133,"-")</f>
        <v>-</v>
      </c>
      <c r="L133" s="383" t="str">
        <f t="shared" ca="1" si="115"/>
        <v>-</v>
      </c>
      <c r="M133" s="383" t="str">
        <f t="shared" ca="1" si="115"/>
        <v>-</v>
      </c>
      <c r="N133" s="383" t="str">
        <f t="shared" ca="1" si="115"/>
        <v>-</v>
      </c>
      <c r="O133" s="384">
        <f>[1]Particles!$B$13</f>
        <v>512373.33725154324</v>
      </c>
      <c r="P133" s="384">
        <f>[1]Particles!$B$5</f>
        <v>3152.8432598003224</v>
      </c>
      <c r="Q133" s="383">
        <f>IFERROR(VLOOKUP("s",[1]md!$A:$E,5,0)*14.3998434/U133*100,"-")</f>
        <v>1334.4525200696371</v>
      </c>
      <c r="R133" s="383">
        <f>IFERROR(VLOOKUP("s",[1]md!$A:$E,5,0)*14.3998434/V133*100,"-")</f>
        <v>1334.458938090746</v>
      </c>
      <c r="S133" s="383">
        <f>IFERROR(VLOOKUP("s",[1]md!$A:$E,5,0)*14.3998434/W133*100,"-")</f>
        <v>1349.98531875</v>
      </c>
      <c r="T133" s="383">
        <f>IFERROR(VLOOKUP("s",[1]md!$A:$E,5,0)*14.3998434/X133*100,"-")</f>
        <v>1349.98531875</v>
      </c>
      <c r="U133" s="386">
        <v>2.427935588769337</v>
      </c>
      <c r="V133" s="386">
        <v>2.4279239117207485</v>
      </c>
      <c r="W133" s="386">
        <v>2.4</v>
      </c>
      <c r="X133" s="386">
        <v>2.4</v>
      </c>
      <c r="Y133" s="382" t="str">
        <f t="shared" ref="Y133:AB136" ca="1" si="116">IFERROR(6.582119514/K133*3*2*PI()*10^4,"-")</f>
        <v>-</v>
      </c>
      <c r="Z133" s="382" t="str">
        <f t="shared" ca="1" si="116"/>
        <v>-</v>
      </c>
      <c r="AA133" s="382" t="str">
        <f t="shared" ca="1" si="116"/>
        <v>-</v>
      </c>
      <c r="AB133" s="382" t="str">
        <f t="shared" ca="1" si="116"/>
        <v>-</v>
      </c>
      <c r="AC133" s="382" t="str">
        <f ca="1">IFERROR(Changes!$B$2*Rotation!C133,"-")</f>
        <v>-</v>
      </c>
      <c r="AD133" s="382" t="str">
        <f ca="1">IFERROR(Changes!$B$2*Rotation!D133,"-")</f>
        <v>-</v>
      </c>
      <c r="AE133" s="382" t="str">
        <f ca="1">IFERROR(Changes!$B$2*Rotation!E133,"-")</f>
        <v>-</v>
      </c>
      <c r="AF133" s="382" t="str">
        <f ca="1">IFERROR(Changes!$B$2*Rotation!F133,"-")</f>
        <v>-</v>
      </c>
      <c r="AG133" s="382" t="e">
        <f ca="1">(AC133+AD133)*ABn!$BC24</f>
        <v>#VALUE!</v>
      </c>
      <c r="AH133" s="382" t="e">
        <f t="shared" ca="1" si="98"/>
        <v>#VALUE!</v>
      </c>
      <c r="AI133" s="382"/>
      <c r="AJ133" s="382"/>
      <c r="AK133" s="382">
        <f t="shared" ref="AK133:AN136" si="117">IFERROR((0.5*6.582119514/U133/$P133)*100/9*100,"-")</f>
        <v>0.47769832305302817</v>
      </c>
      <c r="AL133" s="382">
        <f t="shared" si="117"/>
        <v>0.47770062053298706</v>
      </c>
      <c r="AM133" s="382">
        <f t="shared" si="117"/>
        <v>0.48325864968161619</v>
      </c>
      <c r="AN133" s="382">
        <f t="shared" si="117"/>
        <v>0.48325864968161619</v>
      </c>
      <c r="AO133" s="382">
        <f t="shared" ref="AO133:AR136" si="118">IFERROR(0.5*$P133*AK133^2/9,"-")</f>
        <v>39.970290908113412</v>
      </c>
      <c r="AP133" s="382">
        <f t="shared" si="118"/>
        <v>39.970675381571695</v>
      </c>
      <c r="AQ133" s="382">
        <f t="shared" si="118"/>
        <v>40.906200982235795</v>
      </c>
      <c r="AR133" s="382">
        <f t="shared" si="118"/>
        <v>40.906200982235795</v>
      </c>
      <c r="AS133" s="388" t="str">
        <f t="shared" ca="1" si="99"/>
        <v>-</v>
      </c>
      <c r="AT133" s="388" t="str">
        <f t="shared" ca="1" si="100"/>
        <v>-</v>
      </c>
      <c r="AU133" s="388" t="str">
        <f t="shared" ca="1" si="101"/>
        <v>-</v>
      </c>
      <c r="AV133" s="388" t="str">
        <f t="shared" ca="1" si="102"/>
        <v>-</v>
      </c>
      <c r="AW133" s="382">
        <f>ABn!Z24*SIN(ABn!AB24)</f>
        <v>0.87587294456786402</v>
      </c>
      <c r="AX133" s="382">
        <f>ABn!AA24*SIN(ABn!AC24)</f>
        <v>0.67308004346762307</v>
      </c>
      <c r="AY133" s="382"/>
      <c r="AZ133" s="382"/>
      <c r="BA133" s="388" t="str">
        <f t="shared" ref="BA133:BD136" ca="1" si="119">IFERROR(AS133/AW133,"-")</f>
        <v>-</v>
      </c>
      <c r="BB133" s="388" t="str">
        <f t="shared" ca="1" si="119"/>
        <v>-</v>
      </c>
      <c r="BC133" s="388" t="str">
        <f t="shared" ca="1" si="119"/>
        <v>-</v>
      </c>
      <c r="BD133" s="388" t="str">
        <f t="shared" ca="1" si="119"/>
        <v>-</v>
      </c>
    </row>
    <row r="134" spans="1:56">
      <c r="A134" t="str">
        <f>IF(ABn!A25=0,A133,ABn!A25)</f>
        <v>SF6</v>
      </c>
      <c r="C134" s="381">
        <f>ABn!L25</f>
        <v>-15.69</v>
      </c>
      <c r="D134" s="381">
        <f>ABn!M25</f>
        <v>-17.3</v>
      </c>
      <c r="E134" t="s">
        <v>133</v>
      </c>
      <c r="F134" t="s">
        <v>133</v>
      </c>
      <c r="G134" s="382" t="str">
        <f ca="1">IFERROR(C134*Changes!$B$1,"-")</f>
        <v>-</v>
      </c>
      <c r="H134" s="382" t="str">
        <f ca="1">IFERROR(D134*Changes!$B$1,"-")</f>
        <v>-</v>
      </c>
      <c r="I134" s="382" t="str">
        <f ca="1">IFERROR(E134*Changes!$B$1,"-")</f>
        <v>-</v>
      </c>
      <c r="J134" s="382" t="str">
        <f ca="1">IFERROR(F134*Changes!$B$1,"-")</f>
        <v>-</v>
      </c>
      <c r="K134" s="383" t="str">
        <f t="shared" ca="1" si="115"/>
        <v>-</v>
      </c>
      <c r="L134" s="383" t="str">
        <f t="shared" ca="1" si="115"/>
        <v>-</v>
      </c>
      <c r="M134" s="383" t="str">
        <f t="shared" ca="1" si="115"/>
        <v>-</v>
      </c>
      <c r="N134" s="383" t="str">
        <f t="shared" ca="1" si="115"/>
        <v>-</v>
      </c>
      <c r="O134" s="384">
        <f>[1]Particles!$B$13</f>
        <v>512373.33725154324</v>
      </c>
      <c r="P134" s="384">
        <f>[1]Particles!$B$5</f>
        <v>3152.8432598003224</v>
      </c>
      <c r="Q134" s="383">
        <f>IFERROR(VLOOKUP("s",[1]md!$A:$E,5,0)*14.3998434/U134*100,"-")</f>
        <v>1334.4525200696371</v>
      </c>
      <c r="R134" s="383">
        <f>IFERROR(VLOOKUP("s",[1]md!$A:$E,5,0)*14.3998434/V134*100,"-")</f>
        <v>1334.458938090746</v>
      </c>
      <c r="S134" s="383">
        <f>IFERROR(VLOOKUP("s",[1]md!$A:$E,5,0)*14.3998434/W134*100,"-")</f>
        <v>1349.98531875</v>
      </c>
      <c r="T134" s="383">
        <f>IFERROR(VLOOKUP("s",[1]md!$A:$E,5,0)*14.3998434/X134*100,"-")</f>
        <v>1349.98531875</v>
      </c>
      <c r="U134" s="386">
        <v>2.427935588769337</v>
      </c>
      <c r="V134" s="386">
        <v>2.4279239117207485</v>
      </c>
      <c r="W134" s="386">
        <v>2.4</v>
      </c>
      <c r="X134" s="386">
        <v>2.4</v>
      </c>
      <c r="Y134" s="382" t="str">
        <f t="shared" ca="1" si="116"/>
        <v>-</v>
      </c>
      <c r="Z134" s="382" t="str">
        <f t="shared" ca="1" si="116"/>
        <v>-</v>
      </c>
      <c r="AA134" s="382" t="str">
        <f t="shared" ca="1" si="116"/>
        <v>-</v>
      </c>
      <c r="AB134" s="382" t="str">
        <f t="shared" ca="1" si="116"/>
        <v>-</v>
      </c>
      <c r="AC134" s="382" t="str">
        <f ca="1">IFERROR(Changes!$B$2*Rotation!C134,"-")</f>
        <v>-</v>
      </c>
      <c r="AD134" s="382" t="str">
        <f ca="1">IFERROR(Changes!$B$2*Rotation!D134,"-")</f>
        <v>-</v>
      </c>
      <c r="AE134" s="382" t="str">
        <f ca="1">IFERROR(Changes!$B$2*Rotation!E134,"-")</f>
        <v>-</v>
      </c>
      <c r="AF134" s="382" t="str">
        <f ca="1">IFERROR(Changes!$B$2*Rotation!F134,"-")</f>
        <v>-</v>
      </c>
      <c r="AG134" s="382" t="e">
        <f ca="1">(AC134+AD134)*ABn!$BC25</f>
        <v>#VALUE!</v>
      </c>
      <c r="AH134" s="382" t="e">
        <f t="shared" ca="1" si="98"/>
        <v>#VALUE!</v>
      </c>
      <c r="AI134" s="382"/>
      <c r="AJ134" s="382"/>
      <c r="AK134" s="382">
        <f t="shared" si="117"/>
        <v>0.47769832305302817</v>
      </c>
      <c r="AL134" s="382">
        <f t="shared" si="117"/>
        <v>0.47770062053298706</v>
      </c>
      <c r="AM134" s="382">
        <f t="shared" si="117"/>
        <v>0.48325864968161619</v>
      </c>
      <c r="AN134" s="382">
        <f t="shared" si="117"/>
        <v>0.48325864968161619</v>
      </c>
      <c r="AO134" s="382">
        <f t="shared" si="118"/>
        <v>39.970290908113412</v>
      </c>
      <c r="AP134" s="382">
        <f t="shared" si="118"/>
        <v>39.970675381571695</v>
      </c>
      <c r="AQ134" s="382">
        <f t="shared" si="118"/>
        <v>40.906200982235795</v>
      </c>
      <c r="AR134" s="382">
        <f t="shared" si="118"/>
        <v>40.906200982235795</v>
      </c>
      <c r="AS134" s="388" t="str">
        <f t="shared" ca="1" si="99"/>
        <v>-</v>
      </c>
      <c r="AT134" s="388" t="str">
        <f t="shared" ca="1" si="100"/>
        <v>-</v>
      </c>
      <c r="AU134" s="388" t="str">
        <f t="shared" ca="1" si="101"/>
        <v>-</v>
      </c>
      <c r="AV134" s="388" t="str">
        <f t="shared" ca="1" si="102"/>
        <v>-</v>
      </c>
      <c r="AW134" s="382">
        <f>ABn!Z25*SIN(ABn!AB25)</f>
        <v>0.8541392032611389</v>
      </c>
      <c r="AX134" s="382">
        <f>ABn!AA25*SIN(ABn!AC25)</f>
        <v>0.6197906018785081</v>
      </c>
      <c r="AY134" s="382"/>
      <c r="AZ134" s="382"/>
      <c r="BA134" s="388" t="str">
        <f t="shared" ca="1" si="119"/>
        <v>-</v>
      </c>
      <c r="BB134" s="388" t="str">
        <f t="shared" ca="1" si="119"/>
        <v>-</v>
      </c>
      <c r="BC134" s="388" t="str">
        <f t="shared" ca="1" si="119"/>
        <v>-</v>
      </c>
      <c r="BD134" s="388" t="str">
        <f t="shared" ca="1" si="119"/>
        <v>-</v>
      </c>
    </row>
    <row r="135" spans="1:56">
      <c r="A135" t="str">
        <f>IF(ABn!A26=0,A134,ABn!A26)</f>
        <v>SF6</v>
      </c>
      <c r="C135" s="381">
        <f>ABn!L26</f>
        <v>-15.32</v>
      </c>
      <c r="D135" s="381">
        <f>ABn!M26</f>
        <v>-17.3</v>
      </c>
      <c r="E135" t="s">
        <v>133</v>
      </c>
      <c r="F135" t="s">
        <v>133</v>
      </c>
      <c r="G135" s="382" t="str">
        <f ca="1">IFERROR(C135*Changes!$B$1,"-")</f>
        <v>-</v>
      </c>
      <c r="H135" s="382" t="str">
        <f ca="1">IFERROR(D135*Changes!$B$1,"-")</f>
        <v>-</v>
      </c>
      <c r="I135" s="382" t="str">
        <f ca="1">IFERROR(E135*Changes!$B$1,"-")</f>
        <v>-</v>
      </c>
      <c r="J135" s="382" t="str">
        <f ca="1">IFERROR(F135*Changes!$B$1,"-")</f>
        <v>-</v>
      </c>
      <c r="K135" s="383" t="str">
        <f t="shared" ca="1" si="115"/>
        <v>-</v>
      </c>
      <c r="L135" s="383" t="str">
        <f t="shared" ca="1" si="115"/>
        <v>-</v>
      </c>
      <c r="M135" s="383" t="str">
        <f t="shared" ca="1" si="115"/>
        <v>-</v>
      </c>
      <c r="N135" s="383" t="str">
        <f t="shared" ca="1" si="115"/>
        <v>-</v>
      </c>
      <c r="O135" s="384">
        <f>[1]Particles!$B$13</f>
        <v>512373.33725154324</v>
      </c>
      <c r="P135" s="384">
        <f>[1]Particles!$B$5</f>
        <v>3152.8432598003224</v>
      </c>
      <c r="Q135" s="383">
        <f>IFERROR(VLOOKUP("s",[1]md!$A:$E,5,0)*14.3998434/U135*100,"-")</f>
        <v>1334.4525200696371</v>
      </c>
      <c r="R135" s="383">
        <f>IFERROR(VLOOKUP("s",[1]md!$A:$E,5,0)*14.3998434/V135*100,"-")</f>
        <v>1334.458938090746</v>
      </c>
      <c r="S135" s="383">
        <f>IFERROR(VLOOKUP("s",[1]md!$A:$E,5,0)*14.3998434/W135*100,"-")</f>
        <v>1349.98531875</v>
      </c>
      <c r="T135" s="383">
        <f>IFERROR(VLOOKUP("s",[1]md!$A:$E,5,0)*14.3998434/X135*100,"-")</f>
        <v>1349.98531875</v>
      </c>
      <c r="U135" s="386">
        <v>2.427935588769337</v>
      </c>
      <c r="V135" s="386">
        <v>2.4279239117207485</v>
      </c>
      <c r="W135" s="386">
        <v>2.4</v>
      </c>
      <c r="X135" s="386">
        <v>2.4</v>
      </c>
      <c r="Y135" s="382" t="str">
        <f t="shared" ca="1" si="116"/>
        <v>-</v>
      </c>
      <c r="Z135" s="382" t="str">
        <f t="shared" ca="1" si="116"/>
        <v>-</v>
      </c>
      <c r="AA135" s="382" t="str">
        <f t="shared" ca="1" si="116"/>
        <v>-</v>
      </c>
      <c r="AB135" s="382" t="str">
        <f t="shared" ca="1" si="116"/>
        <v>-</v>
      </c>
      <c r="AC135" s="382" t="str">
        <f ca="1">IFERROR(Changes!$B$2*Rotation!C135,"-")</f>
        <v>-</v>
      </c>
      <c r="AD135" s="382" t="str">
        <f ca="1">IFERROR(Changes!$B$2*Rotation!D135,"-")</f>
        <v>-</v>
      </c>
      <c r="AE135" s="382" t="str">
        <f ca="1">IFERROR(Changes!$B$2*Rotation!E135,"-")</f>
        <v>-</v>
      </c>
      <c r="AF135" s="382" t="str">
        <f ca="1">IFERROR(Changes!$B$2*Rotation!F135,"-")</f>
        <v>-</v>
      </c>
      <c r="AG135" s="382" t="e">
        <f ca="1">(AC135+AD135)*ABn!$BC26</f>
        <v>#VALUE!</v>
      </c>
      <c r="AH135" s="382" t="e">
        <f t="shared" ca="1" si="98"/>
        <v>#VALUE!</v>
      </c>
      <c r="AI135" s="382"/>
      <c r="AJ135" s="382"/>
      <c r="AK135" s="382">
        <f t="shared" si="117"/>
        <v>0.47769832305302817</v>
      </c>
      <c r="AL135" s="382">
        <f t="shared" si="117"/>
        <v>0.47770062053298706</v>
      </c>
      <c r="AM135" s="382">
        <f t="shared" si="117"/>
        <v>0.48325864968161619</v>
      </c>
      <c r="AN135" s="382">
        <f t="shared" si="117"/>
        <v>0.48325864968161619</v>
      </c>
      <c r="AO135" s="382">
        <f t="shared" si="118"/>
        <v>39.970290908113412</v>
      </c>
      <c r="AP135" s="382">
        <f t="shared" si="118"/>
        <v>39.970675381571695</v>
      </c>
      <c r="AQ135" s="382">
        <f t="shared" si="118"/>
        <v>40.906200982235795</v>
      </c>
      <c r="AR135" s="382">
        <f t="shared" si="118"/>
        <v>40.906200982235795</v>
      </c>
      <c r="AS135" s="388" t="str">
        <f t="shared" ca="1" si="99"/>
        <v>-</v>
      </c>
      <c r="AT135" s="388" t="str">
        <f t="shared" ca="1" si="100"/>
        <v>-</v>
      </c>
      <c r="AU135" s="388" t="str">
        <f t="shared" ca="1" si="101"/>
        <v>-</v>
      </c>
      <c r="AV135" s="388" t="str">
        <f t="shared" ca="1" si="102"/>
        <v>-</v>
      </c>
      <c r="AW135" s="382">
        <f>ABn!Z26*SIN(ABn!AB26)</f>
        <v>0.87953571198251157</v>
      </c>
      <c r="AX135" s="382">
        <f>ABn!AA26*SIN(ABn!AC26)</f>
        <v>0.72508252831769704</v>
      </c>
      <c r="AY135" s="382"/>
      <c r="AZ135" s="382"/>
      <c r="BA135" s="388" t="str">
        <f t="shared" ca="1" si="119"/>
        <v>-</v>
      </c>
      <c r="BB135" s="388" t="str">
        <f t="shared" ca="1" si="119"/>
        <v>-</v>
      </c>
      <c r="BC135" s="388" t="str">
        <f t="shared" ca="1" si="119"/>
        <v>-</v>
      </c>
      <c r="BD135" s="388" t="str">
        <f t="shared" ca="1" si="119"/>
        <v>-</v>
      </c>
    </row>
    <row r="136" spans="1:56" ht="15.75" thickBot="1">
      <c r="A136" s="380" t="str">
        <f>IF(ABn!A27=0,A135,ABn!A27)</f>
        <v>SF6</v>
      </c>
      <c r="C136" s="381">
        <f>ABn!L27</f>
        <v>-15.69</v>
      </c>
      <c r="D136" s="381">
        <f>ABn!M27</f>
        <v>-17.3</v>
      </c>
      <c r="E136" t="s">
        <v>133</v>
      </c>
      <c r="F136" t="s">
        <v>133</v>
      </c>
      <c r="G136" s="382" t="str">
        <f ca="1">IFERROR(C136*Changes!$B$1,"-")</f>
        <v>-</v>
      </c>
      <c r="H136" s="382" t="str">
        <f ca="1">IFERROR(D136*Changes!$B$1,"-")</f>
        <v>-</v>
      </c>
      <c r="I136" s="382" t="str">
        <f ca="1">IFERROR(E136*Changes!$B$1,"-")</f>
        <v>-</v>
      </c>
      <c r="J136" s="382" t="str">
        <f ca="1">IFERROR(F136*Changes!$B$1,"-")</f>
        <v>-</v>
      </c>
      <c r="K136" s="383" t="str">
        <f t="shared" ca="1" si="115"/>
        <v>-</v>
      </c>
      <c r="L136" s="383" t="str">
        <f t="shared" ca="1" si="115"/>
        <v>-</v>
      </c>
      <c r="M136" s="383" t="str">
        <f t="shared" ca="1" si="115"/>
        <v>-</v>
      </c>
      <c r="N136" s="383" t="str">
        <f t="shared" ca="1" si="115"/>
        <v>-</v>
      </c>
      <c r="O136" s="384">
        <f>[1]Particles!$B$13</f>
        <v>512373.33725154324</v>
      </c>
      <c r="P136" s="384">
        <f>[1]Particles!$B$5</f>
        <v>3152.8432598003224</v>
      </c>
      <c r="Q136" s="383">
        <f>IFERROR(VLOOKUP("s",[1]md!$A:$E,5,0)*14.3998434/U136*100,"-")</f>
        <v>1334.4525200696371</v>
      </c>
      <c r="R136" s="383">
        <f>IFERROR(VLOOKUP("s",[1]md!$A:$E,5,0)*14.3998434/V136*100,"-")</f>
        <v>1334.458938090746</v>
      </c>
      <c r="S136" s="383">
        <f>IFERROR(VLOOKUP("s",[1]md!$A:$E,5,0)*14.3998434/W136*100,"-")</f>
        <v>1349.98531875</v>
      </c>
      <c r="T136" s="383">
        <f>IFERROR(VLOOKUP("s",[1]md!$A:$E,5,0)*14.3998434/X136*100,"-")</f>
        <v>1349.98531875</v>
      </c>
      <c r="U136" s="386">
        <v>2.427935588769337</v>
      </c>
      <c r="V136" s="386">
        <v>2.4279239117207485</v>
      </c>
      <c r="W136" s="386">
        <v>2.4</v>
      </c>
      <c r="X136" s="386">
        <v>2.4</v>
      </c>
      <c r="Y136" s="382" t="str">
        <f t="shared" ca="1" si="116"/>
        <v>-</v>
      </c>
      <c r="Z136" s="382" t="str">
        <f t="shared" ca="1" si="116"/>
        <v>-</v>
      </c>
      <c r="AA136" s="382" t="str">
        <f t="shared" ca="1" si="116"/>
        <v>-</v>
      </c>
      <c r="AB136" s="382" t="str">
        <f t="shared" ca="1" si="116"/>
        <v>-</v>
      </c>
      <c r="AC136" s="382" t="str">
        <f ca="1">IFERROR(Changes!$B$2*Rotation!C136,"-")</f>
        <v>-</v>
      </c>
      <c r="AD136" s="382" t="str">
        <f ca="1">IFERROR(Changes!$B$2*Rotation!D136,"-")</f>
        <v>-</v>
      </c>
      <c r="AE136" s="382" t="str">
        <f ca="1">IFERROR(Changes!$B$2*Rotation!E136,"-")</f>
        <v>-</v>
      </c>
      <c r="AF136" s="382" t="str">
        <f ca="1">IFERROR(Changes!$B$2*Rotation!F136,"-")</f>
        <v>-</v>
      </c>
      <c r="AG136" s="382" t="e">
        <f ca="1">(AC136+AD136)*ABn!$BC27</f>
        <v>#VALUE!</v>
      </c>
      <c r="AH136" s="382" t="e">
        <f t="shared" ca="1" si="98"/>
        <v>#VALUE!</v>
      </c>
      <c r="AI136" s="382"/>
      <c r="AJ136" s="382"/>
      <c r="AK136" s="382">
        <f t="shared" si="117"/>
        <v>0.47769832305302817</v>
      </c>
      <c r="AL136" s="382">
        <f t="shared" si="117"/>
        <v>0.47770062053298706</v>
      </c>
      <c r="AM136" s="382">
        <f t="shared" si="117"/>
        <v>0.48325864968161619</v>
      </c>
      <c r="AN136" s="382">
        <f t="shared" si="117"/>
        <v>0.48325864968161619</v>
      </c>
      <c r="AO136" s="382">
        <f t="shared" si="118"/>
        <v>39.970290908113412</v>
      </c>
      <c r="AP136" s="382">
        <f t="shared" si="118"/>
        <v>39.970675381571695</v>
      </c>
      <c r="AQ136" s="382">
        <f t="shared" si="118"/>
        <v>40.906200982235795</v>
      </c>
      <c r="AR136" s="382">
        <f t="shared" si="118"/>
        <v>40.906200982235795</v>
      </c>
      <c r="AS136" s="388" t="str">
        <f t="shared" ca="1" si="99"/>
        <v>-</v>
      </c>
      <c r="AT136" s="388" t="str">
        <f t="shared" ca="1" si="100"/>
        <v>-</v>
      </c>
      <c r="AU136" s="388" t="str">
        <f t="shared" ca="1" si="101"/>
        <v>-</v>
      </c>
      <c r="AV136" s="388" t="str">
        <f t="shared" ca="1" si="102"/>
        <v>-</v>
      </c>
      <c r="AW136" s="382">
        <f>ABn!Z27*SIN(ABn!AB27)</f>
        <v>0.85584799586443872</v>
      </c>
      <c r="AX136" s="382">
        <f>ABn!AA27*SIN(ABn!AC27)</f>
        <v>0.71973975394343259</v>
      </c>
      <c r="AY136" s="382"/>
      <c r="AZ136" s="382"/>
      <c r="BA136" s="388" t="str">
        <f t="shared" ca="1" si="119"/>
        <v>-</v>
      </c>
      <c r="BB136" s="388" t="str">
        <f t="shared" ca="1" si="119"/>
        <v>-</v>
      </c>
      <c r="BC136" s="388" t="str">
        <f t="shared" ca="1" si="119"/>
        <v>-</v>
      </c>
      <c r="BD136" s="388" t="str">
        <f t="shared" ca="1" si="119"/>
        <v>-</v>
      </c>
    </row>
    <row r="137" spans="1:56" ht="15.75" thickTop="1">
      <c r="A137" t="str">
        <f>IF(ABBA!A4=0,A136,ABBA!A4)</f>
        <v>HOOH</v>
      </c>
      <c r="C137" s="381">
        <f>ABBA!Q4</f>
        <v>-10.580000000001572</v>
      </c>
      <c r="D137" s="381">
        <f>ABBA!R4</f>
        <v>-13.422072586883299</v>
      </c>
      <c r="E137" s="381">
        <f>ABBA!S4</f>
        <v>-10.986026491216782</v>
      </c>
      <c r="F137" s="381">
        <f>ABBA!T4</f>
        <v>-13.906620472376543</v>
      </c>
      <c r="G137" s="382" t="str">
        <f ca="1">IFERROR(C137*Changes!$B$1,"-")</f>
        <v>-</v>
      </c>
      <c r="H137" s="382" t="str">
        <f ca="1">IFERROR(D137*Changes!$B$1,"-")</f>
        <v>-</v>
      </c>
      <c r="I137" s="382" t="str">
        <f ca="1">IFERROR(E137*Changes!$B$1,"-")</f>
        <v>-</v>
      </c>
      <c r="J137" s="382" t="str">
        <f ca="1">IFERROR(F137*Changes!$B$1,"-")</f>
        <v>-</v>
      </c>
      <c r="K137" s="383" t="str">
        <f t="shared" ca="1" si="103"/>
        <v>-</v>
      </c>
      <c r="L137" s="383" t="str">
        <f t="shared" ca="1" si="104"/>
        <v>-</v>
      </c>
      <c r="M137" s="383" t="str">
        <f t="shared" ca="1" si="105"/>
        <v>-</v>
      </c>
      <c r="N137" s="383" t="str">
        <f t="shared" ca="1" si="106"/>
        <v>-</v>
      </c>
      <c r="O137" s="384">
        <f>[1]Particles!$B$13</f>
        <v>512373.33725154324</v>
      </c>
      <c r="P137" s="384">
        <f>[1]Particles!$B$5</f>
        <v>3152.8432598003224</v>
      </c>
      <c r="Q137" s="383">
        <f>IFERROR(VLOOKUP("s",[1]md!$A:$E,5,0)*14.3998434/U137*100,"-")</f>
        <v>1334.4502023387727</v>
      </c>
      <c r="R137" s="383">
        <f>IFERROR(VLOOKUP("s",[1]md!$A:$E,5,0)*14.3998434/V137*100,"-")</f>
        <v>1334.4576036415338</v>
      </c>
      <c r="S137" s="383">
        <f>IFERROR(VLOOKUP("s",[1]md!$A:$E,5,0)*14.3998434/W137*100,"-")</f>
        <v>1334.4512597097339</v>
      </c>
      <c r="T137" s="383">
        <f>IFERROR(VLOOKUP("s",[1]md!$A:$E,5,0)*14.3998434/X137*100,"-")</f>
        <v>1334.4588654972076</v>
      </c>
      <c r="U137" s="386">
        <v>2.4279398057129451</v>
      </c>
      <c r="V137" s="386">
        <v>2.4279263396293924</v>
      </c>
      <c r="W137" s="386">
        <v>2.4279378819011703</v>
      </c>
      <c r="X137" s="386">
        <v>2.4279240437979461</v>
      </c>
      <c r="Y137" s="382" t="str">
        <f t="shared" ca="1" si="107"/>
        <v>-</v>
      </c>
      <c r="Z137" s="382" t="str">
        <f t="shared" ca="1" si="108"/>
        <v>-</v>
      </c>
      <c r="AA137" s="382" t="str">
        <f t="shared" ca="1" si="109"/>
        <v>-</v>
      </c>
      <c r="AB137" s="382" t="str">
        <f t="shared" ca="1" si="110"/>
        <v>-</v>
      </c>
      <c r="AC137" s="382" t="str">
        <f ca="1">IFERROR(Changes!$B$2*Rotation!C137,"-")</f>
        <v>-</v>
      </c>
      <c r="AD137" s="382" t="str">
        <f ca="1">IFERROR(Changes!$B$2*Rotation!D137,"-")</f>
        <v>-</v>
      </c>
      <c r="AE137" s="382" t="str">
        <f ca="1">IFERROR(Changes!$B$2*Rotation!E137,"-")</f>
        <v>-</v>
      </c>
      <c r="AF137" s="382" t="str">
        <f ca="1">IFERROR(Changes!$B$2*Rotation!F137,"-")</f>
        <v>-</v>
      </c>
      <c r="AG137" s="382" t="e">
        <f ca="1">(AC137+AD137)*ABBA!DD4</f>
        <v>#VALUE!</v>
      </c>
      <c r="AH137" s="382" t="e">
        <f t="shared" ca="1" si="98"/>
        <v>#VALUE!</v>
      </c>
      <c r="AI137" s="382" t="e">
        <f ca="1">(AE137+AF137)*ABBA!DH4</f>
        <v>#VALUE!</v>
      </c>
      <c r="AJ137" s="382" t="e">
        <f t="shared" ref="AJ137:AJ157" ca="1" si="120">AE137+AF137-AI137</f>
        <v>#VALUE!</v>
      </c>
      <c r="AK137" s="382">
        <f t="shared" si="111"/>
        <v>0.47769749336734768</v>
      </c>
      <c r="AL137" s="382">
        <f t="shared" si="112"/>
        <v>0.47770014283584827</v>
      </c>
      <c r="AM137" s="382">
        <f t="shared" si="113"/>
        <v>0.47769787187788104</v>
      </c>
      <c r="AN137" s="382">
        <f t="shared" si="114"/>
        <v>0.47770059454644132</v>
      </c>
      <c r="AO137" s="382">
        <f t="shared" si="59"/>
        <v>39.970152064212925</v>
      </c>
      <c r="AP137" s="382">
        <f t="shared" si="60"/>
        <v>39.97059544084356</v>
      </c>
      <c r="AQ137" s="382">
        <f t="shared" si="61"/>
        <v>39.970215406096777</v>
      </c>
      <c r="AR137" s="382">
        <f t="shared" si="62"/>
        <v>39.970671032823915</v>
      </c>
      <c r="AS137" s="388" t="str">
        <f t="shared" ca="1" si="99"/>
        <v>-</v>
      </c>
      <c r="AT137" s="388" t="str">
        <f t="shared" ca="1" si="100"/>
        <v>-</v>
      </c>
      <c r="AU137" s="388" t="str">
        <f t="shared" ca="1" si="101"/>
        <v>-</v>
      </c>
      <c r="AV137" s="388" t="str">
        <f t="shared" ca="1" si="102"/>
        <v>-</v>
      </c>
      <c r="AW137" s="382">
        <f>ABBA!AP4*SIN(ABBA!AT4)</f>
        <v>0.86398875384161522</v>
      </c>
      <c r="AX137" s="382">
        <f>ABBA!AQ4*SIN(ABBA!AU4)</f>
        <v>0.88871401328773325</v>
      </c>
      <c r="AY137" s="382">
        <f>ABBA!AR4*SIN(ABBA!AW4)</f>
        <v>1.1673139318444723</v>
      </c>
      <c r="AZ137" s="382">
        <f>ABBA!AS4*SIN(ABBA!AX4)</f>
        <v>0.96784691729960537</v>
      </c>
      <c r="BA137" s="388" t="str">
        <f t="shared" ca="1" si="63"/>
        <v>-</v>
      </c>
      <c r="BB137" s="388" t="str">
        <f t="shared" ca="1" si="64"/>
        <v>-</v>
      </c>
      <c r="BC137" s="388" t="str">
        <f t="shared" ca="1" si="65"/>
        <v>-</v>
      </c>
      <c r="BD137" s="388" t="str">
        <f t="shared" ca="1" si="66"/>
        <v>-</v>
      </c>
    </row>
    <row r="138" spans="1:56">
      <c r="A138" t="str">
        <f>IF(ABBA!A5=0,A137,ABBA!A5)</f>
        <v>HOOH</v>
      </c>
      <c r="C138" s="381">
        <f>ABBA!Q5</f>
        <v>-10.580000000011996</v>
      </c>
      <c r="D138" s="381">
        <f>ABBA!R5</f>
        <v>-13.309265670493911</v>
      </c>
      <c r="E138" s="381">
        <f>ABBA!S5</f>
        <v>-10.675436945055765</v>
      </c>
      <c r="F138" s="381">
        <f>ABBA!T5</f>
        <v>-13.936345244545944</v>
      </c>
      <c r="G138" s="382" t="str">
        <f ca="1">IFERROR(C138*Changes!$B$1,"-")</f>
        <v>-</v>
      </c>
      <c r="H138" s="382" t="str">
        <f ca="1">IFERROR(D138*Changes!$B$1,"-")</f>
        <v>-</v>
      </c>
      <c r="I138" s="382" t="str">
        <f ca="1">IFERROR(E138*Changes!$B$1,"-")</f>
        <v>-</v>
      </c>
      <c r="J138" s="382" t="str">
        <f ca="1">IFERROR(F138*Changes!$B$1,"-")</f>
        <v>-</v>
      </c>
      <c r="K138" s="383" t="str">
        <f t="shared" ca="1" si="103"/>
        <v>-</v>
      </c>
      <c r="L138" s="383" t="str">
        <f t="shared" ca="1" si="104"/>
        <v>-</v>
      </c>
      <c r="M138" s="383" t="str">
        <f t="shared" ca="1" si="105"/>
        <v>-</v>
      </c>
      <c r="N138" s="383" t="str">
        <f t="shared" ca="1" si="106"/>
        <v>-</v>
      </c>
      <c r="O138" s="384">
        <f>[1]Particles!$B$13</f>
        <v>512373.33725154324</v>
      </c>
      <c r="P138" s="384">
        <f>[1]Particles!$B$5</f>
        <v>3152.8432598003224</v>
      </c>
      <c r="Q138" s="383">
        <f>IFERROR(VLOOKUP("s",[1]md!$A:$E,5,0)*14.3998434/U138*100,"-")</f>
        <v>1334.4502023387727</v>
      </c>
      <c r="R138" s="383">
        <f>IFERROR(VLOOKUP("s",[1]md!$A:$E,5,0)*14.3998434/V138*100,"-")</f>
        <v>1334.4573098706335</v>
      </c>
      <c r="S138" s="383">
        <f>IFERROR(VLOOKUP("s",[1]md!$A:$E,5,0)*14.3998434/W138*100,"-")</f>
        <v>1334.4504508748983</v>
      </c>
      <c r="T138" s="383">
        <f>IFERROR(VLOOKUP("s",[1]md!$A:$E,5,0)*14.3998434/X138*100,"-")</f>
        <v>1334.4589429062471</v>
      </c>
      <c r="U138" s="386">
        <v>2.4279398057129451</v>
      </c>
      <c r="V138" s="386">
        <v>2.4279268741194069</v>
      </c>
      <c r="W138" s="386">
        <v>2.4279393535187461</v>
      </c>
      <c r="X138" s="386">
        <v>2.427923902959392</v>
      </c>
      <c r="Y138" s="382" t="str">
        <f t="shared" ca="1" si="107"/>
        <v>-</v>
      </c>
      <c r="Z138" s="382" t="str">
        <f t="shared" ca="1" si="108"/>
        <v>-</v>
      </c>
      <c r="AA138" s="382" t="str">
        <f t="shared" ca="1" si="109"/>
        <v>-</v>
      </c>
      <c r="AB138" s="382" t="str">
        <f t="shared" ca="1" si="110"/>
        <v>-</v>
      </c>
      <c r="AC138" s="382" t="str">
        <f ca="1">IFERROR(Changes!$B$2*Rotation!C138,"-")</f>
        <v>-</v>
      </c>
      <c r="AD138" s="382" t="str">
        <f ca="1">IFERROR(Changes!$B$2*Rotation!D138,"-")</f>
        <v>-</v>
      </c>
      <c r="AE138" s="382" t="str">
        <f ca="1">IFERROR(Changes!$B$2*Rotation!E138,"-")</f>
        <v>-</v>
      </c>
      <c r="AF138" s="382" t="str">
        <f ca="1">IFERROR(Changes!$B$2*Rotation!F138,"-")</f>
        <v>-</v>
      </c>
      <c r="AG138" s="382" t="e">
        <f ca="1">(AC138+AD138)*ABBA!DD5</f>
        <v>#VALUE!</v>
      </c>
      <c r="AH138" s="382" t="e">
        <f t="shared" ca="1" si="98"/>
        <v>#VALUE!</v>
      </c>
      <c r="AI138" s="382" t="e">
        <f ca="1">(AE138+AF138)*ABBA!DH5</f>
        <v>#VALUE!</v>
      </c>
      <c r="AJ138" s="382" t="e">
        <f t="shared" ca="1" si="120"/>
        <v>#VALUE!</v>
      </c>
      <c r="AK138" s="382">
        <f t="shared" si="111"/>
        <v>0.47769749336734768</v>
      </c>
      <c r="AL138" s="382">
        <f t="shared" si="112"/>
        <v>0.47770003767372038</v>
      </c>
      <c r="AM138" s="382">
        <f t="shared" si="113"/>
        <v>0.47769758233663562</v>
      </c>
      <c r="AN138" s="382">
        <f t="shared" si="114"/>
        <v>0.47770062225680782</v>
      </c>
      <c r="AO138" s="382">
        <f t="shared" si="59"/>
        <v>39.970152064212925</v>
      </c>
      <c r="AP138" s="382">
        <f t="shared" si="60"/>
        <v>39.970577842387826</v>
      </c>
      <c r="AQ138" s="382">
        <f t="shared" si="61"/>
        <v>39.970166952782989</v>
      </c>
      <c r="AR138" s="382">
        <f t="shared" si="62"/>
        <v>39.970675670046433</v>
      </c>
      <c r="AS138" s="388" t="str">
        <f t="shared" ca="1" si="99"/>
        <v>-</v>
      </c>
      <c r="AT138" s="388" t="str">
        <f t="shared" ca="1" si="100"/>
        <v>-</v>
      </c>
      <c r="AU138" s="388" t="str">
        <f t="shared" ca="1" si="101"/>
        <v>-</v>
      </c>
      <c r="AV138" s="388" t="str">
        <f t="shared" ca="1" si="102"/>
        <v>-</v>
      </c>
      <c r="AW138" s="382">
        <f>ABBA!AP5*SIN(ABBA!AT5)</f>
        <v>0.92375375028219964</v>
      </c>
      <c r="AX138" s="382">
        <f>ABBA!AQ5*SIN(ABBA!AU5)</f>
        <v>0.90697373767556289</v>
      </c>
      <c r="AY138" s="382">
        <f>ABBA!AR5*SIN(ABBA!AW5)</f>
        <v>1.1921532538915867</v>
      </c>
      <c r="AZ138" s="382">
        <f>ABBA!AS5*SIN(ABBA!AX5)</f>
        <v>0.96574805178506828</v>
      </c>
      <c r="BA138" s="388" t="str">
        <f t="shared" ca="1" si="63"/>
        <v>-</v>
      </c>
      <c r="BB138" s="388" t="str">
        <f t="shared" ca="1" si="64"/>
        <v>-</v>
      </c>
      <c r="BC138" s="388" t="str">
        <f t="shared" ca="1" si="65"/>
        <v>-</v>
      </c>
      <c r="BD138" s="388" t="str">
        <f t="shared" ca="1" si="66"/>
        <v>-</v>
      </c>
    </row>
    <row r="139" spans="1:56">
      <c r="A139" t="str">
        <f>IF(ABBA!A6=0,A138,ABBA!A6)</f>
        <v>HSSH</v>
      </c>
      <c r="C139" s="381">
        <f>ABBA!Q6</f>
        <v>-9.4184475261974008</v>
      </c>
      <c r="D139" s="381">
        <f>ABBA!R6</f>
        <v>-9.9843374762830166</v>
      </c>
      <c r="E139" s="381">
        <f>ABBA!S6</f>
        <v>-9.31777871289448</v>
      </c>
      <c r="F139" s="381">
        <f>ABBA!T6</f>
        <v>-9.3000000000008143</v>
      </c>
      <c r="G139" s="382" t="str">
        <f ca="1">IFERROR(C139*Changes!$B$1,"-")</f>
        <v>-</v>
      </c>
      <c r="H139" s="382" t="str">
        <f ca="1">IFERROR(D139*Changes!$B$1,"-")</f>
        <v>-</v>
      </c>
      <c r="I139" s="382" t="str">
        <f ca="1">IFERROR(E139*Changes!$B$1,"-")</f>
        <v>-</v>
      </c>
      <c r="J139" s="382" t="str">
        <f ca="1">IFERROR(F139*Changes!$B$1,"-")</f>
        <v>-</v>
      </c>
      <c r="K139" s="383" t="str">
        <f t="shared" ca="1" si="103"/>
        <v>-</v>
      </c>
      <c r="L139" s="383" t="str">
        <f t="shared" ca="1" si="104"/>
        <v>-</v>
      </c>
      <c r="M139" s="383" t="str">
        <f t="shared" ca="1" si="105"/>
        <v>-</v>
      </c>
      <c r="N139" s="383" t="str">
        <f t="shared" ca="1" si="106"/>
        <v>-</v>
      </c>
      <c r="O139" s="384">
        <f>[1]Particles!$B$13</f>
        <v>512373.33725154324</v>
      </c>
      <c r="P139" s="384">
        <f>[1]Particles!$B$5</f>
        <v>3152.8432598003224</v>
      </c>
      <c r="Q139" s="383">
        <f>IFERROR(VLOOKUP("s",[1]md!$A:$E,5,0)*14.3998434/U139*100,"-")</f>
        <v>1334.4471774331309</v>
      </c>
      <c r="R139" s="383">
        <f>IFERROR(VLOOKUP("s",[1]md!$A:$E,5,0)*14.3998434/V139*100,"-")</f>
        <v>1334.4486511192251</v>
      </c>
      <c r="S139" s="383">
        <f>IFERROR(VLOOKUP("s",[1]md!$A:$E,5,0)*14.3998434/W139*100,"-")</f>
        <v>1334.4469152721842</v>
      </c>
      <c r="T139" s="383">
        <f>IFERROR(VLOOKUP("s",[1]md!$A:$E,5,0)*14.3998434/X139*100,"-")</f>
        <v>1334.4468689730259</v>
      </c>
      <c r="U139" s="386">
        <v>2.427945309331927</v>
      </c>
      <c r="V139" s="386">
        <v>2.4279426280528558</v>
      </c>
      <c r="W139" s="386">
        <v>2.4279457863178853</v>
      </c>
      <c r="X139" s="386">
        <v>2.4279458705564183</v>
      </c>
      <c r="Y139" s="382" t="str">
        <f t="shared" ca="1" si="107"/>
        <v>-</v>
      </c>
      <c r="Z139" s="382" t="str">
        <f t="shared" ca="1" si="108"/>
        <v>-</v>
      </c>
      <c r="AA139" s="382" t="str">
        <f t="shared" ca="1" si="109"/>
        <v>-</v>
      </c>
      <c r="AB139" s="382" t="str">
        <f t="shared" ca="1" si="110"/>
        <v>-</v>
      </c>
      <c r="AC139" s="382" t="str">
        <f ca="1">IFERROR(Changes!$B$2*Rotation!C139,"-")</f>
        <v>-</v>
      </c>
      <c r="AD139" s="382" t="str">
        <f ca="1">IFERROR(Changes!$B$2*Rotation!D139,"-")</f>
        <v>-</v>
      </c>
      <c r="AE139" s="382" t="str">
        <f ca="1">IFERROR(Changes!$B$2*Rotation!E139,"-")</f>
        <v>-</v>
      </c>
      <c r="AF139" s="382" t="str">
        <f ca="1">IFERROR(Changes!$B$2*Rotation!F139,"-")</f>
        <v>-</v>
      </c>
      <c r="AG139" s="382" t="e">
        <f ca="1">(AC139+AD139)*ABBA!DD6</f>
        <v>#VALUE!</v>
      </c>
      <c r="AH139" s="382" t="e">
        <f t="shared" ca="1" si="98"/>
        <v>#VALUE!</v>
      </c>
      <c r="AI139" s="382" t="e">
        <f ca="1">(AE139+AF139)*ABBA!DH6</f>
        <v>#VALUE!</v>
      </c>
      <c r="AJ139" s="382" t="e">
        <f t="shared" ca="1" si="120"/>
        <v>#VALUE!</v>
      </c>
      <c r="AK139" s="382">
        <f t="shared" si="111"/>
        <v>0.47769641053200451</v>
      </c>
      <c r="AL139" s="382">
        <f t="shared" si="112"/>
        <v>0.47769693807222446</v>
      </c>
      <c r="AM139" s="382">
        <f t="shared" si="113"/>
        <v>0.47769631668539503</v>
      </c>
      <c r="AN139" s="382">
        <f t="shared" si="114"/>
        <v>0.47769630011153424</v>
      </c>
      <c r="AO139" s="382">
        <f t="shared" si="59"/>
        <v>39.969970857299039</v>
      </c>
      <c r="AP139" s="382">
        <f t="shared" si="60"/>
        <v>39.970059138384663</v>
      </c>
      <c r="AQ139" s="382">
        <f t="shared" si="61"/>
        <v>39.969955152571956</v>
      </c>
      <c r="AR139" s="382">
        <f t="shared" si="62"/>
        <v>39.969952379025514</v>
      </c>
      <c r="AS139" s="388" t="str">
        <f t="shared" ca="1" si="99"/>
        <v>-</v>
      </c>
      <c r="AT139" s="388" t="str">
        <f t="shared" ca="1" si="100"/>
        <v>-</v>
      </c>
      <c r="AU139" s="388" t="str">
        <f t="shared" ca="1" si="101"/>
        <v>-</v>
      </c>
      <c r="AV139" s="388" t="str">
        <f t="shared" ca="1" si="102"/>
        <v>-</v>
      </c>
      <c r="AW139" s="382">
        <f>ABBA!AP6*SIN(ABBA!AT6)</f>
        <v>1.048306249548747</v>
      </c>
      <c r="AX139" s="382">
        <f>ABBA!AQ6*SIN(ABBA!AU6)</f>
        <v>1.2111673035737123</v>
      </c>
      <c r="AY139" s="382">
        <f>ABBA!AR6*SIN(ABBA!AW6)</f>
        <v>1.3995429119539915</v>
      </c>
      <c r="AZ139" s="382">
        <f>ABBA!AS6*SIN(ABBA!AX6)</f>
        <v>1.387341122692713</v>
      </c>
      <c r="BA139" s="388" t="str">
        <f t="shared" ca="1" si="63"/>
        <v>-</v>
      </c>
      <c r="BB139" s="388" t="str">
        <f t="shared" ca="1" si="64"/>
        <v>-</v>
      </c>
      <c r="BC139" s="388" t="str">
        <f t="shared" ca="1" si="65"/>
        <v>-</v>
      </c>
      <c r="BD139" s="388" t="str">
        <f t="shared" ca="1" si="66"/>
        <v>-</v>
      </c>
    </row>
    <row r="140" spans="1:56">
      <c r="A140" t="str">
        <f>IF(ABBA!A7=0,A139,ABBA!A7)</f>
        <v>HCCH</v>
      </c>
      <c r="C140" s="381">
        <f>ABBA!Q7</f>
        <v>-11.409999993089532</v>
      </c>
      <c r="D140" s="381">
        <f>ABBA!R7</f>
        <v>-16.269999999983451</v>
      </c>
      <c r="E140" s="381">
        <f>ABBA!S7</f>
        <v>-19.087438016530136</v>
      </c>
      <c r="F140" s="381">
        <f>ABBA!T7</f>
        <v>-18.330000004590765</v>
      </c>
      <c r="G140" s="382" t="str">
        <f ca="1">IFERROR(C140*Changes!$B$1,"-")</f>
        <v>-</v>
      </c>
      <c r="H140" s="382" t="str">
        <f ca="1">IFERROR(D140*Changes!$B$1,"-")</f>
        <v>-</v>
      </c>
      <c r="I140" s="382" t="str">
        <f ca="1">IFERROR(E140*Changes!$B$1,"-")</f>
        <v>-</v>
      </c>
      <c r="J140" s="382" t="str">
        <f ca="1">IFERROR(F140*Changes!$B$1,"-")</f>
        <v>-</v>
      </c>
      <c r="K140" s="383" t="str">
        <f t="shared" ca="1" si="103"/>
        <v>-</v>
      </c>
      <c r="L140" s="383" t="str">
        <f t="shared" ca="1" si="104"/>
        <v>-</v>
      </c>
      <c r="M140" s="383" t="str">
        <f t="shared" ca="1" si="105"/>
        <v>-</v>
      </c>
      <c r="N140" s="383" t="str">
        <f t="shared" ca="1" si="106"/>
        <v>-</v>
      </c>
      <c r="O140" s="384">
        <f>[1]Particles!$B$13</f>
        <v>512373.33725154324</v>
      </c>
      <c r="P140" s="384">
        <f>[1]Particles!$B$5</f>
        <v>3152.8432598003224</v>
      </c>
      <c r="Q140" s="383">
        <f>IFERROR(VLOOKUP("s",[1]md!$A:$E,5,0)*14.3998434/U140*100,"-")</f>
        <v>1334.452363818129</v>
      </c>
      <c r="R140" s="383">
        <f>IFERROR(VLOOKUP("s",[1]md!$A:$E,5,0)*14.3998434/V140*100,"-")</f>
        <v>1334.4650201913555</v>
      </c>
      <c r="S140" s="383">
        <f>IFERROR(VLOOKUP("s",[1]md!$A:$E,5,0)*14.3998434/W140*100,"-")</f>
        <v>1334.4723573409299</v>
      </c>
      <c r="T140" s="383">
        <f>IFERROR(VLOOKUP("s",[1]md!$A:$E,5,0)*14.3998434/X140*100,"-")</f>
        <v>1334.4703848268882</v>
      </c>
      <c r="U140" s="386">
        <v>2.4279358730571898</v>
      </c>
      <c r="V140" s="386">
        <v>2.4279128459548573</v>
      </c>
      <c r="W140" s="386">
        <v>2.4278994968887591</v>
      </c>
      <c r="X140" s="386">
        <v>2.4279030856277104</v>
      </c>
      <c r="Y140" s="382" t="str">
        <f t="shared" ca="1" si="107"/>
        <v>-</v>
      </c>
      <c r="Z140" s="382" t="str">
        <f t="shared" ca="1" si="108"/>
        <v>-</v>
      </c>
      <c r="AA140" s="382" t="str">
        <f t="shared" ca="1" si="109"/>
        <v>-</v>
      </c>
      <c r="AB140" s="382" t="str">
        <f t="shared" ca="1" si="110"/>
        <v>-</v>
      </c>
      <c r="AC140" s="382" t="str">
        <f ca="1">IFERROR(Changes!$B$2*Rotation!C140,"-")</f>
        <v>-</v>
      </c>
      <c r="AD140" s="382" t="str">
        <f ca="1">IFERROR(Changes!$B$2*Rotation!D140,"-")</f>
        <v>-</v>
      </c>
      <c r="AE140" s="382" t="str">
        <f ca="1">IFERROR(Changes!$B$2*Rotation!E140,"-")</f>
        <v>-</v>
      </c>
      <c r="AF140" s="382" t="str">
        <f ca="1">IFERROR(Changes!$B$2*Rotation!F140,"-")</f>
        <v>-</v>
      </c>
      <c r="AG140" s="382" t="e">
        <f ca="1">(AC140+AD140)*ABBA!DD7</f>
        <v>#VALUE!</v>
      </c>
      <c r="AH140" s="382" t="e">
        <f t="shared" ca="1" si="98"/>
        <v>#VALUE!</v>
      </c>
      <c r="AI140" s="382" t="e">
        <f ca="1">(AE140+AF140)*ABBA!DH7</f>
        <v>#VALUE!</v>
      </c>
      <c r="AJ140" s="382" t="e">
        <f t="shared" ca="1" si="120"/>
        <v>#VALUE!</v>
      </c>
      <c r="AK140" s="382">
        <f t="shared" si="111"/>
        <v>0.47769826711916596</v>
      </c>
      <c r="AL140" s="382">
        <f t="shared" si="112"/>
        <v>0.47770279776238878</v>
      </c>
      <c r="AM140" s="382">
        <f t="shared" si="113"/>
        <v>0.47770542426576373</v>
      </c>
      <c r="AN140" s="382">
        <f t="shared" si="114"/>
        <v>0.47770471815847571</v>
      </c>
      <c r="AO140" s="382">
        <f t="shared" si="59"/>
        <v>39.97028154784352</v>
      </c>
      <c r="AP140" s="382">
        <f t="shared" si="60"/>
        <v>39.971039733319316</v>
      </c>
      <c r="AQ140" s="382">
        <f t="shared" si="61"/>
        <v>39.971479271709569</v>
      </c>
      <c r="AR140" s="382">
        <f t="shared" si="62"/>
        <v>39.971361106285713</v>
      </c>
      <c r="AS140" s="388" t="str">
        <f t="shared" ca="1" si="99"/>
        <v>-</v>
      </c>
      <c r="AT140" s="388" t="str">
        <f t="shared" ca="1" si="100"/>
        <v>-</v>
      </c>
      <c r="AU140" s="388" t="str">
        <f t="shared" ca="1" si="101"/>
        <v>-</v>
      </c>
      <c r="AV140" s="388" t="str">
        <f t="shared" ca="1" si="102"/>
        <v>-</v>
      </c>
      <c r="AW140" s="382">
        <f>ABBA!AP7*SIN(ABBA!AT7)</f>
        <v>1.0158707517850201</v>
      </c>
      <c r="AX140" s="382">
        <f>ABBA!AQ7*SIN(ABBA!AU7)</f>
        <v>0.80455262242348424</v>
      </c>
      <c r="AY140" s="382">
        <f>ABBA!AR7*SIN(ABBA!AW7)</f>
        <v>0.7161582528515027</v>
      </c>
      <c r="AZ140" s="382">
        <f>ABBA!AS7*SIN(ABBA!AX7)</f>
        <v>0.74201260662942403</v>
      </c>
      <c r="BA140" s="388" t="str">
        <f t="shared" ca="1" si="63"/>
        <v>-</v>
      </c>
      <c r="BB140" s="388" t="str">
        <f t="shared" ca="1" si="64"/>
        <v>-</v>
      </c>
      <c r="BC140" s="388" t="str">
        <f t="shared" ca="1" si="65"/>
        <v>-</v>
      </c>
      <c r="BD140" s="388" t="str">
        <f t="shared" ca="1" si="66"/>
        <v>-</v>
      </c>
    </row>
    <row r="141" spans="1:56">
      <c r="A141" t="str">
        <f>IF(ABBA!A8=0,A140,ABBA!A8)</f>
        <v>HCCH</v>
      </c>
      <c r="C141" s="381">
        <f>ABBA!Q8</f>
        <v>-11.410000000000007</v>
      </c>
      <c r="D141" s="381">
        <f>ABBA!R8</f>
        <v>-16.270000000000007</v>
      </c>
      <c r="E141" s="381">
        <f>ABBA!S8</f>
        <v>-19.087438016528921</v>
      </c>
      <c r="F141" s="381">
        <f>ABBA!T8</f>
        <v>-18.330000000000005</v>
      </c>
      <c r="G141" s="382" t="str">
        <f ca="1">IFERROR(C141*Changes!$B$1,"-")</f>
        <v>-</v>
      </c>
      <c r="H141" s="382" t="str">
        <f ca="1">IFERROR(D141*Changes!$B$1,"-")</f>
        <v>-</v>
      </c>
      <c r="I141" s="382" t="str">
        <f ca="1">IFERROR(E141*Changes!$B$1,"-")</f>
        <v>-</v>
      </c>
      <c r="J141" s="382" t="str">
        <f ca="1">IFERROR(F141*Changes!$B$1,"-")</f>
        <v>-</v>
      </c>
      <c r="K141" s="383" t="str">
        <f t="shared" ca="1" si="103"/>
        <v>-</v>
      </c>
      <c r="L141" s="383" t="str">
        <f t="shared" ca="1" si="104"/>
        <v>-</v>
      </c>
      <c r="M141" s="383" t="str">
        <f t="shared" ca="1" si="105"/>
        <v>-</v>
      </c>
      <c r="N141" s="383" t="str">
        <f t="shared" ca="1" si="106"/>
        <v>-</v>
      </c>
      <c r="O141" s="384">
        <f>[1]Particles!$B$13</f>
        <v>512373.33725154324</v>
      </c>
      <c r="P141" s="384">
        <f>[1]Particles!$B$5</f>
        <v>3152.8432598003224</v>
      </c>
      <c r="Q141" s="383">
        <f>IFERROR(VLOOKUP("s",[1]md!$A:$E,5,0)*14.3998434/U141*100,"-")</f>
        <v>1334.452363818129</v>
      </c>
      <c r="R141" s="383">
        <f>IFERROR(VLOOKUP("s",[1]md!$A:$E,5,0)*14.3998434/V141*100,"-")</f>
        <v>1334.4650201913555</v>
      </c>
      <c r="S141" s="383">
        <f>IFERROR(VLOOKUP("s",[1]md!$A:$E,5,0)*14.3998434/W141*100,"-")</f>
        <v>1334.4723573409299</v>
      </c>
      <c r="T141" s="383">
        <f>IFERROR(VLOOKUP("s",[1]md!$A:$E,5,0)*14.3998434/X141*100,"-")</f>
        <v>1334.4703848268882</v>
      </c>
      <c r="U141" s="386">
        <v>2.4279358730571898</v>
      </c>
      <c r="V141" s="386">
        <v>2.4279128459548573</v>
      </c>
      <c r="W141" s="386">
        <v>2.4278994968887591</v>
      </c>
      <c r="X141" s="386">
        <v>2.4279030856277104</v>
      </c>
      <c r="Y141" s="382" t="str">
        <f t="shared" ca="1" si="107"/>
        <v>-</v>
      </c>
      <c r="Z141" s="382" t="str">
        <f t="shared" ca="1" si="108"/>
        <v>-</v>
      </c>
      <c r="AA141" s="382" t="str">
        <f t="shared" ca="1" si="109"/>
        <v>-</v>
      </c>
      <c r="AB141" s="382" t="str">
        <f t="shared" ca="1" si="110"/>
        <v>-</v>
      </c>
      <c r="AC141" s="382" t="str">
        <f ca="1">IFERROR(Changes!$B$2*Rotation!C141,"-")</f>
        <v>-</v>
      </c>
      <c r="AD141" s="382" t="str">
        <f ca="1">IFERROR(Changes!$B$2*Rotation!D141,"-")</f>
        <v>-</v>
      </c>
      <c r="AE141" s="382" t="str">
        <f ca="1">IFERROR(Changes!$B$2*Rotation!E141,"-")</f>
        <v>-</v>
      </c>
      <c r="AF141" s="382" t="str">
        <f ca="1">IFERROR(Changes!$B$2*Rotation!F141,"-")</f>
        <v>-</v>
      </c>
      <c r="AG141" s="382" t="e">
        <f ca="1">(AC141+AD141)*ABBA!DD8</f>
        <v>#VALUE!</v>
      </c>
      <c r="AH141" s="382" t="e">
        <f t="shared" ca="1" si="98"/>
        <v>#VALUE!</v>
      </c>
      <c r="AI141" s="382" t="e">
        <f ca="1">(AE141+AF141)*ABBA!DH8</f>
        <v>#VALUE!</v>
      </c>
      <c r="AJ141" s="382" t="e">
        <f t="shared" ca="1" si="120"/>
        <v>#VALUE!</v>
      </c>
      <c r="AK141" s="382">
        <f t="shared" si="111"/>
        <v>0.47769826711916596</v>
      </c>
      <c r="AL141" s="382">
        <f t="shared" si="112"/>
        <v>0.47770279776238878</v>
      </c>
      <c r="AM141" s="382">
        <f t="shared" si="113"/>
        <v>0.47770542426576373</v>
      </c>
      <c r="AN141" s="382">
        <f t="shared" si="114"/>
        <v>0.47770471815847571</v>
      </c>
      <c r="AO141" s="382">
        <f t="shared" si="59"/>
        <v>39.97028154784352</v>
      </c>
      <c r="AP141" s="382">
        <f t="shared" si="60"/>
        <v>39.971039733319316</v>
      </c>
      <c r="AQ141" s="382">
        <f t="shared" si="61"/>
        <v>39.971479271709569</v>
      </c>
      <c r="AR141" s="382">
        <f t="shared" si="62"/>
        <v>39.971361106285713</v>
      </c>
      <c r="AS141" s="388" t="str">
        <f t="shared" ca="1" si="99"/>
        <v>-</v>
      </c>
      <c r="AT141" s="388" t="str">
        <f t="shared" ca="1" si="100"/>
        <v>-</v>
      </c>
      <c r="AU141" s="388" t="str">
        <f t="shared" ca="1" si="101"/>
        <v>-</v>
      </c>
      <c r="AV141" s="388" t="str">
        <f t="shared" ca="1" si="102"/>
        <v>-</v>
      </c>
      <c r="AW141" s="382">
        <f>ABBA!AP8*SIN(ABBA!AT8)</f>
        <v>1.0191064513576564</v>
      </c>
      <c r="AX141" s="382">
        <f>ABBA!AQ8*SIN(ABBA!AU8)</f>
        <v>0.80444677802939579</v>
      </c>
      <c r="AY141" s="382">
        <f>ABBA!AR8*SIN(ABBA!AW8)</f>
        <v>0.71627354269708299</v>
      </c>
      <c r="AZ141" s="382">
        <f>ABBA!AS8*SIN(ABBA!AX8)</f>
        <v>0.74253902900405366</v>
      </c>
      <c r="BA141" s="388" t="str">
        <f t="shared" ca="1" si="63"/>
        <v>-</v>
      </c>
      <c r="BB141" s="388" t="str">
        <f t="shared" ca="1" si="64"/>
        <v>-</v>
      </c>
      <c r="BC141" s="388" t="str">
        <f t="shared" ca="1" si="65"/>
        <v>-</v>
      </c>
      <c r="BD141" s="388" t="str">
        <f t="shared" ca="1" si="66"/>
        <v>-</v>
      </c>
    </row>
    <row r="142" spans="1:56">
      <c r="A142" t="str">
        <f>IF(ABBA!A9=0,A141,ABBA!A9)</f>
        <v>ClSSCl</v>
      </c>
      <c r="C142" s="381">
        <f>ABBA!Q9</f>
        <v>-12.600000000000112</v>
      </c>
      <c r="D142" s="381">
        <f>ABBA!R9</f>
        <v>-12.099999999995362</v>
      </c>
      <c r="E142" s="381">
        <f>ABBA!S9</f>
        <v>-9.6599999999901911</v>
      </c>
      <c r="F142" s="381">
        <f>ABBA!T9</f>
        <v>-11.300000000000068</v>
      </c>
      <c r="G142" s="382" t="str">
        <f ca="1">IFERROR(C142*Changes!$B$1,"-")</f>
        <v>-</v>
      </c>
      <c r="H142" s="382" t="str">
        <f ca="1">IFERROR(D142*Changes!$B$1,"-")</f>
        <v>-</v>
      </c>
      <c r="I142" s="382" t="str">
        <f ca="1">IFERROR(E142*Changes!$B$1,"-")</f>
        <v>-</v>
      </c>
      <c r="J142" s="382" t="str">
        <f ca="1">IFERROR(F142*Changes!$B$1,"-")</f>
        <v>-</v>
      </c>
      <c r="K142" s="383" t="str">
        <f t="shared" ca="1" si="103"/>
        <v>-</v>
      </c>
      <c r="L142" s="383" t="str">
        <f t="shared" ca="1" si="104"/>
        <v>-</v>
      </c>
      <c r="M142" s="383" t="str">
        <f t="shared" ca="1" si="105"/>
        <v>-</v>
      </c>
      <c r="N142" s="383" t="str">
        <f t="shared" ca="1" si="106"/>
        <v>-</v>
      </c>
      <c r="O142" s="384">
        <f>[1]Particles!$B$13</f>
        <v>512373.33725154324</v>
      </c>
      <c r="P142" s="384">
        <f>[1]Particles!$B$5</f>
        <v>3152.8432598003224</v>
      </c>
      <c r="Q142" s="383">
        <f>IFERROR(VLOOKUP("s",[1]md!$A:$E,5,0)*14.3998434/U142*100,"-")</f>
        <v>1334.4554628066367</v>
      </c>
      <c r="R142" s="383">
        <f>IFERROR(VLOOKUP("s",[1]md!$A:$E,5,0)*14.3998434/V142*100,"-")</f>
        <v>1334.4541607106419</v>
      </c>
      <c r="S142" s="383">
        <f>IFERROR(VLOOKUP("s",[1]md!$A:$E,5,0)*14.3998434/W142*100,"-")</f>
        <v>1334.4478064821678</v>
      </c>
      <c r="T142" s="383">
        <f>IFERROR(VLOOKUP("s",[1]md!$A:$E,5,0)*14.3998434/X142*100,"-")</f>
        <v>1334.4520773570525</v>
      </c>
      <c r="U142" s="386">
        <v>2.4279302346933944</v>
      </c>
      <c r="V142" s="386">
        <v>2.4279326037505919</v>
      </c>
      <c r="W142" s="386">
        <v>2.4279441648160822</v>
      </c>
      <c r="X142" s="386">
        <v>2.4279363942517205</v>
      </c>
      <c r="Y142" s="382" t="str">
        <f t="shared" ca="1" si="107"/>
        <v>-</v>
      </c>
      <c r="Z142" s="382" t="str">
        <f t="shared" ca="1" si="108"/>
        <v>-</v>
      </c>
      <c r="AA142" s="382" t="str">
        <f t="shared" ca="1" si="109"/>
        <v>-</v>
      </c>
      <c r="AB142" s="382" t="str">
        <f t="shared" ca="1" si="110"/>
        <v>-</v>
      </c>
      <c r="AC142" s="382" t="str">
        <f ca="1">IFERROR(Changes!$B$2*Rotation!C142,"-")</f>
        <v>-</v>
      </c>
      <c r="AD142" s="382" t="str">
        <f ca="1">IFERROR(Changes!$B$2*Rotation!D142,"-")</f>
        <v>-</v>
      </c>
      <c r="AE142" s="382" t="str">
        <f ca="1">IFERROR(Changes!$B$2*Rotation!E142,"-")</f>
        <v>-</v>
      </c>
      <c r="AF142" s="382" t="str">
        <f ca="1">IFERROR(Changes!$B$2*Rotation!F142,"-")</f>
        <v>-</v>
      </c>
      <c r="AG142" s="382" t="e">
        <f ca="1">(AC142+AD142)*ABBA!DD9</f>
        <v>#VALUE!</v>
      </c>
      <c r="AH142" s="382" t="e">
        <f t="shared" ca="1" si="98"/>
        <v>#VALUE!</v>
      </c>
      <c r="AI142" s="382" t="e">
        <f ca="1">(AE142+AF142)*ABBA!DH9</f>
        <v>#VALUE!</v>
      </c>
      <c r="AJ142" s="382" t="e">
        <f t="shared" ca="1" si="120"/>
        <v>#VALUE!</v>
      </c>
      <c r="AK142" s="382">
        <f t="shared" si="111"/>
        <v>0.47769937647419447</v>
      </c>
      <c r="AL142" s="382">
        <f t="shared" si="112"/>
        <v>0.47769891035864231</v>
      </c>
      <c r="AM142" s="382">
        <f t="shared" si="113"/>
        <v>0.47769663571474102</v>
      </c>
      <c r="AN142" s="382">
        <f t="shared" si="114"/>
        <v>0.47769816457375969</v>
      </c>
      <c r="AO142" s="382">
        <f t="shared" ref="AO142:AO157" si="121">IFERROR(0.5*$P142*AK142^2/9,"-")</f>
        <v>39.970467193416738</v>
      </c>
      <c r="AP142" s="382">
        <f t="shared" ref="AP142:AP157" si="122">IFERROR(0.5*$P142*AL142^2/9,"-")</f>
        <v>39.970389191023543</v>
      </c>
      <c r="AQ142" s="382">
        <f t="shared" ref="AQ142:AQ157" si="123">IFERROR(0.5*$P142*AM142^2/9,"-")</f>
        <v>39.9700085404356</v>
      </c>
      <c r="AR142" s="382">
        <f t="shared" ref="AR142:AR157" si="124">IFERROR(0.5*$P142*AN142^2/9,"-")</f>
        <v>39.970264387352884</v>
      </c>
      <c r="AS142" s="388" t="str">
        <f t="shared" ca="1" si="99"/>
        <v>-</v>
      </c>
      <c r="AT142" s="388" t="str">
        <f t="shared" ca="1" si="100"/>
        <v>-</v>
      </c>
      <c r="AU142" s="388" t="str">
        <f t="shared" ca="1" si="101"/>
        <v>-</v>
      </c>
      <c r="AV142" s="388" t="str">
        <f t="shared" ca="1" si="102"/>
        <v>-</v>
      </c>
      <c r="AW142" s="382">
        <f>ABBA!AP9*SIN(ABBA!AT9)</f>
        <v>1.085904423095049</v>
      </c>
      <c r="AX142" s="382">
        <f>ABBA!AQ9*SIN(ABBA!AU9)</f>
        <v>1.1351379937016473</v>
      </c>
      <c r="AY142" s="382">
        <f>ABBA!AR9*SIN(ABBA!AW9)</f>
        <v>1.3166507169597594</v>
      </c>
      <c r="AZ142" s="382">
        <f>ABBA!AS9*SIN(ABBA!AX9)</f>
        <v>1.1535625683171433</v>
      </c>
      <c r="BA142" s="388" t="str">
        <f t="shared" ref="BA142:BA157" ca="1" si="125">IFERROR(AS142/AW142,"-")</f>
        <v>-</v>
      </c>
      <c r="BB142" s="388" t="str">
        <f t="shared" ref="BB142:BB157" ca="1" si="126">IFERROR(AT142/AX142,"-")</f>
        <v>-</v>
      </c>
      <c r="BC142" s="388" t="str">
        <f t="shared" ref="BC142:BC157" ca="1" si="127">IFERROR(AU142/AY142,"-")</f>
        <v>-</v>
      </c>
      <c r="BD142" s="388" t="str">
        <f t="shared" ref="BD142:BD157" ca="1" si="128">IFERROR(AV142/AZ142,"-")</f>
        <v>-</v>
      </c>
    </row>
    <row r="143" spans="1:56">
      <c r="A143" t="str">
        <f>IF(ABBA!A10=0,A142,ABBA!A10)</f>
        <v>FSSF</v>
      </c>
      <c r="C143" s="381">
        <f>ABBA!Q10</f>
        <v>-12.329296549405202</v>
      </c>
      <c r="D143" s="381">
        <f>ABBA!R10</f>
        <v>-10.620000000005513</v>
      </c>
      <c r="E143" s="381">
        <f>ABBA!S10</f>
        <v>-12.651986584908485</v>
      </c>
      <c r="F143" s="381">
        <f>ABBA!T10</f>
        <v>-10.764057477333399</v>
      </c>
      <c r="G143" s="382" t="str">
        <f ca="1">IFERROR(C143*Changes!$B$1,"-")</f>
        <v>-</v>
      </c>
      <c r="H143" s="382" t="str">
        <f ca="1">IFERROR(D143*Changes!$B$1,"-")</f>
        <v>-</v>
      </c>
      <c r="I143" s="382" t="str">
        <f ca="1">IFERROR(E143*Changes!$B$1,"-")</f>
        <v>-</v>
      </c>
      <c r="J143" s="382" t="str">
        <f ca="1">IFERROR(F143*Changes!$B$1,"-")</f>
        <v>-</v>
      </c>
      <c r="K143" s="383" t="str">
        <f t="shared" ca="1" si="103"/>
        <v>-</v>
      </c>
      <c r="L143" s="383" t="str">
        <f t="shared" ca="1" si="104"/>
        <v>-</v>
      </c>
      <c r="M143" s="383" t="str">
        <f t="shared" ca="1" si="105"/>
        <v>-</v>
      </c>
      <c r="N143" s="383" t="str">
        <f t="shared" ca="1" si="106"/>
        <v>-</v>
      </c>
      <c r="O143" s="384">
        <f>[1]Particles!$B$13</f>
        <v>512373.33725154324</v>
      </c>
      <c r="P143" s="384">
        <f>[1]Particles!$B$5</f>
        <v>3152.8432598003224</v>
      </c>
      <c r="Q143" s="383">
        <f>IFERROR(VLOOKUP("s",[1]md!$A:$E,5,0)*14.3998434/U143*100,"-")</f>
        <v>1334.4547578429124</v>
      </c>
      <c r="R143" s="383">
        <f>IFERROR(VLOOKUP("s",[1]md!$A:$E,5,0)*14.3998434/V143*100,"-")</f>
        <v>1334.4503065064816</v>
      </c>
      <c r="S143" s="383">
        <f>IFERROR(VLOOKUP("s",[1]md!$A:$E,5,0)*14.3998434/W143*100,"-")</f>
        <v>1334.4555981896642</v>
      </c>
      <c r="T143" s="383">
        <f>IFERROR(VLOOKUP("s",[1]md!$A:$E,5,0)*14.3998434/X143*100,"-")</f>
        <v>1334.4506816598009</v>
      </c>
      <c r="U143" s="386">
        <v>2.4279315173166762</v>
      </c>
      <c r="V143" s="386">
        <v>2.4279396161870213</v>
      </c>
      <c r="W143" s="386">
        <v>2.4279299883753107</v>
      </c>
      <c r="X143" s="386">
        <v>2.4279389336218138</v>
      </c>
      <c r="Y143" s="382" t="str">
        <f t="shared" ca="1" si="107"/>
        <v>-</v>
      </c>
      <c r="Z143" s="382" t="str">
        <f t="shared" ca="1" si="108"/>
        <v>-</v>
      </c>
      <c r="AA143" s="382" t="str">
        <f t="shared" ca="1" si="109"/>
        <v>-</v>
      </c>
      <c r="AB143" s="382" t="str">
        <f t="shared" ca="1" si="110"/>
        <v>-</v>
      </c>
      <c r="AC143" s="382" t="str">
        <f ca="1">IFERROR(Changes!$B$2*Rotation!C143,"-")</f>
        <v>-</v>
      </c>
      <c r="AD143" s="382" t="str">
        <f ca="1">IFERROR(Changes!$B$2*Rotation!D143,"-")</f>
        <v>-</v>
      </c>
      <c r="AE143" s="382" t="str">
        <f ca="1">IFERROR(Changes!$B$2*Rotation!E143,"-")</f>
        <v>-</v>
      </c>
      <c r="AF143" s="382" t="str">
        <f ca="1">IFERROR(Changes!$B$2*Rotation!F143,"-")</f>
        <v>-</v>
      </c>
      <c r="AG143" s="382" t="e">
        <f ca="1">(AC143+AD143)*ABBA!DD10</f>
        <v>#VALUE!</v>
      </c>
      <c r="AH143" s="382" t="e">
        <f t="shared" ca="1" si="98"/>
        <v>#VALUE!</v>
      </c>
      <c r="AI143" s="382" t="e">
        <f ca="1">(AE143+AF143)*ABBA!DH10</f>
        <v>#VALUE!</v>
      </c>
      <c r="AJ143" s="382" t="e">
        <f t="shared" ca="1" si="120"/>
        <v>#VALUE!</v>
      </c>
      <c r="AK143" s="382">
        <f t="shared" si="111"/>
        <v>0.47769912411602972</v>
      </c>
      <c r="AL143" s="382">
        <f t="shared" si="112"/>
        <v>0.47769753065660236</v>
      </c>
      <c r="AM143" s="382">
        <f t="shared" si="113"/>
        <v>0.47769942493769857</v>
      </c>
      <c r="AN143" s="382">
        <f t="shared" si="114"/>
        <v>0.47769766495146032</v>
      </c>
      <c r="AO143" s="382">
        <f t="shared" si="121"/>
        <v>39.970424962375304</v>
      </c>
      <c r="AP143" s="382">
        <f t="shared" si="122"/>
        <v>39.970158304384832</v>
      </c>
      <c r="AQ143" s="382">
        <f t="shared" si="123"/>
        <v>39.970475303575952</v>
      </c>
      <c r="AR143" s="382">
        <f t="shared" si="124"/>
        <v>39.970180777967556</v>
      </c>
      <c r="AS143" s="388" t="str">
        <f t="shared" ca="1" si="99"/>
        <v>-</v>
      </c>
      <c r="AT143" s="388" t="str">
        <f t="shared" ca="1" si="100"/>
        <v>-</v>
      </c>
      <c r="AU143" s="388" t="str">
        <f t="shared" ca="1" si="101"/>
        <v>-</v>
      </c>
      <c r="AV143" s="388" t="str">
        <f t="shared" ca="1" si="102"/>
        <v>-</v>
      </c>
      <c r="AW143" s="382">
        <f>ABBA!AP10*SIN(ABBA!AT10)</f>
        <v>1.060258347745483</v>
      </c>
      <c r="AX143" s="382">
        <f>ABBA!AQ10*SIN(ABBA!AU10)</f>
        <v>1.2001209355055211</v>
      </c>
      <c r="AY143" s="382">
        <f>ABBA!AR10*SIN(ABBA!AW10)</f>
        <v>1.066741710542479</v>
      </c>
      <c r="AZ143" s="382">
        <f>ABBA!AS10*SIN(ABBA!AX10)</f>
        <v>1.1673547334032004</v>
      </c>
      <c r="BA143" s="388" t="str">
        <f t="shared" ca="1" si="125"/>
        <v>-</v>
      </c>
      <c r="BB143" s="388" t="str">
        <f t="shared" ca="1" si="126"/>
        <v>-</v>
      </c>
      <c r="BC143" s="388" t="str">
        <f t="shared" ca="1" si="127"/>
        <v>-</v>
      </c>
      <c r="BD143" s="388" t="str">
        <f t="shared" ca="1" si="128"/>
        <v>-</v>
      </c>
    </row>
    <row r="144" spans="1:56">
      <c r="A144" t="str">
        <f>IF(ABBA!A11=0,A143,ABBA!A11)</f>
        <v>HNNH</v>
      </c>
      <c r="C144" s="381">
        <f>ABBA!Q11</f>
        <v>-11.040498019213842</v>
      </c>
      <c r="D144" s="381">
        <f>ABBA!R11</f>
        <v>-16.023468690567817</v>
      </c>
      <c r="E144" s="381">
        <f>ABBA!S11</f>
        <v>-13.116567205280324</v>
      </c>
      <c r="F144" s="381">
        <f>ABBA!T11</f>
        <v>-9.6500000001840345</v>
      </c>
      <c r="G144" s="382" t="str">
        <f ca="1">IFERROR(C144*Changes!$B$1,"-")</f>
        <v>-</v>
      </c>
      <c r="H144" s="382" t="str">
        <f ca="1">IFERROR(D144*Changes!$B$1,"-")</f>
        <v>-</v>
      </c>
      <c r="I144" s="382" t="str">
        <f ca="1">IFERROR(E144*Changes!$B$1,"-")</f>
        <v>-</v>
      </c>
      <c r="J144" s="382" t="str">
        <f ca="1">IFERROR(F144*Changes!$B$1,"-")</f>
        <v>-</v>
      </c>
      <c r="K144" s="383" t="str">
        <f t="shared" ca="1" si="103"/>
        <v>-</v>
      </c>
      <c r="L144" s="383" t="str">
        <f t="shared" ca="1" si="104"/>
        <v>-</v>
      </c>
      <c r="M144" s="383" t="str">
        <f t="shared" ca="1" si="105"/>
        <v>-</v>
      </c>
      <c r="N144" s="383" t="str">
        <f t="shared" ca="1" si="106"/>
        <v>-</v>
      </c>
      <c r="O144" s="384">
        <f>[1]Particles!$B$13</f>
        <v>512373.33725154324</v>
      </c>
      <c r="P144" s="384">
        <f>[1]Particles!$B$5</f>
        <v>3152.8432598003224</v>
      </c>
      <c r="Q144" s="383">
        <f>IFERROR(VLOOKUP("s",[1]md!$A:$E,5,0)*14.3998434/U144*100,"-")</f>
        <v>1334.4514015640473</v>
      </c>
      <c r="R144" s="383">
        <f>IFERROR(VLOOKUP("s",[1]md!$A:$E,5,0)*14.3998434/V144*100,"-")</f>
        <v>1334.4643781765046</v>
      </c>
      <c r="S144" s="383">
        <f>IFERROR(VLOOKUP("s",[1]md!$A:$E,5,0)*14.3998434/W144*100,"-")</f>
        <v>1334.4568080468584</v>
      </c>
      <c r="T144" s="383">
        <f>IFERROR(VLOOKUP("s",[1]md!$A:$E,5,0)*14.3998434/X144*100,"-")</f>
        <v>1334.447780440177</v>
      </c>
      <c r="U144" s="386">
        <v>2.4279376238074994</v>
      </c>
      <c r="V144" s="386">
        <v>2.4279140140310749</v>
      </c>
      <c r="W144" s="386">
        <v>2.4279277871436591</v>
      </c>
      <c r="X144" s="386">
        <v>2.4279442121978536</v>
      </c>
      <c r="Y144" s="382" t="str">
        <f t="shared" ca="1" si="107"/>
        <v>-</v>
      </c>
      <c r="Z144" s="382" t="str">
        <f t="shared" ca="1" si="108"/>
        <v>-</v>
      </c>
      <c r="AA144" s="382" t="str">
        <f t="shared" ca="1" si="109"/>
        <v>-</v>
      </c>
      <c r="AB144" s="382" t="str">
        <f t="shared" ca="1" si="110"/>
        <v>-</v>
      </c>
      <c r="AC144" s="382" t="str">
        <f ca="1">IFERROR(Changes!$B$2*Rotation!C144,"-")</f>
        <v>-</v>
      </c>
      <c r="AD144" s="382" t="str">
        <f ca="1">IFERROR(Changes!$B$2*Rotation!D144,"-")</f>
        <v>-</v>
      </c>
      <c r="AE144" s="382" t="str">
        <f ca="1">IFERROR(Changes!$B$2*Rotation!E144,"-")</f>
        <v>-</v>
      </c>
      <c r="AF144" s="382" t="str">
        <f ca="1">IFERROR(Changes!$B$2*Rotation!F144,"-")</f>
        <v>-</v>
      </c>
      <c r="AG144" s="382" t="e">
        <f ca="1">(AC144+AD144)*ABBA!DD11</f>
        <v>#VALUE!</v>
      </c>
      <c r="AH144" s="382" t="e">
        <f t="shared" ca="1" si="98"/>
        <v>#VALUE!</v>
      </c>
      <c r="AI144" s="382" t="e">
        <f ca="1">(AE144+AF144)*ABBA!DH11</f>
        <v>#VALUE!</v>
      </c>
      <c r="AJ144" s="382" t="e">
        <f t="shared" ca="1" si="120"/>
        <v>#VALUE!</v>
      </c>
      <c r="AK144" s="382">
        <f t="shared" si="111"/>
        <v>0.47769792265793237</v>
      </c>
      <c r="AL144" s="382">
        <f t="shared" si="112"/>
        <v>0.47770256793823773</v>
      </c>
      <c r="AM144" s="382">
        <f t="shared" si="113"/>
        <v>0.47769985803422621</v>
      </c>
      <c r="AN144" s="382">
        <f t="shared" si="114"/>
        <v>0.47769662639240457</v>
      </c>
      <c r="AO144" s="382">
        <f t="shared" si="121"/>
        <v>39.970223903893469</v>
      </c>
      <c r="AP144" s="382">
        <f t="shared" si="122"/>
        <v>39.971001272970724</v>
      </c>
      <c r="AQ144" s="382">
        <f t="shared" si="123"/>
        <v>39.970547780455789</v>
      </c>
      <c r="AR144" s="382">
        <f t="shared" si="124"/>
        <v>39.970006980391695</v>
      </c>
      <c r="AS144" s="388" t="str">
        <f t="shared" ca="1" si="99"/>
        <v>-</v>
      </c>
      <c r="AT144" s="388" t="str">
        <f t="shared" ca="1" si="100"/>
        <v>-</v>
      </c>
      <c r="AU144" s="388" t="str">
        <f t="shared" ca="1" si="101"/>
        <v>-</v>
      </c>
      <c r="AV144" s="388" t="str">
        <f t="shared" ca="1" si="102"/>
        <v>-</v>
      </c>
      <c r="AW144" s="382">
        <f>ABBA!AP11*SIN(ABBA!AT11)</f>
        <v>0.99759668826201231</v>
      </c>
      <c r="AX144" s="382">
        <f>ABBA!AQ11*SIN(ABBA!AU11)</f>
        <v>0.80887067182013117</v>
      </c>
      <c r="AY144" s="382">
        <f>ABBA!AR11*SIN(ABBA!AW11)</f>
        <v>0.98807090212248272</v>
      </c>
      <c r="AZ144" s="382">
        <f>ABBA!AS11*SIN(ABBA!AX11)</f>
        <v>1.2087138754628066</v>
      </c>
      <c r="BA144" s="388" t="str">
        <f t="shared" ca="1" si="125"/>
        <v>-</v>
      </c>
      <c r="BB144" s="388" t="str">
        <f t="shared" ca="1" si="126"/>
        <v>-</v>
      </c>
      <c r="BC144" s="388" t="str">
        <f t="shared" ca="1" si="127"/>
        <v>-</v>
      </c>
      <c r="BD144" s="388" t="str">
        <f t="shared" ca="1" si="128"/>
        <v>-</v>
      </c>
    </row>
    <row r="145" spans="1:56" ht="15.75" thickBot="1">
      <c r="A145" s="380" t="str">
        <f>IF(ABBA!A12=0,A144,ABBA!A12)</f>
        <v>NCCN</v>
      </c>
      <c r="B145" t="s">
        <v>531</v>
      </c>
      <c r="C145" s="381">
        <f>ABBA!Q12</f>
        <v>-13.59783995275475</v>
      </c>
      <c r="D145" s="381">
        <f>ABBA!R12</f>
        <v>-15.717239397990955</v>
      </c>
      <c r="E145" s="381">
        <f>ABBA!S12</f>
        <v>-13.370000000037411</v>
      </c>
      <c r="F145" s="381">
        <f>ABBA!T12</f>
        <v>-13.921274630502118</v>
      </c>
      <c r="G145" s="382" t="str">
        <f ca="1">IFERROR(C145*Changes!$B$1,"-")</f>
        <v>-</v>
      </c>
      <c r="H145" s="382" t="str">
        <f ca="1">IFERROR(D145*Changes!$B$1,"-")</f>
        <v>-</v>
      </c>
      <c r="I145" s="382" t="str">
        <f ca="1">IFERROR(E145*Changes!$B$1,"-")</f>
        <v>-</v>
      </c>
      <c r="J145" s="382" t="str">
        <f ca="1">IFERROR(F145*Changes!$B$1,"-")</f>
        <v>-</v>
      </c>
      <c r="K145" s="383" t="str">
        <f t="shared" ca="1" si="103"/>
        <v>-</v>
      </c>
      <c r="L145" s="383" t="str">
        <f t="shared" ca="1" si="104"/>
        <v>-</v>
      </c>
      <c r="M145" s="383" t="str">
        <f t="shared" ca="1" si="105"/>
        <v>-</v>
      </c>
      <c r="N145" s="383" t="str">
        <f t="shared" ca="1" si="106"/>
        <v>-</v>
      </c>
      <c r="O145" s="384">
        <f>[1]Particles!$B$13</f>
        <v>512373.33725154324</v>
      </c>
      <c r="P145" s="384">
        <f>[1]Particles!$B$5</f>
        <v>3152.8432598003224</v>
      </c>
      <c r="Q145" s="383">
        <f>IFERROR(VLOOKUP("s",[1]md!$A:$E,5,0)*14.3998434/U145*100,"-")</f>
        <v>1334.4580613734422</v>
      </c>
      <c r="R145" s="383">
        <f>IFERROR(VLOOKUP("s",[1]md!$A:$E,5,0)*14.3998434/V145*100,"-")</f>
        <v>1334.4635806966044</v>
      </c>
      <c r="S145" s="383">
        <f>IFERROR(VLOOKUP("s",[1]md!$A:$E,5,0)*14.3998434/W145*100,"-")</f>
        <v>1334.457468034507</v>
      </c>
      <c r="T145" s="383">
        <f>IFERROR(VLOOKUP("s",[1]md!$A:$E,5,0)*14.3998434/X145*100,"-")</f>
        <v>1334.4589036594689</v>
      </c>
      <c r="U145" s="386">
        <v>2.4279255068273815</v>
      </c>
      <c r="V145" s="386">
        <v>2.4279154649606123</v>
      </c>
      <c r="W145" s="386">
        <v>2.4279265863542827</v>
      </c>
      <c r="X145" s="386">
        <v>2.4279239743652559</v>
      </c>
      <c r="Y145" s="382" t="str">
        <f t="shared" ca="1" si="107"/>
        <v>-</v>
      </c>
      <c r="Z145" s="382" t="str">
        <f t="shared" ca="1" si="108"/>
        <v>-</v>
      </c>
      <c r="AA145" s="382" t="str">
        <f t="shared" ca="1" si="109"/>
        <v>-</v>
      </c>
      <c r="AB145" s="382" t="str">
        <f t="shared" ca="1" si="110"/>
        <v>-</v>
      </c>
      <c r="AC145" s="382" t="str">
        <f ca="1">IFERROR(Changes!$B$2*Rotation!C145,"-")</f>
        <v>-</v>
      </c>
      <c r="AD145" s="382" t="str">
        <f ca="1">IFERROR(Changes!$B$2*Rotation!D145,"-")</f>
        <v>-</v>
      </c>
      <c r="AE145" s="382" t="str">
        <f ca="1">IFERROR(Changes!$B$2*Rotation!E145,"-")</f>
        <v>-</v>
      </c>
      <c r="AF145" s="382" t="str">
        <f ca="1">IFERROR(Changes!$B$2*Rotation!F145,"-")</f>
        <v>-</v>
      </c>
      <c r="AG145" s="382" t="e">
        <f ca="1">(AC145+AD145)*ABBA!DD12</f>
        <v>#VALUE!</v>
      </c>
      <c r="AH145" s="382" t="e">
        <f t="shared" ca="1" si="98"/>
        <v>#VALUE!</v>
      </c>
      <c r="AI145" s="382" t="e">
        <f ca="1">(AE145+AF145)*ABBA!DH12</f>
        <v>#VALUE!</v>
      </c>
      <c r="AJ145" s="382" t="e">
        <f t="shared" ca="1" si="120"/>
        <v>#VALUE!</v>
      </c>
      <c r="AK145" s="382">
        <f t="shared" si="111"/>
        <v>0.47770030669163321</v>
      </c>
      <c r="AL145" s="382">
        <f t="shared" si="112"/>
        <v>0.47770228246175561</v>
      </c>
      <c r="AM145" s="382">
        <f t="shared" si="113"/>
        <v>0.47770009429215837</v>
      </c>
      <c r="AN145" s="382">
        <f t="shared" si="114"/>
        <v>0.47770060820751059</v>
      </c>
      <c r="AO145" s="382">
        <f t="shared" si="121"/>
        <v>39.97062286145254</v>
      </c>
      <c r="AP145" s="382">
        <f t="shared" si="122"/>
        <v>39.97095349940539</v>
      </c>
      <c r="AQ145" s="382">
        <f t="shared" si="123"/>
        <v>39.970587317253397</v>
      </c>
      <c r="AR145" s="382">
        <f t="shared" si="124"/>
        <v>39.970673318950922</v>
      </c>
      <c r="AS145" s="388" t="str">
        <f t="shared" ca="1" si="99"/>
        <v>-</v>
      </c>
      <c r="AT145" s="388" t="str">
        <f t="shared" ca="1" si="100"/>
        <v>-</v>
      </c>
      <c r="AU145" s="388" t="str">
        <f t="shared" ca="1" si="101"/>
        <v>-</v>
      </c>
      <c r="AV145" s="388" t="str">
        <f t="shared" ca="1" si="102"/>
        <v>-</v>
      </c>
      <c r="AW145" s="382">
        <f>ABBA!AP12*SIN(ABBA!AT12)</f>
        <v>0.94145038253633317</v>
      </c>
      <c r="AX145" s="382">
        <f>ABBA!AQ12*SIN(ABBA!AU12)</f>
        <v>0.84272400536080005</v>
      </c>
      <c r="AY145" s="382">
        <f>ABBA!AR12*SIN(ABBA!AW12)</f>
        <v>0.9737322273242891</v>
      </c>
      <c r="AZ145" s="382">
        <f>ABBA!AS12*SIN(ABBA!AX12)</f>
        <v>0.89391444252660412</v>
      </c>
      <c r="BA145" s="388" t="str">
        <f t="shared" ca="1" si="125"/>
        <v>-</v>
      </c>
      <c r="BB145" s="388" t="str">
        <f t="shared" ca="1" si="126"/>
        <v>-</v>
      </c>
      <c r="BC145" s="388" t="str">
        <f t="shared" ca="1" si="127"/>
        <v>-</v>
      </c>
      <c r="BD145" s="388" t="str">
        <f t="shared" ca="1" si="128"/>
        <v>-</v>
      </c>
    </row>
    <row r="146" spans="1:56" ht="15.75" thickTop="1">
      <c r="A146" t="str">
        <f>IF(CH3F!A4=0,A145,CH3F!A4)</f>
        <v>FCH3</v>
      </c>
      <c r="C146" s="381">
        <f>CH3F!K4</f>
        <v>-12.5</v>
      </c>
      <c r="D146" s="381">
        <f>CH3F!L4</f>
        <v>-17.100000000000009</v>
      </c>
      <c r="E146" s="381">
        <f>CH3F!M4</f>
        <v>-17.100000000000009</v>
      </c>
      <c r="F146" s="381">
        <f>CH3F!N4</f>
        <v>-23.400000000000013</v>
      </c>
      <c r="G146" s="382" t="str">
        <f ca="1">IFERROR(C146*Changes!$B$1,"-")</f>
        <v>-</v>
      </c>
      <c r="H146" s="382" t="str">
        <f ca="1">IFERROR(D146*Changes!$B$1,"-")</f>
        <v>-</v>
      </c>
      <c r="I146" s="382" t="str">
        <f ca="1">IFERROR(E146*Changes!$B$1,"-")</f>
        <v>-</v>
      </c>
      <c r="J146" s="382" t="str">
        <f ca="1">IFERROR(F146*Changes!$B$1,"-")</f>
        <v>-</v>
      </c>
      <c r="K146" s="383" t="str">
        <f t="shared" ca="1" si="103"/>
        <v>-</v>
      </c>
      <c r="L146" s="383" t="str">
        <f t="shared" ca="1" si="104"/>
        <v>-</v>
      </c>
      <c r="M146" s="383" t="str">
        <f t="shared" ca="1" si="105"/>
        <v>-</v>
      </c>
      <c r="N146" s="383" t="str">
        <f t="shared" ca="1" si="106"/>
        <v>-</v>
      </c>
      <c r="O146" s="384">
        <f>[1]Particles!$B$13</f>
        <v>512373.33725154324</v>
      </c>
      <c r="P146" s="384">
        <f>[1]Particles!$B$5</f>
        <v>3152.8432598003224</v>
      </c>
      <c r="Q146" s="383">
        <f>IFERROR(VLOOKUP("s",[1]md!$A:$E,5,0)*14.3998434/U146*100,"-")</f>
        <v>1334.4552023874414</v>
      </c>
      <c r="R146" s="383">
        <f>IFERROR(VLOOKUP("s",[1]md!$A:$E,5,0)*14.3998434/V146*100,"-")</f>
        <v>1334.4671816707389</v>
      </c>
      <c r="S146" s="383">
        <f>IFERROR(VLOOKUP("s",[1]md!$A:$E,5,0)*14.3998434/W146*100,"-")</f>
        <v>1334.4671816707389</v>
      </c>
      <c r="T146" s="383">
        <f>IFERROR(VLOOKUP("s",[1]md!$A:$E,5,0)*14.3998434/X146*100,"-")</f>
        <v>1334.4835880803946</v>
      </c>
      <c r="U146" s="386">
        <v>2.4279307085044577</v>
      </c>
      <c r="V146" s="386">
        <v>2.4279089133863883</v>
      </c>
      <c r="W146" s="386">
        <v>2.4279089133863883</v>
      </c>
      <c r="X146" s="386">
        <v>2.4278790641858472</v>
      </c>
      <c r="Y146" s="382" t="str">
        <f t="shared" ca="1" si="107"/>
        <v>-</v>
      </c>
      <c r="Z146" s="382" t="str">
        <f t="shared" ca="1" si="108"/>
        <v>-</v>
      </c>
      <c r="AA146" s="382" t="str">
        <f t="shared" ca="1" si="109"/>
        <v>-</v>
      </c>
      <c r="AB146" s="382" t="str">
        <f t="shared" ca="1" si="110"/>
        <v>-</v>
      </c>
      <c r="AC146" s="382" t="str">
        <f ca="1">IFERROR(Changes!$B$2*Rotation!C146,"-")</f>
        <v>-</v>
      </c>
      <c r="AD146" s="382" t="str">
        <f ca="1">IFERROR(Changes!$B$2*Rotation!D146,"-")</f>
        <v>-</v>
      </c>
      <c r="AE146" s="382" t="str">
        <f ca="1">IFERROR(Changes!$B$2*Rotation!E146,"-")</f>
        <v>-</v>
      </c>
      <c r="AF146" s="382" t="str">
        <f ca="1">IFERROR(Changes!$B$2*Rotation!F146,"-")</f>
        <v>-</v>
      </c>
      <c r="AG146" s="382" t="e">
        <f ca="1">(AC146+AD146)*CH3F!BK4</f>
        <v>#VALUE!</v>
      </c>
      <c r="AH146" s="382" t="e">
        <f t="shared" ca="1" si="98"/>
        <v>#VALUE!</v>
      </c>
      <c r="AI146" s="382" t="e">
        <f ca="1">(AE146+AF146)*CH3F!BO4</f>
        <v>#VALUE!</v>
      </c>
      <c r="AJ146" s="382" t="e">
        <f t="shared" ca="1" si="120"/>
        <v>#VALUE!</v>
      </c>
      <c r="AK146" s="382">
        <f t="shared" si="111"/>
        <v>0.47769928325108518</v>
      </c>
      <c r="AL146" s="382">
        <f t="shared" si="112"/>
        <v>0.47770357151421683</v>
      </c>
      <c r="AM146" s="382">
        <f t="shared" si="113"/>
        <v>0.47770357151421683</v>
      </c>
      <c r="AN146" s="382">
        <f t="shared" si="114"/>
        <v>0.47770944457021686</v>
      </c>
      <c r="AO146" s="382">
        <f t="shared" si="121"/>
        <v>39.970451592932207</v>
      </c>
      <c r="AP146" s="382">
        <f t="shared" si="122"/>
        <v>39.971169218389349</v>
      </c>
      <c r="AQ146" s="382">
        <f t="shared" si="123"/>
        <v>39.971169218389349</v>
      </c>
      <c r="AR146" s="382">
        <f t="shared" si="124"/>
        <v>39.972152063702936</v>
      </c>
      <c r="AS146" s="388" t="str">
        <f t="shared" ca="1" si="99"/>
        <v>-</v>
      </c>
      <c r="AT146" s="388" t="str">
        <f t="shared" ca="1" si="100"/>
        <v>-</v>
      </c>
      <c r="AU146" s="388" t="str">
        <f t="shared" ca="1" si="101"/>
        <v>-</v>
      </c>
      <c r="AV146" s="388" t="str">
        <f t="shared" ca="1" si="102"/>
        <v>-</v>
      </c>
      <c r="AW146" s="382">
        <f>CH3F!X4*SIN(CH3F!Z4)</f>
        <v>0.98139240613789991</v>
      </c>
      <c r="AX146" s="382">
        <f>CH3F!Y4*SIN(CH3F!AA4)</f>
        <v>0.78737047073632138</v>
      </c>
      <c r="AY146" s="382">
        <f>CH3F!AC4*SIN(CH3F!AE4)</f>
        <v>0.67894363302001215</v>
      </c>
      <c r="AZ146" s="382">
        <f>CH3F!AD4*SIN(CH3F!AF4)</f>
        <v>0.57913083957395894</v>
      </c>
      <c r="BA146" s="388" t="str">
        <f t="shared" ca="1" si="125"/>
        <v>-</v>
      </c>
      <c r="BB146" s="388" t="str">
        <f t="shared" ca="1" si="126"/>
        <v>-</v>
      </c>
      <c r="BC146" s="388" t="str">
        <f t="shared" ca="1" si="127"/>
        <v>-</v>
      </c>
      <c r="BD146" s="388" t="str">
        <f t="shared" ca="1" si="128"/>
        <v>-</v>
      </c>
    </row>
    <row r="147" spans="1:56">
      <c r="A147" t="str">
        <f>IF(CH3F!A5=0,A146,CH3F!A5)</f>
        <v>FCH3</v>
      </c>
      <c r="C147" s="381">
        <f>CH3F!K5</f>
        <v>-12.5</v>
      </c>
      <c r="D147" s="381">
        <f>CH3F!L5</f>
        <v>-17.099999999999987</v>
      </c>
      <c r="E147" s="381">
        <f>CH3F!M5</f>
        <v>-23.4</v>
      </c>
      <c r="F147" s="381">
        <f>CH3F!N5</f>
        <v>-17.100000000000001</v>
      </c>
      <c r="G147" s="382" t="str">
        <f ca="1">IFERROR(C147*Changes!$B$1,"-")</f>
        <v>-</v>
      </c>
      <c r="H147" s="382" t="str">
        <f ca="1">IFERROR(D147*Changes!$B$1,"-")</f>
        <v>-</v>
      </c>
      <c r="I147" s="382" t="str">
        <f ca="1">IFERROR(E147*Changes!$B$1,"-")</f>
        <v>-</v>
      </c>
      <c r="J147" s="382" t="str">
        <f ca="1">IFERROR(F147*Changes!$B$1,"-")</f>
        <v>-</v>
      </c>
      <c r="K147" s="383" t="str">
        <f t="shared" ca="1" si="103"/>
        <v>-</v>
      </c>
      <c r="L147" s="383" t="str">
        <f t="shared" ca="1" si="104"/>
        <v>-</v>
      </c>
      <c r="M147" s="383" t="str">
        <f t="shared" ca="1" si="105"/>
        <v>-</v>
      </c>
      <c r="N147" s="383" t="str">
        <f t="shared" ca="1" si="106"/>
        <v>-</v>
      </c>
      <c r="O147" s="384">
        <f>[1]Particles!$B$13</f>
        <v>512373.33725154324</v>
      </c>
      <c r="P147" s="384">
        <f>[1]Particles!$B$5</f>
        <v>3152.8432598003224</v>
      </c>
      <c r="Q147" s="383">
        <f>IFERROR(VLOOKUP("s",[1]md!$A:$E,5,0)*14.3998434/U147*100,"-")</f>
        <v>1334.4552023874414</v>
      </c>
      <c r="R147" s="383">
        <f>IFERROR(VLOOKUP("s",[1]md!$A:$E,5,0)*14.3998434/V147*100,"-")</f>
        <v>1334.4671816707389</v>
      </c>
      <c r="S147" s="383">
        <f>IFERROR(VLOOKUP("s",[1]md!$A:$E,5,0)*14.3998434/W147*100,"-")</f>
        <v>1334.4835880803946</v>
      </c>
      <c r="T147" s="383">
        <f>IFERROR(VLOOKUP("s",[1]md!$A:$E,5,0)*14.3998434/X147*100,"-")</f>
        <v>1334.4671816707389</v>
      </c>
      <c r="U147" s="386">
        <v>2.4279307085044577</v>
      </c>
      <c r="V147" s="386">
        <v>2.4279089133863883</v>
      </c>
      <c r="W147" s="386">
        <v>2.4278790641858472</v>
      </c>
      <c r="X147" s="386">
        <v>2.4279089133863883</v>
      </c>
      <c r="Y147" s="382" t="str">
        <f t="shared" ca="1" si="107"/>
        <v>-</v>
      </c>
      <c r="Z147" s="382" t="str">
        <f t="shared" ca="1" si="108"/>
        <v>-</v>
      </c>
      <c r="AA147" s="382" t="str">
        <f t="shared" ca="1" si="109"/>
        <v>-</v>
      </c>
      <c r="AB147" s="382" t="str">
        <f t="shared" ca="1" si="110"/>
        <v>-</v>
      </c>
      <c r="AC147" s="382" t="str">
        <f ca="1">IFERROR(Changes!$B$2*Rotation!C147,"-")</f>
        <v>-</v>
      </c>
      <c r="AD147" s="382" t="str">
        <f ca="1">IFERROR(Changes!$B$2*Rotation!D147,"-")</f>
        <v>-</v>
      </c>
      <c r="AE147" s="382" t="str">
        <f ca="1">IFERROR(Changes!$B$2*Rotation!E147,"-")</f>
        <v>-</v>
      </c>
      <c r="AF147" s="382" t="str">
        <f ca="1">IFERROR(Changes!$B$2*Rotation!F147,"-")</f>
        <v>-</v>
      </c>
      <c r="AG147" s="382" t="e">
        <f ca="1">(AC147+AD147)*CH3F!BK5</f>
        <v>#VALUE!</v>
      </c>
      <c r="AH147" s="382" t="e">
        <f t="shared" ca="1" si="98"/>
        <v>#VALUE!</v>
      </c>
      <c r="AI147" s="382" t="e">
        <f ca="1">(AE147+AF147)*CH3F!BO5</f>
        <v>#VALUE!</v>
      </c>
      <c r="AJ147" s="382" t="e">
        <f t="shared" ca="1" si="120"/>
        <v>#VALUE!</v>
      </c>
      <c r="AK147" s="382">
        <f t="shared" si="111"/>
        <v>0.47769928325108518</v>
      </c>
      <c r="AL147" s="382">
        <f t="shared" si="112"/>
        <v>0.47770357151421683</v>
      </c>
      <c r="AM147" s="382">
        <f t="shared" si="113"/>
        <v>0.47770944457021686</v>
      </c>
      <c r="AN147" s="382">
        <f t="shared" si="114"/>
        <v>0.47770357151421683</v>
      </c>
      <c r="AO147" s="382">
        <f t="shared" si="121"/>
        <v>39.970451592932207</v>
      </c>
      <c r="AP147" s="382">
        <f t="shared" si="122"/>
        <v>39.971169218389349</v>
      </c>
      <c r="AQ147" s="382">
        <f t="shared" si="123"/>
        <v>39.972152063702936</v>
      </c>
      <c r="AR147" s="382">
        <f t="shared" si="124"/>
        <v>39.971169218389349</v>
      </c>
      <c r="AS147" s="388" t="str">
        <f t="shared" ca="1" si="99"/>
        <v>-</v>
      </c>
      <c r="AT147" s="388" t="str">
        <f t="shared" ca="1" si="100"/>
        <v>-</v>
      </c>
      <c r="AU147" s="388" t="str">
        <f t="shared" ca="1" si="101"/>
        <v>-</v>
      </c>
      <c r="AV147" s="388" t="str">
        <f t="shared" ca="1" si="102"/>
        <v>-</v>
      </c>
      <c r="AW147" s="382">
        <f>CH3F!X5*SIN(CH3F!Z5)</f>
        <v>0.98139240592917898</v>
      </c>
      <c r="AX147" s="382">
        <f>CH3F!Y5*SIN(CH3F!AA5)</f>
        <v>0.78737047070974042</v>
      </c>
      <c r="AY147" s="382">
        <f>CH3F!AC5*SIN(CH3F!AE5)</f>
        <v>0.57913083956876277</v>
      </c>
      <c r="AZ147" s="382">
        <f>CH3F!AD5*SIN(CH3F!AF5)</f>
        <v>0.67894363305863459</v>
      </c>
      <c r="BA147" s="388" t="str">
        <f t="shared" ca="1" si="125"/>
        <v>-</v>
      </c>
      <c r="BB147" s="388" t="str">
        <f t="shared" ca="1" si="126"/>
        <v>-</v>
      </c>
      <c r="BC147" s="388" t="str">
        <f t="shared" ca="1" si="127"/>
        <v>-</v>
      </c>
      <c r="BD147" s="388" t="str">
        <f t="shared" ca="1" si="128"/>
        <v>-</v>
      </c>
    </row>
    <row r="148" spans="1:56">
      <c r="A148" t="str">
        <f>IF(CH3F!A6=0,A147,CH3F!A6)</f>
        <v>FCH3</v>
      </c>
      <c r="C148" s="381">
        <f>CH3F!K6</f>
        <v>-12.5</v>
      </c>
      <c r="D148" s="381">
        <f>CH3F!L6</f>
        <v>-23.399999999999991</v>
      </c>
      <c r="E148" s="381">
        <f>CH3F!M6</f>
        <v>-17.100000000000016</v>
      </c>
      <c r="F148" s="381">
        <f>CH3F!N6</f>
        <v>-17.100000000000001</v>
      </c>
      <c r="G148" s="382" t="str">
        <f ca="1">IFERROR(C148*Changes!$B$1,"-")</f>
        <v>-</v>
      </c>
      <c r="H148" s="382" t="str">
        <f ca="1">IFERROR(D148*Changes!$B$1,"-")</f>
        <v>-</v>
      </c>
      <c r="I148" s="382" t="str">
        <f ca="1">IFERROR(E148*Changes!$B$1,"-")</f>
        <v>-</v>
      </c>
      <c r="J148" s="382" t="str">
        <f ca="1">IFERROR(F148*Changes!$B$1,"-")</f>
        <v>-</v>
      </c>
      <c r="K148" s="383" t="str">
        <f t="shared" ca="1" si="103"/>
        <v>-</v>
      </c>
      <c r="L148" s="383" t="str">
        <f t="shared" ca="1" si="104"/>
        <v>-</v>
      </c>
      <c r="M148" s="383" t="str">
        <f t="shared" ca="1" si="105"/>
        <v>-</v>
      </c>
      <c r="N148" s="383" t="str">
        <f t="shared" ca="1" si="106"/>
        <v>-</v>
      </c>
      <c r="O148" s="384">
        <f>[1]Particles!$B$13</f>
        <v>512373.33725154324</v>
      </c>
      <c r="P148" s="384">
        <f>[1]Particles!$B$5</f>
        <v>3152.8432598003224</v>
      </c>
      <c r="Q148" s="383">
        <f>IFERROR(VLOOKUP("s",[1]md!$A:$E,5,0)*14.3998434/U148*100,"-")</f>
        <v>1334.4552023874414</v>
      </c>
      <c r="R148" s="383">
        <f>IFERROR(VLOOKUP("s",[1]md!$A:$E,5,0)*14.3998434/V148*100,"-")</f>
        <v>1334.4835880803946</v>
      </c>
      <c r="S148" s="383">
        <f>IFERROR(VLOOKUP("s",[1]md!$A:$E,5,0)*14.3998434/W148*100,"-")</f>
        <v>1334.4671816707389</v>
      </c>
      <c r="T148" s="383">
        <f>IFERROR(VLOOKUP("s",[1]md!$A:$E,5,0)*14.3998434/X148*100,"-")</f>
        <v>1334.4671816707389</v>
      </c>
      <c r="U148" s="386">
        <v>2.4279307085044577</v>
      </c>
      <c r="V148" s="386">
        <v>2.4278790641858472</v>
      </c>
      <c r="W148" s="386">
        <v>2.4279089133863883</v>
      </c>
      <c r="X148" s="386">
        <v>2.4279089133863883</v>
      </c>
      <c r="Y148" s="382" t="str">
        <f t="shared" ca="1" si="107"/>
        <v>-</v>
      </c>
      <c r="Z148" s="382" t="str">
        <f t="shared" ca="1" si="108"/>
        <v>-</v>
      </c>
      <c r="AA148" s="382" t="str">
        <f t="shared" ca="1" si="109"/>
        <v>-</v>
      </c>
      <c r="AB148" s="382" t="str">
        <f t="shared" ca="1" si="110"/>
        <v>-</v>
      </c>
      <c r="AC148" s="382" t="str">
        <f ca="1">IFERROR(Changes!$B$2*Rotation!C148,"-")</f>
        <v>-</v>
      </c>
      <c r="AD148" s="382" t="str">
        <f ca="1">IFERROR(Changes!$B$2*Rotation!D148,"-")</f>
        <v>-</v>
      </c>
      <c r="AE148" s="382" t="str">
        <f ca="1">IFERROR(Changes!$B$2*Rotation!E148,"-")</f>
        <v>-</v>
      </c>
      <c r="AF148" s="382" t="str">
        <f ca="1">IFERROR(Changes!$B$2*Rotation!F148,"-")</f>
        <v>-</v>
      </c>
      <c r="AG148" s="382" t="e">
        <f ca="1">(AC148+AD148)*CH3F!BK6</f>
        <v>#VALUE!</v>
      </c>
      <c r="AH148" s="382" t="e">
        <f t="shared" ca="1" si="98"/>
        <v>#VALUE!</v>
      </c>
      <c r="AI148" s="382" t="e">
        <f ca="1">(AE148+AF148)*CH3F!BO6</f>
        <v>#VALUE!</v>
      </c>
      <c r="AJ148" s="382" t="e">
        <f t="shared" ca="1" si="120"/>
        <v>#VALUE!</v>
      </c>
      <c r="AK148" s="382">
        <f t="shared" si="111"/>
        <v>0.47769928325108518</v>
      </c>
      <c r="AL148" s="382">
        <f t="shared" si="112"/>
        <v>0.47770944457021686</v>
      </c>
      <c r="AM148" s="382">
        <f t="shared" si="113"/>
        <v>0.47770357151421683</v>
      </c>
      <c r="AN148" s="382">
        <f t="shared" si="114"/>
        <v>0.47770357151421683</v>
      </c>
      <c r="AO148" s="382">
        <f t="shared" si="121"/>
        <v>39.970451592932207</v>
      </c>
      <c r="AP148" s="382">
        <f t="shared" si="122"/>
        <v>39.972152063702936</v>
      </c>
      <c r="AQ148" s="382">
        <f t="shared" si="123"/>
        <v>39.971169218389349</v>
      </c>
      <c r="AR148" s="382">
        <f t="shared" si="124"/>
        <v>39.971169218389349</v>
      </c>
      <c r="AS148" s="388" t="str">
        <f t="shared" ca="1" si="99"/>
        <v>-</v>
      </c>
      <c r="AT148" s="388" t="str">
        <f t="shared" ca="1" si="100"/>
        <v>-</v>
      </c>
      <c r="AU148" s="388" t="str">
        <f t="shared" ca="1" si="101"/>
        <v>-</v>
      </c>
      <c r="AV148" s="388" t="str">
        <f t="shared" ca="1" si="102"/>
        <v>-</v>
      </c>
      <c r="AW148" s="382">
        <f>CH3F!X6*SIN(CH3F!Z6)</f>
        <v>1.0462277238601485</v>
      </c>
      <c r="AX148" s="382">
        <f>CH3F!Y6*SIN(CH3F!AA6)</f>
        <v>0.56122801710408887</v>
      </c>
      <c r="AY148" s="382">
        <f>CH3F!AC6*SIN(CH3F!AE6)</f>
        <v>0.74016468448115791</v>
      </c>
      <c r="AZ148" s="382">
        <f>CH3F!AD6*SIN(CH3F!AF6)</f>
        <v>0.75908894578344521</v>
      </c>
      <c r="BA148" s="388" t="str">
        <f t="shared" ca="1" si="125"/>
        <v>-</v>
      </c>
      <c r="BB148" s="388" t="str">
        <f t="shared" ca="1" si="126"/>
        <v>-</v>
      </c>
      <c r="BC148" s="388" t="str">
        <f t="shared" ca="1" si="127"/>
        <v>-</v>
      </c>
      <c r="BD148" s="388" t="str">
        <f t="shared" ca="1" si="128"/>
        <v>-</v>
      </c>
    </row>
    <row r="149" spans="1:56">
      <c r="A149" t="str">
        <f>IF(CH3F!A7=0,A148,CH3F!A7)</f>
        <v>FCH3</v>
      </c>
      <c r="C149" s="381">
        <f>CH3F!K7</f>
        <v>-17.099999999999994</v>
      </c>
      <c r="D149" s="381">
        <f>CH3F!L7</f>
        <v>-12.5</v>
      </c>
      <c r="E149" s="381">
        <f>CH3F!M7</f>
        <v>-17.100000000000009</v>
      </c>
      <c r="F149" s="381">
        <f>CH3F!N7</f>
        <v>-23.4</v>
      </c>
      <c r="G149" s="382" t="str">
        <f ca="1">IFERROR(C149*Changes!$B$1,"-")</f>
        <v>-</v>
      </c>
      <c r="H149" s="382" t="str">
        <f ca="1">IFERROR(D149*Changes!$B$1,"-")</f>
        <v>-</v>
      </c>
      <c r="I149" s="382" t="str">
        <f ca="1">IFERROR(E149*Changes!$B$1,"-")</f>
        <v>-</v>
      </c>
      <c r="J149" s="382" t="str">
        <f ca="1">IFERROR(F149*Changes!$B$1,"-")</f>
        <v>-</v>
      </c>
      <c r="K149" s="383" t="str">
        <f t="shared" ca="1" si="103"/>
        <v>-</v>
      </c>
      <c r="L149" s="383" t="str">
        <f t="shared" ca="1" si="104"/>
        <v>-</v>
      </c>
      <c r="M149" s="383" t="str">
        <f t="shared" ca="1" si="105"/>
        <v>-</v>
      </c>
      <c r="N149" s="383" t="str">
        <f t="shared" ca="1" si="106"/>
        <v>-</v>
      </c>
      <c r="O149" s="384">
        <f>[1]Particles!$B$13</f>
        <v>512373.33725154324</v>
      </c>
      <c r="P149" s="384">
        <f>[1]Particles!$B$5</f>
        <v>3152.8432598003224</v>
      </c>
      <c r="Q149" s="383">
        <f>IFERROR(VLOOKUP("s",[1]md!$A:$E,5,0)*14.3998434/U149*100,"-")</f>
        <v>1334.4671816707389</v>
      </c>
      <c r="R149" s="383">
        <f>IFERROR(VLOOKUP("s",[1]md!$A:$E,5,0)*14.3998434/V149*100,"-")</f>
        <v>1334.4552023874414</v>
      </c>
      <c r="S149" s="383">
        <f>IFERROR(VLOOKUP("s",[1]md!$A:$E,5,0)*14.3998434/W149*100,"-")</f>
        <v>1334.4671816707389</v>
      </c>
      <c r="T149" s="383">
        <f>IFERROR(VLOOKUP("s",[1]md!$A:$E,5,0)*14.3998434/X149*100,"-")</f>
        <v>1334.4835880803946</v>
      </c>
      <c r="U149" s="386">
        <v>2.4279089133863883</v>
      </c>
      <c r="V149" s="386">
        <v>2.4279307085044577</v>
      </c>
      <c r="W149" s="386">
        <v>2.4279089133863883</v>
      </c>
      <c r="X149" s="386">
        <v>2.4278790641858472</v>
      </c>
      <c r="Y149" s="382" t="str">
        <f t="shared" ca="1" si="107"/>
        <v>-</v>
      </c>
      <c r="Z149" s="382" t="str">
        <f t="shared" ca="1" si="108"/>
        <v>-</v>
      </c>
      <c r="AA149" s="382" t="str">
        <f t="shared" ca="1" si="109"/>
        <v>-</v>
      </c>
      <c r="AB149" s="382" t="str">
        <f t="shared" ca="1" si="110"/>
        <v>-</v>
      </c>
      <c r="AC149" s="382" t="str">
        <f ca="1">IFERROR(Changes!$B$2*Rotation!C149,"-")</f>
        <v>-</v>
      </c>
      <c r="AD149" s="382" t="str">
        <f ca="1">IFERROR(Changes!$B$2*Rotation!D149,"-")</f>
        <v>-</v>
      </c>
      <c r="AE149" s="382" t="str">
        <f ca="1">IFERROR(Changes!$B$2*Rotation!E149,"-")</f>
        <v>-</v>
      </c>
      <c r="AF149" s="382" t="str">
        <f ca="1">IFERROR(Changes!$B$2*Rotation!F149,"-")</f>
        <v>-</v>
      </c>
      <c r="AG149" s="382" t="e">
        <f ca="1">(AC149+AD149)*CH3F!BK7</f>
        <v>#VALUE!</v>
      </c>
      <c r="AH149" s="382" t="e">
        <f t="shared" ca="1" si="98"/>
        <v>#VALUE!</v>
      </c>
      <c r="AI149" s="382" t="e">
        <f ca="1">(AE149+AF149)*CH3F!BO7</f>
        <v>#VALUE!</v>
      </c>
      <c r="AJ149" s="382" t="e">
        <f t="shared" ca="1" si="120"/>
        <v>#VALUE!</v>
      </c>
      <c r="AK149" s="382">
        <f t="shared" si="111"/>
        <v>0.47770357151421683</v>
      </c>
      <c r="AL149" s="382">
        <f t="shared" si="112"/>
        <v>0.47769928325108518</v>
      </c>
      <c r="AM149" s="382">
        <f t="shared" si="113"/>
        <v>0.47770357151421683</v>
      </c>
      <c r="AN149" s="382">
        <f t="shared" si="114"/>
        <v>0.47770944457021686</v>
      </c>
      <c r="AO149" s="382">
        <f t="shared" si="121"/>
        <v>39.971169218389349</v>
      </c>
      <c r="AP149" s="382">
        <f t="shared" si="122"/>
        <v>39.970451592932207</v>
      </c>
      <c r="AQ149" s="382">
        <f t="shared" si="123"/>
        <v>39.971169218389349</v>
      </c>
      <c r="AR149" s="382">
        <f t="shared" si="124"/>
        <v>39.972152063702936</v>
      </c>
      <c r="AS149" s="388" t="str">
        <f t="shared" ca="1" si="99"/>
        <v>-</v>
      </c>
      <c r="AT149" s="388" t="str">
        <f t="shared" ca="1" si="100"/>
        <v>-</v>
      </c>
      <c r="AU149" s="388" t="str">
        <f t="shared" ca="1" si="101"/>
        <v>-</v>
      </c>
      <c r="AV149" s="388" t="str">
        <f t="shared" ca="1" si="102"/>
        <v>-</v>
      </c>
      <c r="AW149" s="382">
        <f>CH3F!X7*SIN(CH3F!Z7)</f>
        <v>0.78737047268287341</v>
      </c>
      <c r="AX149" s="382">
        <f>CH3F!Y7*SIN(CH3F!AA7)</f>
        <v>0.98139240420967688</v>
      </c>
      <c r="AY149" s="382">
        <f>CH3F!AC7*SIN(CH3F!AE7)</f>
        <v>0.67894361941145853</v>
      </c>
      <c r="AZ149" s="382">
        <f>CH3F!AD7*SIN(CH3F!AF7)</f>
        <v>0.57913083325823311</v>
      </c>
      <c r="BA149" s="388" t="str">
        <f t="shared" ca="1" si="125"/>
        <v>-</v>
      </c>
      <c r="BB149" s="388" t="str">
        <f t="shared" ca="1" si="126"/>
        <v>-</v>
      </c>
      <c r="BC149" s="388" t="str">
        <f t="shared" ca="1" si="127"/>
        <v>-</v>
      </c>
      <c r="BD149" s="388" t="str">
        <f t="shared" ca="1" si="128"/>
        <v>-</v>
      </c>
    </row>
    <row r="150" spans="1:56">
      <c r="A150" t="str">
        <f>IF(CH3F!A8=0,A149,CH3F!A8)</f>
        <v>FCH3</v>
      </c>
      <c r="C150" s="381">
        <f>CH3F!K8</f>
        <v>-23.399999999999991</v>
      </c>
      <c r="D150" s="381">
        <f>CH3F!L8</f>
        <v>-12.5</v>
      </c>
      <c r="E150" s="381">
        <f>CH3F!M8</f>
        <v>-17.100000000000001</v>
      </c>
      <c r="F150" s="381">
        <f>CH3F!N8</f>
        <v>-17.100000000000001</v>
      </c>
      <c r="G150" s="382" t="str">
        <f ca="1">IFERROR(C150*Changes!$B$1,"-")</f>
        <v>-</v>
      </c>
      <c r="H150" s="382" t="str">
        <f ca="1">IFERROR(D150*Changes!$B$1,"-")</f>
        <v>-</v>
      </c>
      <c r="I150" s="382" t="str">
        <f ca="1">IFERROR(E150*Changes!$B$1,"-")</f>
        <v>-</v>
      </c>
      <c r="J150" s="382" t="str">
        <f ca="1">IFERROR(F150*Changes!$B$1,"-")</f>
        <v>-</v>
      </c>
      <c r="K150" s="383" t="str">
        <f t="shared" ca="1" si="103"/>
        <v>-</v>
      </c>
      <c r="L150" s="383" t="str">
        <f t="shared" ca="1" si="104"/>
        <v>-</v>
      </c>
      <c r="M150" s="383" t="str">
        <f t="shared" ca="1" si="105"/>
        <v>-</v>
      </c>
      <c r="N150" s="383" t="str">
        <f t="shared" ca="1" si="106"/>
        <v>-</v>
      </c>
      <c r="O150" s="384">
        <f>[1]Particles!$B$13</f>
        <v>512373.33725154324</v>
      </c>
      <c r="P150" s="384">
        <f>[1]Particles!$B$5</f>
        <v>3152.8432598003224</v>
      </c>
      <c r="Q150" s="383">
        <f>IFERROR(VLOOKUP("s",[1]md!$A:$E,5,0)*14.3998434/U150*100,"-")</f>
        <v>1334.4835880803946</v>
      </c>
      <c r="R150" s="383">
        <f>IFERROR(VLOOKUP("s",[1]md!$A:$E,5,0)*14.3998434/V150*100,"-")</f>
        <v>1334.4552023874414</v>
      </c>
      <c r="S150" s="383">
        <f>IFERROR(VLOOKUP("s",[1]md!$A:$E,5,0)*14.3998434/W150*100,"-")</f>
        <v>1334.4671816707389</v>
      </c>
      <c r="T150" s="383">
        <f>IFERROR(VLOOKUP("s",[1]md!$A:$E,5,0)*14.3998434/X150*100,"-")</f>
        <v>1334.4671816707389</v>
      </c>
      <c r="U150" s="386">
        <v>2.4278790641858472</v>
      </c>
      <c r="V150" s="386">
        <v>2.4279307085044577</v>
      </c>
      <c r="W150" s="386">
        <v>2.4279089133863883</v>
      </c>
      <c r="X150" s="386">
        <v>2.4279089133863883</v>
      </c>
      <c r="Y150" s="382" t="str">
        <f t="shared" ca="1" si="107"/>
        <v>-</v>
      </c>
      <c r="Z150" s="382" t="str">
        <f t="shared" ca="1" si="108"/>
        <v>-</v>
      </c>
      <c r="AA150" s="382" t="str">
        <f t="shared" ca="1" si="109"/>
        <v>-</v>
      </c>
      <c r="AB150" s="382" t="str">
        <f t="shared" ca="1" si="110"/>
        <v>-</v>
      </c>
      <c r="AC150" s="382" t="str">
        <f ca="1">IFERROR(Changes!$B$2*Rotation!C150,"-")</f>
        <v>-</v>
      </c>
      <c r="AD150" s="382" t="str">
        <f ca="1">IFERROR(Changes!$B$2*Rotation!D150,"-")</f>
        <v>-</v>
      </c>
      <c r="AE150" s="382" t="str">
        <f ca="1">IFERROR(Changes!$B$2*Rotation!E150,"-")</f>
        <v>-</v>
      </c>
      <c r="AF150" s="382" t="str">
        <f ca="1">IFERROR(Changes!$B$2*Rotation!F150,"-")</f>
        <v>-</v>
      </c>
      <c r="AG150" s="382" t="e">
        <f ca="1">(AC150+AD150)*CH3F!BK8</f>
        <v>#VALUE!</v>
      </c>
      <c r="AH150" s="382" t="e">
        <f t="shared" ca="1" si="98"/>
        <v>#VALUE!</v>
      </c>
      <c r="AI150" s="382" t="e">
        <f ca="1">(AE150+AF150)*CH3F!BO8</f>
        <v>#VALUE!</v>
      </c>
      <c r="AJ150" s="382" t="e">
        <f t="shared" ca="1" si="120"/>
        <v>#VALUE!</v>
      </c>
      <c r="AK150" s="382">
        <f t="shared" si="111"/>
        <v>0.47770944457021686</v>
      </c>
      <c r="AL150" s="382">
        <f t="shared" si="112"/>
        <v>0.47769928325108518</v>
      </c>
      <c r="AM150" s="382">
        <f t="shared" si="113"/>
        <v>0.47770357151421683</v>
      </c>
      <c r="AN150" s="382">
        <f t="shared" si="114"/>
        <v>0.47770357151421683</v>
      </c>
      <c r="AO150" s="382">
        <f t="shared" si="121"/>
        <v>39.972152063702936</v>
      </c>
      <c r="AP150" s="382">
        <f t="shared" si="122"/>
        <v>39.970451592932207</v>
      </c>
      <c r="AQ150" s="382">
        <f t="shared" si="123"/>
        <v>39.971169218389349</v>
      </c>
      <c r="AR150" s="382">
        <f t="shared" si="124"/>
        <v>39.971169218389349</v>
      </c>
      <c r="AS150" s="388" t="str">
        <f t="shared" ca="1" si="99"/>
        <v>-</v>
      </c>
      <c r="AT150" s="388" t="str">
        <f t="shared" ca="1" si="100"/>
        <v>-</v>
      </c>
      <c r="AU150" s="388" t="str">
        <f t="shared" ca="1" si="101"/>
        <v>-</v>
      </c>
      <c r="AV150" s="388" t="str">
        <f t="shared" ca="1" si="102"/>
        <v>-</v>
      </c>
      <c r="AW150" s="382">
        <f>CH3F!X8*SIN(CH3F!Z8)</f>
        <v>0.56122801710256476</v>
      </c>
      <c r="AX150" s="382">
        <f>CH3F!Y8*SIN(CH3F!AA8)</f>
        <v>1.0462277238600302</v>
      </c>
      <c r="AY150" s="382">
        <f>CH3F!AC8*SIN(CH3F!AE8)</f>
        <v>0.74016468448101291</v>
      </c>
      <c r="AZ150" s="382">
        <f>CH3F!AD8*SIN(CH3F!AF8)</f>
        <v>0.75908894578342245</v>
      </c>
      <c r="BA150" s="388" t="str">
        <f t="shared" ca="1" si="125"/>
        <v>-</v>
      </c>
      <c r="BB150" s="388" t="str">
        <f t="shared" ca="1" si="126"/>
        <v>-</v>
      </c>
      <c r="BC150" s="388" t="str">
        <f t="shared" ca="1" si="127"/>
        <v>-</v>
      </c>
      <c r="BD150" s="388" t="str">
        <f t="shared" ca="1" si="128"/>
        <v>-</v>
      </c>
    </row>
    <row r="151" spans="1:56">
      <c r="A151" t="str">
        <f>IF(CH3F!A9=0,A150,CH3F!A9)</f>
        <v>FCH3</v>
      </c>
      <c r="C151" s="381">
        <f>CH3F!K9</f>
        <v>-17.100000000000001</v>
      </c>
      <c r="D151" s="381">
        <f>CH3F!L9</f>
        <v>-12.5</v>
      </c>
      <c r="E151" s="381">
        <f>CH3F!M9</f>
        <v>-23.4</v>
      </c>
      <c r="F151" s="381">
        <f>CH3F!N9</f>
        <v>-17.100000000000001</v>
      </c>
      <c r="G151" s="382" t="str">
        <f ca="1">IFERROR(C151*Changes!$B$1,"-")</f>
        <v>-</v>
      </c>
      <c r="H151" s="382" t="str">
        <f ca="1">IFERROR(D151*Changes!$B$1,"-")</f>
        <v>-</v>
      </c>
      <c r="I151" s="382" t="str">
        <f ca="1">IFERROR(E151*Changes!$B$1,"-")</f>
        <v>-</v>
      </c>
      <c r="J151" s="382" t="str">
        <f ca="1">IFERROR(F151*Changes!$B$1,"-")</f>
        <v>-</v>
      </c>
      <c r="K151" s="383" t="str">
        <f t="shared" ca="1" si="103"/>
        <v>-</v>
      </c>
      <c r="L151" s="383" t="str">
        <f t="shared" ca="1" si="104"/>
        <v>-</v>
      </c>
      <c r="M151" s="383" t="str">
        <f t="shared" ca="1" si="105"/>
        <v>-</v>
      </c>
      <c r="N151" s="383" t="str">
        <f t="shared" ca="1" si="106"/>
        <v>-</v>
      </c>
      <c r="O151" s="384">
        <f>[1]Particles!$B$13</f>
        <v>512373.33725154324</v>
      </c>
      <c r="P151" s="384">
        <f>[1]Particles!$B$5</f>
        <v>3152.8432598003224</v>
      </c>
      <c r="Q151" s="383">
        <f>IFERROR(VLOOKUP("s",[1]md!$A:$E,5,0)*14.3998434/U151*100,"-")</f>
        <v>1334.4671816707389</v>
      </c>
      <c r="R151" s="383">
        <f>IFERROR(VLOOKUP("s",[1]md!$A:$E,5,0)*14.3998434/V151*100,"-")</f>
        <v>1334.4552023874414</v>
      </c>
      <c r="S151" s="383">
        <f>IFERROR(VLOOKUP("s",[1]md!$A:$E,5,0)*14.3998434/W151*100,"-")</f>
        <v>1334.4835880803946</v>
      </c>
      <c r="T151" s="383">
        <f>IFERROR(VLOOKUP("s",[1]md!$A:$E,5,0)*14.3998434/X151*100,"-")</f>
        <v>1334.4671816707389</v>
      </c>
      <c r="U151" s="386">
        <v>2.4279089133863883</v>
      </c>
      <c r="V151" s="386">
        <v>2.4279307085044577</v>
      </c>
      <c r="W151" s="386">
        <v>2.4278790641858472</v>
      </c>
      <c r="X151" s="386">
        <v>2.4279089133863883</v>
      </c>
      <c r="Y151" s="382" t="str">
        <f t="shared" ca="1" si="107"/>
        <v>-</v>
      </c>
      <c r="Z151" s="382" t="str">
        <f t="shared" ca="1" si="108"/>
        <v>-</v>
      </c>
      <c r="AA151" s="382" t="str">
        <f t="shared" ca="1" si="109"/>
        <v>-</v>
      </c>
      <c r="AB151" s="382" t="str">
        <f t="shared" ca="1" si="110"/>
        <v>-</v>
      </c>
      <c r="AC151" s="382" t="str">
        <f ca="1">IFERROR(Changes!$B$2*Rotation!C151,"-")</f>
        <v>-</v>
      </c>
      <c r="AD151" s="382" t="str">
        <f ca="1">IFERROR(Changes!$B$2*Rotation!D151,"-")</f>
        <v>-</v>
      </c>
      <c r="AE151" s="382" t="str">
        <f ca="1">IFERROR(Changes!$B$2*Rotation!E151,"-")</f>
        <v>-</v>
      </c>
      <c r="AF151" s="382" t="str">
        <f ca="1">IFERROR(Changes!$B$2*Rotation!F151,"-")</f>
        <v>-</v>
      </c>
      <c r="AG151" s="382" t="e">
        <f ca="1">(AC151+AD151)*CH3F!BK9</f>
        <v>#VALUE!</v>
      </c>
      <c r="AH151" s="382" t="e">
        <f t="shared" ca="1" si="98"/>
        <v>#VALUE!</v>
      </c>
      <c r="AI151" s="382" t="e">
        <f ca="1">(AE151+AF151)*CH3F!BO9</f>
        <v>#VALUE!</v>
      </c>
      <c r="AJ151" s="382" t="e">
        <f t="shared" ca="1" si="120"/>
        <v>#VALUE!</v>
      </c>
      <c r="AK151" s="382">
        <f t="shared" si="111"/>
        <v>0.47770357151421683</v>
      </c>
      <c r="AL151" s="382">
        <f t="shared" si="112"/>
        <v>0.47769928325108518</v>
      </c>
      <c r="AM151" s="382">
        <f t="shared" si="113"/>
        <v>0.47770944457021686</v>
      </c>
      <c r="AN151" s="382">
        <f t="shared" si="114"/>
        <v>0.47770357151421683</v>
      </c>
      <c r="AO151" s="382">
        <f t="shared" si="121"/>
        <v>39.971169218389349</v>
      </c>
      <c r="AP151" s="382">
        <f t="shared" si="122"/>
        <v>39.970451592932207</v>
      </c>
      <c r="AQ151" s="382">
        <f t="shared" si="123"/>
        <v>39.972152063702936</v>
      </c>
      <c r="AR151" s="382">
        <f t="shared" si="124"/>
        <v>39.971169218389349</v>
      </c>
      <c r="AS151" s="388" t="str">
        <f t="shared" ca="1" si="99"/>
        <v>-</v>
      </c>
      <c r="AT151" s="388" t="str">
        <f t="shared" ca="1" si="100"/>
        <v>-</v>
      </c>
      <c r="AU151" s="388" t="str">
        <f t="shared" ca="1" si="101"/>
        <v>-</v>
      </c>
      <c r="AV151" s="388" t="str">
        <f t="shared" ca="1" si="102"/>
        <v>-</v>
      </c>
      <c r="AW151" s="382">
        <f>CH3F!X9*SIN(CH3F!Z9)</f>
        <v>0.78737047071090327</v>
      </c>
      <c r="AX151" s="382">
        <f>CH3F!Y9*SIN(CH3F!AA9)</f>
        <v>0.98139240593893329</v>
      </c>
      <c r="AY151" s="382">
        <f>CH3F!AC9*SIN(CH3F!AE9)</f>
        <v>0.57913083956876343</v>
      </c>
      <c r="AZ151" s="382">
        <f>CH3F!AD9*SIN(CH3F!AF9)</f>
        <v>0.67894363305863759</v>
      </c>
      <c r="BA151" s="388" t="str">
        <f t="shared" ca="1" si="125"/>
        <v>-</v>
      </c>
      <c r="BB151" s="388" t="str">
        <f t="shared" ca="1" si="126"/>
        <v>-</v>
      </c>
      <c r="BC151" s="388" t="str">
        <f t="shared" ca="1" si="127"/>
        <v>-</v>
      </c>
      <c r="BD151" s="388" t="str">
        <f t="shared" ca="1" si="128"/>
        <v>-</v>
      </c>
    </row>
    <row r="152" spans="1:56">
      <c r="A152" t="str">
        <f>IF(CH3F!A10=0,A151,CH3F!A10)</f>
        <v>FCH3</v>
      </c>
      <c r="C152" s="381">
        <f>CH3F!K10</f>
        <v>-17.100000000000009</v>
      </c>
      <c r="D152" s="381">
        <f>CH3F!L10</f>
        <v>-17.099999999999987</v>
      </c>
      <c r="E152" s="381">
        <f>CH3F!M10</f>
        <v>-12.5</v>
      </c>
      <c r="F152" s="381">
        <f>CH3F!N10</f>
        <v>-23.399999999999991</v>
      </c>
      <c r="G152" s="382" t="str">
        <f ca="1">IFERROR(C152*Changes!$B$1,"-")</f>
        <v>-</v>
      </c>
      <c r="H152" s="382" t="str">
        <f ca="1">IFERROR(D152*Changes!$B$1,"-")</f>
        <v>-</v>
      </c>
      <c r="I152" s="382" t="str">
        <f ca="1">IFERROR(E152*Changes!$B$1,"-")</f>
        <v>-</v>
      </c>
      <c r="J152" s="382" t="str">
        <f ca="1">IFERROR(F152*Changes!$B$1,"-")</f>
        <v>-</v>
      </c>
      <c r="K152" s="383" t="str">
        <f t="shared" ca="1" si="103"/>
        <v>-</v>
      </c>
      <c r="L152" s="383" t="str">
        <f t="shared" ca="1" si="104"/>
        <v>-</v>
      </c>
      <c r="M152" s="383" t="str">
        <f t="shared" ca="1" si="105"/>
        <v>-</v>
      </c>
      <c r="N152" s="383" t="str">
        <f t="shared" ca="1" si="106"/>
        <v>-</v>
      </c>
      <c r="O152" s="384">
        <f>[1]Particles!$B$13</f>
        <v>512373.33725154324</v>
      </c>
      <c r="P152" s="384">
        <f>[1]Particles!$B$5</f>
        <v>3152.8432598003224</v>
      </c>
      <c r="Q152" s="383">
        <f>IFERROR(VLOOKUP("s",[1]md!$A:$E,5,0)*14.3998434/U152*100,"-")</f>
        <v>1334.4671816707389</v>
      </c>
      <c r="R152" s="383">
        <f>IFERROR(VLOOKUP("s",[1]md!$A:$E,5,0)*14.3998434/V152*100,"-")</f>
        <v>1334.4671816707389</v>
      </c>
      <c r="S152" s="383">
        <f>IFERROR(VLOOKUP("s",[1]md!$A:$E,5,0)*14.3998434/W152*100,"-")</f>
        <v>1334.4552023874414</v>
      </c>
      <c r="T152" s="383">
        <f>IFERROR(VLOOKUP("s",[1]md!$A:$E,5,0)*14.3998434/X152*100,"-")</f>
        <v>1334.4835880803946</v>
      </c>
      <c r="U152" s="386">
        <v>2.4279089133863883</v>
      </c>
      <c r="V152" s="386">
        <v>2.4279089133863883</v>
      </c>
      <c r="W152" s="386">
        <v>2.4279307085044577</v>
      </c>
      <c r="X152" s="386">
        <v>2.4278790641858472</v>
      </c>
      <c r="Y152" s="382" t="str">
        <f t="shared" ca="1" si="107"/>
        <v>-</v>
      </c>
      <c r="Z152" s="382" t="str">
        <f t="shared" ca="1" si="108"/>
        <v>-</v>
      </c>
      <c r="AA152" s="382" t="str">
        <f t="shared" ca="1" si="109"/>
        <v>-</v>
      </c>
      <c r="AB152" s="382" t="str">
        <f t="shared" ca="1" si="110"/>
        <v>-</v>
      </c>
      <c r="AC152" s="382" t="str">
        <f ca="1">IFERROR(Changes!$B$2*Rotation!C152,"-")</f>
        <v>-</v>
      </c>
      <c r="AD152" s="382" t="str">
        <f ca="1">IFERROR(Changes!$B$2*Rotation!D152,"-")</f>
        <v>-</v>
      </c>
      <c r="AE152" s="382" t="str">
        <f ca="1">IFERROR(Changes!$B$2*Rotation!E152,"-")</f>
        <v>-</v>
      </c>
      <c r="AF152" s="382" t="str">
        <f ca="1">IFERROR(Changes!$B$2*Rotation!F152,"-")</f>
        <v>-</v>
      </c>
      <c r="AG152" s="382" t="e">
        <f ca="1">(AC152+AD152)*CH3F!BK10</f>
        <v>#VALUE!</v>
      </c>
      <c r="AH152" s="382" t="e">
        <f t="shared" ca="1" si="98"/>
        <v>#VALUE!</v>
      </c>
      <c r="AI152" s="382" t="e">
        <f ca="1">(AE152+AF152)*CH3F!BO10</f>
        <v>#VALUE!</v>
      </c>
      <c r="AJ152" s="382" t="e">
        <f t="shared" ca="1" si="120"/>
        <v>#VALUE!</v>
      </c>
      <c r="AK152" s="382">
        <f t="shared" si="111"/>
        <v>0.47770357151421683</v>
      </c>
      <c r="AL152" s="382">
        <f t="shared" si="112"/>
        <v>0.47770357151421683</v>
      </c>
      <c r="AM152" s="382">
        <f t="shared" si="113"/>
        <v>0.47769928325108518</v>
      </c>
      <c r="AN152" s="382">
        <f t="shared" si="114"/>
        <v>0.47770944457021686</v>
      </c>
      <c r="AO152" s="382">
        <f t="shared" si="121"/>
        <v>39.971169218389349</v>
      </c>
      <c r="AP152" s="382">
        <f t="shared" si="122"/>
        <v>39.971169218389349</v>
      </c>
      <c r="AQ152" s="382">
        <f t="shared" si="123"/>
        <v>39.970451592932207</v>
      </c>
      <c r="AR152" s="382">
        <f t="shared" si="124"/>
        <v>39.972152063702936</v>
      </c>
      <c r="AS152" s="388" t="str">
        <f t="shared" ca="1" si="99"/>
        <v>-</v>
      </c>
      <c r="AT152" s="388" t="str">
        <f t="shared" ca="1" si="100"/>
        <v>-</v>
      </c>
      <c r="AU152" s="388" t="str">
        <f t="shared" ca="1" si="101"/>
        <v>-</v>
      </c>
      <c r="AV152" s="388" t="str">
        <f t="shared" ca="1" si="102"/>
        <v>-</v>
      </c>
      <c r="AW152" s="382">
        <f>CH3F!X10*SIN(CH3F!Z10)</f>
        <v>0.74076729785115925</v>
      </c>
      <c r="AX152" s="382">
        <f>CH3F!Y10*SIN(CH3F!AA10)</f>
        <v>0.79157563814591458</v>
      </c>
      <c r="AY152" s="382">
        <f>CH3F!AC10*SIN(CH3F!AE10)</f>
        <v>0.878009094627756</v>
      </c>
      <c r="AZ152" s="382">
        <f>CH3F!AD10*SIN(CH3F!AF10)</f>
        <v>0.59015966564971756</v>
      </c>
      <c r="BA152" s="388" t="str">
        <f t="shared" ca="1" si="125"/>
        <v>-</v>
      </c>
      <c r="BB152" s="388" t="str">
        <f t="shared" ca="1" si="126"/>
        <v>-</v>
      </c>
      <c r="BC152" s="388" t="str">
        <f t="shared" ca="1" si="127"/>
        <v>-</v>
      </c>
      <c r="BD152" s="388" t="str">
        <f t="shared" ca="1" si="128"/>
        <v>-</v>
      </c>
    </row>
    <row r="153" spans="1:56">
      <c r="A153" t="str">
        <f>IF(CH3F!A11=0,A152,CH3F!A11)</f>
        <v>FCH3</v>
      </c>
      <c r="C153" s="381">
        <f>CH3F!K11</f>
        <v>-23.4</v>
      </c>
      <c r="D153" s="381">
        <f>CH3F!L11</f>
        <v>-17.100000000000001</v>
      </c>
      <c r="E153" s="381">
        <f>CH3F!M11</f>
        <v>-12.5</v>
      </c>
      <c r="F153" s="381">
        <f>CH3F!N11</f>
        <v>-17.099999999999994</v>
      </c>
      <c r="G153" s="382" t="str">
        <f ca="1">IFERROR(C153*Changes!$B$1,"-")</f>
        <v>-</v>
      </c>
      <c r="H153" s="382" t="str">
        <f ca="1">IFERROR(D153*Changes!$B$1,"-")</f>
        <v>-</v>
      </c>
      <c r="I153" s="382" t="str">
        <f ca="1">IFERROR(E153*Changes!$B$1,"-")</f>
        <v>-</v>
      </c>
      <c r="J153" s="382" t="str">
        <f ca="1">IFERROR(F153*Changes!$B$1,"-")</f>
        <v>-</v>
      </c>
      <c r="K153" s="383" t="str">
        <f t="shared" ca="1" si="103"/>
        <v>-</v>
      </c>
      <c r="L153" s="383" t="str">
        <f t="shared" ca="1" si="104"/>
        <v>-</v>
      </c>
      <c r="M153" s="383" t="str">
        <f t="shared" ca="1" si="105"/>
        <v>-</v>
      </c>
      <c r="N153" s="383" t="str">
        <f t="shared" ca="1" si="106"/>
        <v>-</v>
      </c>
      <c r="O153" s="384">
        <f>[1]Particles!$B$13</f>
        <v>512373.33725154324</v>
      </c>
      <c r="P153" s="384">
        <f>[1]Particles!$B$5</f>
        <v>3152.8432598003224</v>
      </c>
      <c r="Q153" s="383">
        <f>IFERROR(VLOOKUP("s",[1]md!$A:$E,5,0)*14.3998434/U153*100,"-")</f>
        <v>1334.4835880803946</v>
      </c>
      <c r="R153" s="383">
        <f>IFERROR(VLOOKUP("s",[1]md!$A:$E,5,0)*14.3998434/V153*100,"-")</f>
        <v>1334.4671816707389</v>
      </c>
      <c r="S153" s="383">
        <f>IFERROR(VLOOKUP("s",[1]md!$A:$E,5,0)*14.3998434/W153*100,"-")</f>
        <v>1334.4552023874414</v>
      </c>
      <c r="T153" s="383">
        <f>IFERROR(VLOOKUP("s",[1]md!$A:$E,5,0)*14.3998434/X153*100,"-")</f>
        <v>1334.4671816707389</v>
      </c>
      <c r="U153" s="386">
        <v>2.4278790641858472</v>
      </c>
      <c r="V153" s="386">
        <v>2.4279089133863883</v>
      </c>
      <c r="W153" s="386">
        <v>2.4279307085044577</v>
      </c>
      <c r="X153" s="386">
        <v>2.4279089133863883</v>
      </c>
      <c r="Y153" s="382" t="str">
        <f t="shared" ca="1" si="107"/>
        <v>-</v>
      </c>
      <c r="Z153" s="382" t="str">
        <f t="shared" ca="1" si="108"/>
        <v>-</v>
      </c>
      <c r="AA153" s="382" t="str">
        <f t="shared" ca="1" si="109"/>
        <v>-</v>
      </c>
      <c r="AB153" s="382" t="str">
        <f t="shared" ca="1" si="110"/>
        <v>-</v>
      </c>
      <c r="AC153" s="382" t="str">
        <f ca="1">IFERROR(Changes!$B$2*Rotation!C153,"-")</f>
        <v>-</v>
      </c>
      <c r="AD153" s="382" t="str">
        <f ca="1">IFERROR(Changes!$B$2*Rotation!D153,"-")</f>
        <v>-</v>
      </c>
      <c r="AE153" s="382" t="str">
        <f ca="1">IFERROR(Changes!$B$2*Rotation!E153,"-")</f>
        <v>-</v>
      </c>
      <c r="AF153" s="382" t="str">
        <f ca="1">IFERROR(Changes!$B$2*Rotation!F153,"-")</f>
        <v>-</v>
      </c>
      <c r="AG153" s="382" t="e">
        <f ca="1">(AC153+AD153)*CH3F!BK11</f>
        <v>#VALUE!</v>
      </c>
      <c r="AH153" s="382" t="e">
        <f t="shared" ca="1" si="98"/>
        <v>#VALUE!</v>
      </c>
      <c r="AI153" s="382" t="e">
        <f ca="1">(AE153+AF153)*CH3F!BO11</f>
        <v>#VALUE!</v>
      </c>
      <c r="AJ153" s="382" t="e">
        <f t="shared" ca="1" si="120"/>
        <v>#VALUE!</v>
      </c>
      <c r="AK153" s="382">
        <f t="shared" si="111"/>
        <v>0.47770944457021686</v>
      </c>
      <c r="AL153" s="382">
        <f t="shared" si="112"/>
        <v>0.47770357151421683</v>
      </c>
      <c r="AM153" s="382">
        <f t="shared" si="113"/>
        <v>0.47769928325108518</v>
      </c>
      <c r="AN153" s="382">
        <f t="shared" si="114"/>
        <v>0.47770357151421683</v>
      </c>
      <c r="AO153" s="382">
        <f t="shared" si="121"/>
        <v>39.972152063702936</v>
      </c>
      <c r="AP153" s="382">
        <f t="shared" si="122"/>
        <v>39.971169218389349</v>
      </c>
      <c r="AQ153" s="382">
        <f t="shared" si="123"/>
        <v>39.970451592932207</v>
      </c>
      <c r="AR153" s="382">
        <f t="shared" si="124"/>
        <v>39.971169218389349</v>
      </c>
      <c r="AS153" s="388" t="str">
        <f t="shared" ca="1" si="99"/>
        <v>-</v>
      </c>
      <c r="AT153" s="388" t="str">
        <f t="shared" ca="1" si="100"/>
        <v>-</v>
      </c>
      <c r="AU153" s="388" t="str">
        <f t="shared" ca="1" si="101"/>
        <v>-</v>
      </c>
      <c r="AV153" s="388" t="str">
        <f t="shared" ca="1" si="102"/>
        <v>-</v>
      </c>
      <c r="AW153" s="382">
        <f>CH3F!X11*SIN(CH3F!Z11)</f>
        <v>0.50415053997337433</v>
      </c>
      <c r="AX153" s="382">
        <f>CH3F!Y11*SIN(CH3F!AA11)</f>
        <v>0.79051681112476924</v>
      </c>
      <c r="AY153" s="382">
        <f>CH3F!AC11*SIN(CH3F!AE11)</f>
        <v>0.86638715662267718</v>
      </c>
      <c r="AZ153" s="382">
        <f>CH3F!AD11*SIN(CH3F!AF11)</f>
        <v>0.74997322173224135</v>
      </c>
      <c r="BA153" s="388" t="str">
        <f t="shared" ca="1" si="125"/>
        <v>-</v>
      </c>
      <c r="BB153" s="388" t="str">
        <f t="shared" ca="1" si="126"/>
        <v>-</v>
      </c>
      <c r="BC153" s="388" t="str">
        <f t="shared" ca="1" si="127"/>
        <v>-</v>
      </c>
      <c r="BD153" s="388" t="str">
        <f t="shared" ca="1" si="128"/>
        <v>-</v>
      </c>
    </row>
    <row r="154" spans="1:56">
      <c r="A154" t="str">
        <f>IF(CH3F!A12=0,A153,CH3F!A12)</f>
        <v>FCH3</v>
      </c>
      <c r="C154" s="381">
        <f>CH3F!K12</f>
        <v>-17.099999999999994</v>
      </c>
      <c r="D154" s="381">
        <f>CH3F!L12</f>
        <v>-23.399999999999991</v>
      </c>
      <c r="E154" s="381">
        <f>CH3F!M12</f>
        <v>-12.5</v>
      </c>
      <c r="F154" s="381">
        <f>CH3F!N12</f>
        <v>-17.099999999999987</v>
      </c>
      <c r="G154" s="382" t="str">
        <f ca="1">IFERROR(C154*Changes!$B$1,"-")</f>
        <v>-</v>
      </c>
      <c r="H154" s="382" t="str">
        <f ca="1">IFERROR(D154*Changes!$B$1,"-")</f>
        <v>-</v>
      </c>
      <c r="I154" s="382" t="str">
        <f ca="1">IFERROR(E154*Changes!$B$1,"-")</f>
        <v>-</v>
      </c>
      <c r="J154" s="382" t="str">
        <f ca="1">IFERROR(F154*Changes!$B$1,"-")</f>
        <v>-</v>
      </c>
      <c r="K154" s="383" t="str">
        <f t="shared" ca="1" si="103"/>
        <v>-</v>
      </c>
      <c r="L154" s="383" t="str">
        <f t="shared" ca="1" si="104"/>
        <v>-</v>
      </c>
      <c r="M154" s="383" t="str">
        <f t="shared" ca="1" si="105"/>
        <v>-</v>
      </c>
      <c r="N154" s="383" t="str">
        <f t="shared" ca="1" si="106"/>
        <v>-</v>
      </c>
      <c r="O154" s="384">
        <f>[1]Particles!$B$13</f>
        <v>512373.33725154324</v>
      </c>
      <c r="P154" s="384">
        <f>[1]Particles!$B$5</f>
        <v>3152.8432598003224</v>
      </c>
      <c r="Q154" s="383">
        <f>IFERROR(VLOOKUP("s",[1]md!$A:$E,5,0)*14.3998434/U154*100,"-")</f>
        <v>1334.4671816707389</v>
      </c>
      <c r="R154" s="383">
        <f>IFERROR(VLOOKUP("s",[1]md!$A:$E,5,0)*14.3998434/V154*100,"-")</f>
        <v>1334.4835880803946</v>
      </c>
      <c r="S154" s="383">
        <f>IFERROR(VLOOKUP("s",[1]md!$A:$E,5,0)*14.3998434/W154*100,"-")</f>
        <v>1334.4552023874414</v>
      </c>
      <c r="T154" s="383">
        <f>IFERROR(VLOOKUP("s",[1]md!$A:$E,5,0)*14.3998434/X154*100,"-")</f>
        <v>1334.4671816707389</v>
      </c>
      <c r="U154" s="386">
        <v>2.4279089133863883</v>
      </c>
      <c r="V154" s="386">
        <v>2.4278790641858472</v>
      </c>
      <c r="W154" s="386">
        <v>2.4279307085044577</v>
      </c>
      <c r="X154" s="386">
        <v>2.4279089133863883</v>
      </c>
      <c r="Y154" s="382" t="str">
        <f t="shared" ca="1" si="107"/>
        <v>-</v>
      </c>
      <c r="Z154" s="382" t="str">
        <f t="shared" ca="1" si="108"/>
        <v>-</v>
      </c>
      <c r="AA154" s="382" t="str">
        <f t="shared" ca="1" si="109"/>
        <v>-</v>
      </c>
      <c r="AB154" s="382" t="str">
        <f t="shared" ca="1" si="110"/>
        <v>-</v>
      </c>
      <c r="AC154" s="382" t="str">
        <f ca="1">IFERROR(Changes!$B$2*Rotation!C154,"-")</f>
        <v>-</v>
      </c>
      <c r="AD154" s="382" t="str">
        <f ca="1">IFERROR(Changes!$B$2*Rotation!D154,"-")</f>
        <v>-</v>
      </c>
      <c r="AE154" s="382" t="str">
        <f ca="1">IFERROR(Changes!$B$2*Rotation!E154,"-")</f>
        <v>-</v>
      </c>
      <c r="AF154" s="382" t="str">
        <f ca="1">IFERROR(Changes!$B$2*Rotation!F154,"-")</f>
        <v>-</v>
      </c>
      <c r="AG154" s="382" t="e">
        <f ca="1">(AC154+AD154)*CH3F!BK12</f>
        <v>#VALUE!</v>
      </c>
      <c r="AH154" s="382" t="e">
        <f t="shared" ca="1" si="98"/>
        <v>#VALUE!</v>
      </c>
      <c r="AI154" s="382" t="e">
        <f ca="1">(AE154+AF154)*CH3F!BO12</f>
        <v>#VALUE!</v>
      </c>
      <c r="AJ154" s="382" t="e">
        <f t="shared" ca="1" si="120"/>
        <v>#VALUE!</v>
      </c>
      <c r="AK154" s="382">
        <f t="shared" si="111"/>
        <v>0.47770357151421683</v>
      </c>
      <c r="AL154" s="382">
        <f t="shared" si="112"/>
        <v>0.47770944457021686</v>
      </c>
      <c r="AM154" s="382">
        <f t="shared" si="113"/>
        <v>0.47769928325108518</v>
      </c>
      <c r="AN154" s="382">
        <f t="shared" si="114"/>
        <v>0.47770357151421683</v>
      </c>
      <c r="AO154" s="382">
        <f t="shared" si="121"/>
        <v>39.971169218389349</v>
      </c>
      <c r="AP154" s="382">
        <f t="shared" si="122"/>
        <v>39.972152063702936</v>
      </c>
      <c r="AQ154" s="382">
        <f t="shared" si="123"/>
        <v>39.970451592932207</v>
      </c>
      <c r="AR154" s="382">
        <f t="shared" si="124"/>
        <v>39.971169218389349</v>
      </c>
      <c r="AS154" s="388" t="str">
        <f t="shared" ca="1" si="99"/>
        <v>-</v>
      </c>
      <c r="AT154" s="388" t="str">
        <f t="shared" ca="1" si="100"/>
        <v>-</v>
      </c>
      <c r="AU154" s="388" t="str">
        <f t="shared" ca="1" si="101"/>
        <v>-</v>
      </c>
      <c r="AV154" s="388" t="str">
        <f t="shared" ca="1" si="102"/>
        <v>-</v>
      </c>
      <c r="AW154" s="382">
        <f>CH3F!X12*SIN(CH3F!Z12)</f>
        <v>0.79051681113340166</v>
      </c>
      <c r="AX154" s="382">
        <f>CH3F!Y12*SIN(CH3F!AA12)</f>
        <v>0.50415053997366654</v>
      </c>
      <c r="AY154" s="382">
        <f>CH3F!AC12*SIN(CH3F!AE12)</f>
        <v>0.86638715669087629</v>
      </c>
      <c r="AZ154" s="382">
        <f>CH3F!AD12*SIN(CH3F!AF12)</f>
        <v>0.7499732217330688</v>
      </c>
      <c r="BA154" s="388" t="str">
        <f t="shared" ca="1" si="125"/>
        <v>-</v>
      </c>
      <c r="BB154" s="388" t="str">
        <f t="shared" ca="1" si="126"/>
        <v>-</v>
      </c>
      <c r="BC154" s="388" t="str">
        <f t="shared" ca="1" si="127"/>
        <v>-</v>
      </c>
      <c r="BD154" s="388" t="str">
        <f t="shared" ca="1" si="128"/>
        <v>-</v>
      </c>
    </row>
    <row r="155" spans="1:56">
      <c r="A155" t="str">
        <f>IF(CH3F!A13=0,A154,CH3F!A13)</f>
        <v>FCH3</v>
      </c>
      <c r="C155" s="381">
        <f>CH3F!K13</f>
        <v>-17.099999999999994</v>
      </c>
      <c r="D155" s="381">
        <f>CH3F!L13</f>
        <v>-17.100000000000001</v>
      </c>
      <c r="E155" s="381">
        <f>CH3F!M13</f>
        <v>-23.4</v>
      </c>
      <c r="F155" s="381">
        <f>CH3F!N13</f>
        <v>-12.5</v>
      </c>
      <c r="G155" s="382" t="str">
        <f ca="1">IFERROR(C155*Changes!$B$1,"-")</f>
        <v>-</v>
      </c>
      <c r="H155" s="382" t="str">
        <f ca="1">IFERROR(D155*Changes!$B$1,"-")</f>
        <v>-</v>
      </c>
      <c r="I155" s="382" t="str">
        <f ca="1">IFERROR(E155*Changes!$B$1,"-")</f>
        <v>-</v>
      </c>
      <c r="J155" s="382" t="str">
        <f ca="1">IFERROR(F155*Changes!$B$1,"-")</f>
        <v>-</v>
      </c>
      <c r="K155" s="383" t="str">
        <f t="shared" ca="1" si="103"/>
        <v>-</v>
      </c>
      <c r="L155" s="383" t="str">
        <f t="shared" ca="1" si="104"/>
        <v>-</v>
      </c>
      <c r="M155" s="383" t="str">
        <f t="shared" ca="1" si="105"/>
        <v>-</v>
      </c>
      <c r="N155" s="383" t="str">
        <f t="shared" ca="1" si="106"/>
        <v>-</v>
      </c>
      <c r="O155" s="384">
        <f>[1]Particles!$B$13</f>
        <v>512373.33725154324</v>
      </c>
      <c r="P155" s="384">
        <f>[1]Particles!$B$5</f>
        <v>3152.8432598003224</v>
      </c>
      <c r="Q155" s="383">
        <f>IFERROR(VLOOKUP("s",[1]md!$A:$E,5,0)*14.3998434/U155*100,"-")</f>
        <v>1334.4671816707389</v>
      </c>
      <c r="R155" s="383">
        <f>IFERROR(VLOOKUP("s",[1]md!$A:$E,5,0)*14.3998434/V155*100,"-")</f>
        <v>1334.4671816707389</v>
      </c>
      <c r="S155" s="383">
        <f>IFERROR(VLOOKUP("s",[1]md!$A:$E,5,0)*14.3998434/W155*100,"-")</f>
        <v>1334.4835880803946</v>
      </c>
      <c r="T155" s="383">
        <f>IFERROR(VLOOKUP("s",[1]md!$A:$E,5,0)*14.3998434/X155*100,"-")</f>
        <v>1334.4552023874414</v>
      </c>
      <c r="U155" s="386">
        <v>2.4279089133863883</v>
      </c>
      <c r="V155" s="386">
        <v>2.4279089133863883</v>
      </c>
      <c r="W155" s="386">
        <v>2.4278790641858472</v>
      </c>
      <c r="X155" s="386">
        <v>2.4279307085044577</v>
      </c>
      <c r="Y155" s="382" t="str">
        <f t="shared" ca="1" si="107"/>
        <v>-</v>
      </c>
      <c r="Z155" s="382" t="str">
        <f t="shared" ca="1" si="108"/>
        <v>-</v>
      </c>
      <c r="AA155" s="382" t="str">
        <f t="shared" ca="1" si="109"/>
        <v>-</v>
      </c>
      <c r="AB155" s="382" t="str">
        <f t="shared" ca="1" si="110"/>
        <v>-</v>
      </c>
      <c r="AC155" s="382" t="str">
        <f ca="1">IFERROR(Changes!$B$2*Rotation!C155,"-")</f>
        <v>-</v>
      </c>
      <c r="AD155" s="382" t="str">
        <f ca="1">IFERROR(Changes!$B$2*Rotation!D155,"-")</f>
        <v>-</v>
      </c>
      <c r="AE155" s="382" t="str">
        <f ca="1">IFERROR(Changes!$B$2*Rotation!E155,"-")</f>
        <v>-</v>
      </c>
      <c r="AF155" s="382" t="str">
        <f ca="1">IFERROR(Changes!$B$2*Rotation!F155,"-")</f>
        <v>-</v>
      </c>
      <c r="AG155" s="382" t="e">
        <f ca="1">(AC155+AD155)*CH3F!BK13</f>
        <v>#VALUE!</v>
      </c>
      <c r="AH155" s="382" t="e">
        <f t="shared" ca="1" si="98"/>
        <v>#VALUE!</v>
      </c>
      <c r="AI155" s="382" t="e">
        <f ca="1">(AE155+AF155)*CH3F!BO13</f>
        <v>#VALUE!</v>
      </c>
      <c r="AJ155" s="382" t="e">
        <f t="shared" ca="1" si="120"/>
        <v>#VALUE!</v>
      </c>
      <c r="AK155" s="382">
        <f t="shared" si="111"/>
        <v>0.47770357151421683</v>
      </c>
      <c r="AL155" s="382">
        <f t="shared" si="112"/>
        <v>0.47770357151421683</v>
      </c>
      <c r="AM155" s="382">
        <f t="shared" si="113"/>
        <v>0.47770944457021686</v>
      </c>
      <c r="AN155" s="382">
        <f t="shared" si="114"/>
        <v>0.47769928325108518</v>
      </c>
      <c r="AO155" s="382">
        <f t="shared" si="121"/>
        <v>39.971169218389349</v>
      </c>
      <c r="AP155" s="382">
        <f t="shared" si="122"/>
        <v>39.971169218389349</v>
      </c>
      <c r="AQ155" s="382">
        <f t="shared" si="123"/>
        <v>39.972152063702936</v>
      </c>
      <c r="AR155" s="382">
        <f t="shared" si="124"/>
        <v>39.970451592932207</v>
      </c>
      <c r="AS155" s="388" t="str">
        <f t="shared" ca="1" si="99"/>
        <v>-</v>
      </c>
      <c r="AT155" s="388" t="str">
        <f t="shared" ca="1" si="100"/>
        <v>-</v>
      </c>
      <c r="AU155" s="388" t="str">
        <f t="shared" ca="1" si="101"/>
        <v>-</v>
      </c>
      <c r="AV155" s="388" t="str">
        <f t="shared" ca="1" si="102"/>
        <v>-</v>
      </c>
      <c r="AW155" s="382">
        <f>CH3F!X13*SIN(CH3F!Z13)</f>
        <v>0.74076729785112772</v>
      </c>
      <c r="AX155" s="382">
        <f>CH3F!Y13*SIN(CH3F!AA13)</f>
        <v>0.79157563814587995</v>
      </c>
      <c r="AY155" s="382">
        <f>CH3F!AC13*SIN(CH3F!AE13)</f>
        <v>0.59015966564971734</v>
      </c>
      <c r="AZ155" s="382">
        <f>CH3F!AD13*SIN(CH3F!AF13)</f>
        <v>0.87800909462748078</v>
      </c>
      <c r="BA155" s="388" t="str">
        <f t="shared" ca="1" si="125"/>
        <v>-</v>
      </c>
      <c r="BB155" s="388" t="str">
        <f t="shared" ca="1" si="126"/>
        <v>-</v>
      </c>
      <c r="BC155" s="388" t="str">
        <f t="shared" ca="1" si="127"/>
        <v>-</v>
      </c>
      <c r="BD155" s="388" t="str">
        <f t="shared" ca="1" si="128"/>
        <v>-</v>
      </c>
    </row>
    <row r="156" spans="1:56">
      <c r="A156" t="str">
        <f>IF(CH3F!A14=0,A155,CH3F!A14)</f>
        <v>FCH3</v>
      </c>
      <c r="C156" s="381">
        <f>CH3F!K14</f>
        <v>-23.4</v>
      </c>
      <c r="D156" s="381">
        <f>CH3F!L14</f>
        <v>-17.100000000000001</v>
      </c>
      <c r="E156" s="381">
        <f>CH3F!M14</f>
        <v>-17.100000000000001</v>
      </c>
      <c r="F156" s="381">
        <f>CH3F!N14</f>
        <v>-12.5</v>
      </c>
      <c r="G156" s="382" t="str">
        <f ca="1">IFERROR(C156*Changes!$B$1,"-")</f>
        <v>-</v>
      </c>
      <c r="H156" s="382" t="str">
        <f ca="1">IFERROR(D156*Changes!$B$1,"-")</f>
        <v>-</v>
      </c>
      <c r="I156" s="382" t="str">
        <f ca="1">IFERROR(E156*Changes!$B$1,"-")</f>
        <v>-</v>
      </c>
      <c r="J156" s="382" t="str">
        <f ca="1">IFERROR(F156*Changes!$B$1,"-")</f>
        <v>-</v>
      </c>
      <c r="K156" s="383" t="str">
        <f t="shared" ca="1" si="103"/>
        <v>-</v>
      </c>
      <c r="L156" s="383" t="str">
        <f t="shared" ca="1" si="104"/>
        <v>-</v>
      </c>
      <c r="M156" s="383" t="str">
        <f t="shared" ca="1" si="105"/>
        <v>-</v>
      </c>
      <c r="N156" s="383" t="str">
        <f t="shared" ca="1" si="106"/>
        <v>-</v>
      </c>
      <c r="O156" s="384">
        <f>[1]Particles!$B$13</f>
        <v>512373.33725154324</v>
      </c>
      <c r="P156" s="384">
        <f>[1]Particles!$B$5</f>
        <v>3152.8432598003224</v>
      </c>
      <c r="Q156" s="383">
        <f>IFERROR(VLOOKUP("s",[1]md!$A:$E,5,0)*14.3998434/U156*100,"-")</f>
        <v>1334.4835880803946</v>
      </c>
      <c r="R156" s="383">
        <f>IFERROR(VLOOKUP("s",[1]md!$A:$E,5,0)*14.3998434/V156*100,"-")</f>
        <v>1334.4671816707389</v>
      </c>
      <c r="S156" s="383">
        <f>IFERROR(VLOOKUP("s",[1]md!$A:$E,5,0)*14.3998434/W156*100,"-")</f>
        <v>1334.4671816707389</v>
      </c>
      <c r="T156" s="383">
        <f>IFERROR(VLOOKUP("s",[1]md!$A:$E,5,0)*14.3998434/X156*100,"-")</f>
        <v>1334.4552023874414</v>
      </c>
      <c r="U156" s="386">
        <v>2.4278790641858472</v>
      </c>
      <c r="V156" s="386">
        <v>2.4279089133863883</v>
      </c>
      <c r="W156" s="386">
        <v>2.4279089133863883</v>
      </c>
      <c r="X156" s="386">
        <v>2.4279307085044577</v>
      </c>
      <c r="Y156" s="382" t="str">
        <f t="shared" ca="1" si="107"/>
        <v>-</v>
      </c>
      <c r="Z156" s="382" t="str">
        <f t="shared" ca="1" si="108"/>
        <v>-</v>
      </c>
      <c r="AA156" s="382" t="str">
        <f t="shared" ca="1" si="109"/>
        <v>-</v>
      </c>
      <c r="AB156" s="382" t="str">
        <f t="shared" ca="1" si="110"/>
        <v>-</v>
      </c>
      <c r="AC156" s="382" t="str">
        <f ca="1">IFERROR(Changes!$B$2*Rotation!C156,"-")</f>
        <v>-</v>
      </c>
      <c r="AD156" s="382" t="str">
        <f ca="1">IFERROR(Changes!$B$2*Rotation!D156,"-")</f>
        <v>-</v>
      </c>
      <c r="AE156" s="382" t="str">
        <f ca="1">IFERROR(Changes!$B$2*Rotation!E156,"-")</f>
        <v>-</v>
      </c>
      <c r="AF156" s="382" t="str">
        <f ca="1">IFERROR(Changes!$B$2*Rotation!F156,"-")</f>
        <v>-</v>
      </c>
      <c r="AG156" s="382" t="e">
        <f ca="1">(AC156+AD156)*CH3F!BK14</f>
        <v>#VALUE!</v>
      </c>
      <c r="AH156" s="382" t="e">
        <f t="shared" ca="1" si="98"/>
        <v>#VALUE!</v>
      </c>
      <c r="AI156" s="382" t="e">
        <f ca="1">(AE156+AF156)*CH3F!BO14</f>
        <v>#VALUE!</v>
      </c>
      <c r="AJ156" s="382" t="e">
        <f t="shared" ca="1" si="120"/>
        <v>#VALUE!</v>
      </c>
      <c r="AK156" s="382">
        <f t="shared" si="111"/>
        <v>0.47770944457021686</v>
      </c>
      <c r="AL156" s="382">
        <f t="shared" si="112"/>
        <v>0.47770357151421683</v>
      </c>
      <c r="AM156" s="382">
        <f t="shared" si="113"/>
        <v>0.47770357151421683</v>
      </c>
      <c r="AN156" s="382">
        <f t="shared" si="114"/>
        <v>0.47769928325108518</v>
      </c>
      <c r="AO156" s="382">
        <f t="shared" si="121"/>
        <v>39.972152063702936</v>
      </c>
      <c r="AP156" s="382">
        <f t="shared" si="122"/>
        <v>39.971169218389349</v>
      </c>
      <c r="AQ156" s="382">
        <f t="shared" si="123"/>
        <v>39.971169218389349</v>
      </c>
      <c r="AR156" s="382">
        <f t="shared" si="124"/>
        <v>39.970451592932207</v>
      </c>
      <c r="AS156" s="388" t="str">
        <f t="shared" ca="1" si="99"/>
        <v>-</v>
      </c>
      <c r="AT156" s="388" t="str">
        <f t="shared" ca="1" si="100"/>
        <v>-</v>
      </c>
      <c r="AU156" s="388" t="str">
        <f t="shared" ca="1" si="101"/>
        <v>-</v>
      </c>
      <c r="AV156" s="388" t="str">
        <f t="shared" ca="1" si="102"/>
        <v>-</v>
      </c>
      <c r="AW156" s="382">
        <f>CH3F!X14*SIN(CH3F!Z14)</f>
        <v>0.50415053997192538</v>
      </c>
      <c r="AX156" s="382">
        <f>CH3F!Y14*SIN(CH3F!AA14)</f>
        <v>0.7905168111314127</v>
      </c>
      <c r="AY156" s="382">
        <f>CH3F!AC14*SIN(CH3F!AE14)</f>
        <v>0.74997322173222458</v>
      </c>
      <c r="AZ156" s="382">
        <f>CH3F!AD14*SIN(CH3F!AF14)</f>
        <v>0.86638715667540434</v>
      </c>
      <c r="BA156" s="388" t="str">
        <f t="shared" ca="1" si="125"/>
        <v>-</v>
      </c>
      <c r="BB156" s="388" t="str">
        <f t="shared" ca="1" si="126"/>
        <v>-</v>
      </c>
      <c r="BC156" s="388" t="str">
        <f t="shared" ca="1" si="127"/>
        <v>-</v>
      </c>
      <c r="BD156" s="388" t="str">
        <f t="shared" ca="1" si="128"/>
        <v>-</v>
      </c>
    </row>
    <row r="157" spans="1:56" ht="15.75" thickBot="1">
      <c r="A157" s="380" t="str">
        <f>IF(CH3F!A15=0,A156,CH3F!A15)</f>
        <v>FCH3</v>
      </c>
      <c r="B157" t="s">
        <v>531</v>
      </c>
      <c r="C157" s="381">
        <f>CH3F!K15</f>
        <v>-17.100000000000001</v>
      </c>
      <c r="D157" s="381">
        <f>CH3F!L15</f>
        <v>-23.4</v>
      </c>
      <c r="E157" s="381">
        <f>CH3F!M15</f>
        <v>-17.100000000000009</v>
      </c>
      <c r="F157" s="381">
        <f>CH3F!N15</f>
        <v>-12.5</v>
      </c>
      <c r="G157" s="382" t="str">
        <f ca="1">IFERROR(C157*Changes!$B$1,"-")</f>
        <v>-</v>
      </c>
      <c r="H157" s="382" t="str">
        <f ca="1">IFERROR(D157*Changes!$B$1,"-")</f>
        <v>-</v>
      </c>
      <c r="I157" s="382" t="str">
        <f ca="1">IFERROR(E157*Changes!$B$1,"-")</f>
        <v>-</v>
      </c>
      <c r="J157" s="382" t="str">
        <f ca="1">IFERROR(F157*Changes!$B$1,"-")</f>
        <v>-</v>
      </c>
      <c r="K157" s="383" t="str">
        <f t="shared" ca="1" si="103"/>
        <v>-</v>
      </c>
      <c r="L157" s="383" t="str">
        <f t="shared" ca="1" si="104"/>
        <v>-</v>
      </c>
      <c r="M157" s="383" t="str">
        <f t="shared" ca="1" si="105"/>
        <v>-</v>
      </c>
      <c r="N157" s="383" t="str">
        <f t="shared" ca="1" si="106"/>
        <v>-</v>
      </c>
      <c r="O157" s="384">
        <f>[1]Particles!$B$13</f>
        <v>512373.33725154324</v>
      </c>
      <c r="P157" s="384">
        <f>[1]Particles!$B$5</f>
        <v>3152.8432598003224</v>
      </c>
      <c r="Q157" s="383">
        <f>IFERROR(VLOOKUP("s",[1]md!$A:$E,5,0)*14.3998434/U157*100,"-")</f>
        <v>1334.4671820753397</v>
      </c>
      <c r="R157" s="383">
        <f>IFERROR(VLOOKUP("s",[1]md!$A:$E,5,0)*14.3998434/V157*100,"-")</f>
        <v>1334.4835860218377</v>
      </c>
      <c r="S157" s="383">
        <f>IFERROR(VLOOKUP("s",[1]md!$A:$E,5,0)*14.3998434/W157*100,"-")</f>
        <v>1334.4671820753397</v>
      </c>
      <c r="T157" s="383">
        <f>IFERROR(VLOOKUP("s",[1]md!$A:$E,5,0)*14.3998434/X157*100,"-")</f>
        <v>1334.4552036138289</v>
      </c>
      <c r="U157" s="386">
        <v>2.4279089126502638</v>
      </c>
      <c r="V157" s="386">
        <v>2.4278790679310616</v>
      </c>
      <c r="W157" s="386">
        <v>2.4279089126502638</v>
      </c>
      <c r="X157" s="386">
        <v>2.427930706273147</v>
      </c>
      <c r="Y157" s="382" t="str">
        <f t="shared" ca="1" si="107"/>
        <v>-</v>
      </c>
      <c r="Z157" s="382" t="str">
        <f t="shared" ca="1" si="108"/>
        <v>-</v>
      </c>
      <c r="AA157" s="382" t="str">
        <f t="shared" ca="1" si="109"/>
        <v>-</v>
      </c>
      <c r="AB157" s="382" t="str">
        <f t="shared" ca="1" si="110"/>
        <v>-</v>
      </c>
      <c r="AC157" s="382" t="str">
        <f ca="1">IFERROR(Changes!$B$2*Rotation!C157,"-")</f>
        <v>-</v>
      </c>
      <c r="AD157" s="382" t="str">
        <f ca="1">IFERROR(Changes!$B$2*Rotation!D157,"-")</f>
        <v>-</v>
      </c>
      <c r="AE157" s="382" t="str">
        <f ca="1">IFERROR(Changes!$B$2*Rotation!E157,"-")</f>
        <v>-</v>
      </c>
      <c r="AF157" s="382" t="str">
        <f ca="1">IFERROR(Changes!$B$2*Rotation!F157,"-")</f>
        <v>-</v>
      </c>
      <c r="AG157" s="382" t="e">
        <f ca="1">(AC157+AD157)*CH3F!BK15</f>
        <v>#VALUE!</v>
      </c>
      <c r="AH157" s="382" t="e">
        <f t="shared" ca="1" si="98"/>
        <v>#VALUE!</v>
      </c>
      <c r="AI157" s="382" t="e">
        <f ca="1">(AE157+AF157)*CH3F!BO15</f>
        <v>#VALUE!</v>
      </c>
      <c r="AJ157" s="382" t="e">
        <f t="shared" ca="1" si="120"/>
        <v>#VALUE!</v>
      </c>
      <c r="AK157" s="382">
        <f t="shared" si="111"/>
        <v>0.47770357165905314</v>
      </c>
      <c r="AL157" s="382">
        <f t="shared" si="112"/>
        <v>0.4777094438333086</v>
      </c>
      <c r="AM157" s="382">
        <f t="shared" si="113"/>
        <v>0.47770357165905314</v>
      </c>
      <c r="AN157" s="382">
        <f t="shared" si="114"/>
        <v>0.47769928369009929</v>
      </c>
      <c r="AO157" s="382">
        <f t="shared" si="121"/>
        <v>39.97116924262729</v>
      </c>
      <c r="AP157" s="382">
        <f t="shared" si="122"/>
        <v>39.972151940381913</v>
      </c>
      <c r="AQ157" s="382">
        <f t="shared" si="123"/>
        <v>39.97116924262729</v>
      </c>
      <c r="AR157" s="382">
        <f t="shared" si="124"/>
        <v>39.970451666399313</v>
      </c>
      <c r="AS157" s="388" t="str">
        <f t="shared" ca="1" si="99"/>
        <v>-</v>
      </c>
      <c r="AT157" s="388" t="str">
        <f t="shared" ca="1" si="100"/>
        <v>-</v>
      </c>
      <c r="AU157" s="388" t="str">
        <f t="shared" ca="1" si="101"/>
        <v>-</v>
      </c>
      <c r="AV157" s="388" t="str">
        <f t="shared" ca="1" si="102"/>
        <v>-</v>
      </c>
      <c r="AW157" s="382">
        <f>CH3F!X15*SIN(CH3F!Z15)</f>
        <v>0.7905168111376395</v>
      </c>
      <c r="AX157" s="382">
        <f>CH3F!Y15*SIN(CH3F!AA15)</f>
        <v>0.50415053997381665</v>
      </c>
      <c r="AY157" s="382">
        <f>CH3F!AC15*SIN(CH3F!AE15)</f>
        <v>0.74997322173289771</v>
      </c>
      <c r="AZ157" s="382">
        <f>CH3F!AD15*SIN(CH3F!AF15)</f>
        <v>0.8663871567255893</v>
      </c>
      <c r="BA157" s="388" t="str">
        <f t="shared" ca="1" si="125"/>
        <v>-</v>
      </c>
      <c r="BB157" s="388" t="str">
        <f t="shared" ca="1" si="126"/>
        <v>-</v>
      </c>
      <c r="BC157" s="388" t="str">
        <f t="shared" ca="1" si="127"/>
        <v>-</v>
      </c>
      <c r="BD157" s="388" t="str">
        <f t="shared" ca="1" si="128"/>
        <v>-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556</v>
      </c>
      <c r="B1" s="395" t="e">
        <f ca="1">OFFSET(D1,,#REF!-1,,)</f>
        <v>#REF!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557</v>
      </c>
      <c r="B2" s="395" t="e">
        <f ca="1">OFFSET(D2,,#REF!-1,,)</f>
        <v>#REF!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10</vt:i4>
      </vt:variant>
    </vt:vector>
  </HeadingPairs>
  <TitlesOfParts>
    <vt:vector size="20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2020-01-22T10:10:49Z</dcterms:modified>
</cp:coreProperties>
</file>